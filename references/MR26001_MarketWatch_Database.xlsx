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xl/tables/table7.xml" ContentType="application/vnd.openxmlformats-officedocument.spreadsheetml.table+xml"/>
  <Override PartName="/xl/slicers/slicer1.xml" ContentType="application/vnd.ms-excel.slicer+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05"/>
  <workbookPr codeName="ThisWorkbook"/>
  <mc:AlternateContent xmlns:mc="http://schemas.openxmlformats.org/markup-compatibility/2006">
    <mc:Choice Requires="x15">
      <x15ac:absPath xmlns:x15ac="http://schemas.microsoft.com/office/spreadsheetml/2010/11/ac" url="https://vingroupjsc-my.sharepoint.com/personal/anhlp25_vingroup_net/Documents/Documents/00_MARKET_RESEARCH/10_ACTIVE_PROJECTS/FY2026/MR-26-001_MarketWatch/03_Work_in_Progress/Database/"/>
    </mc:Choice>
  </mc:AlternateContent>
  <xr:revisionPtr revIDLastSave="0" documentId="8_{471D363F-771F-4C32-B804-5DB37EE6F3DC}" xr6:coauthVersionLast="47" xr6:coauthVersionMax="47" xr10:uidLastSave="{00000000-0000-0000-0000-000000000000}"/>
  <bookViews>
    <workbookView xWindow="-110" yWindow="-110" windowWidth="19420" windowHeight="11500" firstSheet="6" xr2:uid="{00000000-000D-0000-FFFF-FFFF00000000}"/>
  </bookViews>
  <sheets>
    <sheet name="NGUYÊN TẮC" sheetId="16" r:id="rId1"/>
    <sheet name="Source_Crawl_Data" sheetId="3" state="hidden" r:id="rId2"/>
    <sheet name="Source_Crawl_Data (2)" sheetId="20" r:id="rId3"/>
    <sheet name="Scanning" sheetId="17" r:id="rId4"/>
    <sheet name="Grading" sheetId="18" r:id="rId5"/>
    <sheet name="Updating-Scoring" sheetId="8" state="hidden" r:id="rId6"/>
    <sheet name="Coding" sheetId="5" r:id="rId7"/>
    <sheet name="Database" sheetId="2" r:id="rId8"/>
    <sheet name="Database_clean" sheetId="14" state="hidden" r:id="rId9"/>
    <sheet name="Groupping" sheetId="15" state="hidden" r:id="rId10"/>
    <sheet name="Methodology" sheetId="4" r:id="rId11"/>
    <sheet name="Drop_down_coding" sheetId="7" r:id="rId12"/>
    <sheet name="Visualization" sheetId="9" state="hidden" r:id="rId13"/>
    <sheet name="Methodology-Deepdive" sheetId="11" state="hidden" r:id="rId14"/>
    <sheet name="Sheet1" sheetId="10" state="hidden" r:id="rId15"/>
    <sheet name="Sheet2" sheetId="12" state="hidden" r:id="rId16"/>
    <sheet name="Sheet3" sheetId="13" state="hidden" r:id="rId17"/>
  </sheets>
  <definedNames>
    <definedName name="_xlnm._FilterDatabase" localSheetId="7" hidden="1">Database!$A$3:$X$482</definedName>
    <definedName name="_xlnm._FilterDatabase" localSheetId="8" hidden="1">Database_clean!$A$3:$Z$91</definedName>
    <definedName name="_xlnm._FilterDatabase" localSheetId="2" hidden="1">'Source_Crawl_Data (2)'!$A$4:$E$4</definedName>
    <definedName name="Economic">Drop_down_coding!$E$44:$E$51</definedName>
    <definedName name="Feature">Drop_down_coding!$E$54:$E$61</definedName>
    <definedName name="Legal">Drop_down_coding!$N$44:$N$51</definedName>
    <definedName name="Market.Pulse">Drop_down_coding!$E$19:$E$28</definedName>
    <definedName name="Market_Pulse">Drop_down_coding!$B$33:$B$37</definedName>
    <definedName name="Marketing">Drop_down_coding!$H$54:$H$61</definedName>
    <definedName name="Partnership">Drop_down_coding!$K$54:$K$61</definedName>
    <definedName name="Players.Movement">Drop_down_coding!$H$19:$H$28</definedName>
    <definedName name="Players_Movement">Drop_down_coding!$E$33:$E$38</definedName>
    <definedName name="Political">Drop_down_coding!$B$44:$B$51</definedName>
    <definedName name="Product">Drop_down_coding!$B$54:$B$61</definedName>
    <definedName name="Slicer_category">#N/A</definedName>
    <definedName name="Slicer_signal_level">#N/A</definedName>
    <definedName name="Slicer_sub_topic_group">#N/A</definedName>
    <definedName name="Slicer_subcategory">#N/A</definedName>
    <definedName name="Slicer_topic_group">#N/A</definedName>
    <definedName name="Slicer_week">#N/A</definedName>
    <definedName name="Social">Drop_down_coding!$H$44:$H$51</definedName>
    <definedName name="Strategy">Drop_down_coding!$N$54:$N$61</definedName>
    <definedName name="Technology">Drop_down_coding!$K$44:$K$51</definedName>
    <definedName name="topic_group">Drop_down_coding!$B$19:$B$20</definedName>
  </definedNames>
  <calcPr calcId="191028" calcCompleted="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8"/>
        <x14:slicerCache r:id="rId19"/>
        <x14:slicerCache r:id="rId20"/>
        <x14:slicerCache r:id="rId21"/>
        <x14:slicerCache r:id="rId22"/>
        <x14:slicerCache r:id="rId2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3" l="1"/>
  <c r="F9" i="3"/>
  <c r="F30" i="3"/>
  <c r="F23" i="3"/>
  <c r="F29" i="3"/>
  <c r="F27" i="3"/>
  <c r="F28" i="3"/>
  <c r="F26" i="3"/>
  <c r="F25" i="3"/>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70" i="2"/>
  <c r="A369" i="2"/>
  <c r="A368" i="2"/>
  <c r="A371" i="2"/>
  <c r="A372" i="2"/>
  <c r="A373" i="2"/>
  <c r="A374" i="2"/>
  <c r="A375" i="2"/>
  <c r="A377" i="2"/>
  <c r="A378" i="2"/>
  <c r="A376" i="2"/>
  <c r="A380" i="2"/>
  <c r="A381" i="2"/>
  <c r="A382" i="2"/>
  <c r="A383" i="2"/>
  <c r="A384" i="2"/>
  <c r="A385" i="2"/>
  <c r="A386" i="2"/>
  <c r="A387" i="2"/>
  <c r="A388" i="2"/>
  <c r="A389" i="2"/>
  <c r="A391" i="2"/>
  <c r="A390" i="2"/>
  <c r="A392" i="2"/>
  <c r="A397" i="2"/>
  <c r="A393" i="2"/>
  <c r="A394" i="2"/>
  <c r="A395" i="2"/>
  <c r="A398" i="2"/>
  <c r="A399" i="2"/>
  <c r="A396" i="2"/>
  <c r="A400" i="2"/>
  <c r="A441" i="2"/>
  <c r="A432" i="2"/>
  <c r="A427" i="2"/>
  <c r="A429" i="2"/>
  <c r="A404" i="2"/>
  <c r="A405" i="2"/>
  <c r="A406" i="2"/>
  <c r="A407" i="2"/>
  <c r="A408" i="2"/>
  <c r="A409" i="2"/>
  <c r="A401" i="2"/>
  <c r="A402" i="2"/>
  <c r="A416" i="2"/>
  <c r="A425" i="2"/>
  <c r="A411" i="2"/>
  <c r="A440" i="2"/>
  <c r="A430" i="2"/>
  <c r="A412" i="2"/>
  <c r="A417" i="2"/>
  <c r="A413" i="2"/>
  <c r="A414" i="2"/>
  <c r="A418" i="2"/>
  <c r="A419" i="2"/>
  <c r="A420" i="2"/>
  <c r="A415" i="2"/>
  <c r="A421" i="2"/>
  <c r="A422" i="2"/>
  <c r="A403" i="2"/>
  <c r="A431" i="2"/>
  <c r="A428" i="2"/>
  <c r="A433" i="2"/>
  <c r="A434" i="2"/>
  <c r="A410" i="2"/>
  <c r="A426" i="2"/>
  <c r="A435" i="2"/>
  <c r="A436" i="2"/>
  <c r="A437" i="2"/>
  <c r="A438" i="2"/>
  <c r="A439" i="2"/>
  <c r="A424" i="2"/>
  <c r="A423" i="2"/>
  <c r="A379"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1" i="2"/>
  <c r="A480" i="2"/>
  <c r="A482"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X17" i="2"/>
  <c r="E17" i="2" s="1"/>
  <c r="X18" i="2"/>
  <c r="E18" i="2" s="1"/>
  <c r="X19" i="2"/>
  <c r="E19" i="2" s="1"/>
  <c r="X20" i="2"/>
  <c r="E20" i="2" s="1"/>
  <c r="X21" i="2"/>
  <c r="E21" i="2" s="1"/>
  <c r="X22" i="2"/>
  <c r="E22" i="2" s="1"/>
  <c r="X23" i="2"/>
  <c r="E23" i="2" s="1"/>
  <c r="X24" i="2"/>
  <c r="E24" i="2" s="1"/>
  <c r="X25" i="2"/>
  <c r="E25" i="2" s="1"/>
  <c r="X26" i="2"/>
  <c r="E26" i="2" s="1"/>
  <c r="X27" i="2"/>
  <c r="E27" i="2" s="1"/>
  <c r="X28" i="2"/>
  <c r="E28" i="2" s="1"/>
  <c r="X29" i="2"/>
  <c r="E29" i="2" s="1"/>
  <c r="X30" i="2"/>
  <c r="E30" i="2" s="1"/>
  <c r="X31" i="2"/>
  <c r="E31" i="2" s="1"/>
  <c r="X32" i="2"/>
  <c r="E32" i="2" s="1"/>
  <c r="X33" i="2"/>
  <c r="E33" i="2" s="1"/>
  <c r="X34" i="2"/>
  <c r="E34" i="2" s="1"/>
  <c r="X35" i="2"/>
  <c r="E35" i="2" s="1"/>
  <c r="X36" i="2"/>
  <c r="E36" i="2" s="1"/>
  <c r="X37" i="2"/>
  <c r="E37" i="2" s="1"/>
  <c r="X38" i="2"/>
  <c r="E38" i="2" s="1"/>
  <c r="X39" i="2"/>
  <c r="E39" i="2" s="1"/>
  <c r="X40" i="2"/>
  <c r="E40" i="2" s="1"/>
  <c r="X41" i="2"/>
  <c r="E41" i="2" s="1"/>
  <c r="X42" i="2"/>
  <c r="E42" i="2" s="1"/>
  <c r="X43" i="2"/>
  <c r="E43" i="2" s="1"/>
  <c r="X44" i="2"/>
  <c r="E44" i="2" s="1"/>
  <c r="X45" i="2"/>
  <c r="E45" i="2" s="1"/>
  <c r="X46" i="2"/>
  <c r="E46" i="2" s="1"/>
  <c r="X47" i="2"/>
  <c r="E47" i="2" s="1"/>
  <c r="X48" i="2"/>
  <c r="E48" i="2" s="1"/>
  <c r="X49" i="2"/>
  <c r="E49" i="2" s="1"/>
  <c r="X50" i="2"/>
  <c r="E50" i="2" s="1"/>
  <c r="X51" i="2"/>
  <c r="E51" i="2" s="1"/>
  <c r="X52" i="2"/>
  <c r="E52" i="2" s="1"/>
  <c r="X53" i="2"/>
  <c r="E53" i="2" s="1"/>
  <c r="X54" i="2"/>
  <c r="E54" i="2" s="1"/>
  <c r="X55" i="2"/>
  <c r="E55" i="2" s="1"/>
  <c r="X56" i="2"/>
  <c r="E56" i="2" s="1"/>
  <c r="X57" i="2"/>
  <c r="E57" i="2" s="1"/>
  <c r="X58" i="2"/>
  <c r="E58" i="2" s="1"/>
  <c r="X59" i="2"/>
  <c r="E59" i="2" s="1"/>
  <c r="X60" i="2"/>
  <c r="E60" i="2" s="1"/>
  <c r="X61" i="2"/>
  <c r="E61" i="2" s="1"/>
  <c r="X62" i="2"/>
  <c r="E62" i="2" s="1"/>
  <c r="X63" i="2"/>
  <c r="E63" i="2" s="1"/>
  <c r="X64" i="2"/>
  <c r="E64" i="2" s="1"/>
  <c r="X65" i="2"/>
  <c r="E65" i="2" s="1"/>
  <c r="X66" i="2"/>
  <c r="E66" i="2" s="1"/>
  <c r="X67" i="2"/>
  <c r="E67" i="2" s="1"/>
  <c r="X68" i="2"/>
  <c r="E68" i="2" s="1"/>
  <c r="X69" i="2"/>
  <c r="E69" i="2" s="1"/>
  <c r="X70" i="2"/>
  <c r="E70" i="2" s="1"/>
  <c r="X71" i="2"/>
  <c r="E71" i="2" s="1"/>
  <c r="X72" i="2"/>
  <c r="E72" i="2" s="1"/>
  <c r="X73" i="2"/>
  <c r="E73" i="2" s="1"/>
  <c r="X74" i="2"/>
  <c r="E74" i="2" s="1"/>
  <c r="X75" i="2"/>
  <c r="E75" i="2" s="1"/>
  <c r="X76" i="2"/>
  <c r="E76" i="2" s="1"/>
  <c r="X77" i="2"/>
  <c r="E77" i="2" s="1"/>
  <c r="X78" i="2"/>
  <c r="E78" i="2" s="1"/>
  <c r="X79" i="2"/>
  <c r="E79" i="2" s="1"/>
  <c r="X80" i="2"/>
  <c r="E80" i="2" s="1"/>
  <c r="X81" i="2"/>
  <c r="E81" i="2" s="1"/>
  <c r="X82" i="2"/>
  <c r="E82" i="2" s="1"/>
  <c r="X83" i="2"/>
  <c r="E83" i="2" s="1"/>
  <c r="X84" i="2"/>
  <c r="E84" i="2" s="1"/>
  <c r="X85" i="2"/>
  <c r="E85" i="2" s="1"/>
  <c r="X86" i="2"/>
  <c r="E86" i="2" s="1"/>
  <c r="X87" i="2"/>
  <c r="E87" i="2" s="1"/>
  <c r="X88" i="2"/>
  <c r="E88" i="2" s="1"/>
  <c r="X89" i="2"/>
  <c r="E89" i="2" s="1"/>
  <c r="X90" i="2"/>
  <c r="E90" i="2" s="1"/>
  <c r="X91" i="2"/>
  <c r="E91" i="2" s="1"/>
  <c r="X92" i="2"/>
  <c r="E92" i="2" s="1"/>
  <c r="X93" i="2"/>
  <c r="E93" i="2" s="1"/>
  <c r="X94" i="2"/>
  <c r="E94" i="2" s="1"/>
  <c r="X95" i="2"/>
  <c r="E95" i="2" s="1"/>
  <c r="X96" i="2"/>
  <c r="E96" i="2" s="1"/>
  <c r="X97" i="2"/>
  <c r="E97" i="2" s="1"/>
  <c r="X98" i="2"/>
  <c r="E98" i="2" s="1"/>
  <c r="X99" i="2"/>
  <c r="E99" i="2" s="1"/>
  <c r="X100" i="2"/>
  <c r="E100" i="2" s="1"/>
  <c r="X101" i="2"/>
  <c r="E101" i="2" s="1"/>
  <c r="X102" i="2"/>
  <c r="E102" i="2" s="1"/>
  <c r="X103" i="2"/>
  <c r="E103" i="2" s="1"/>
  <c r="X104" i="2"/>
  <c r="E104" i="2" s="1"/>
  <c r="X105" i="2"/>
  <c r="E105" i="2" s="1"/>
  <c r="X106" i="2"/>
  <c r="E106" i="2" s="1"/>
  <c r="X107" i="2"/>
  <c r="E107" i="2" s="1"/>
  <c r="X108" i="2"/>
  <c r="E108" i="2" s="1"/>
  <c r="X109" i="2"/>
  <c r="E109" i="2" s="1"/>
  <c r="X110" i="2"/>
  <c r="E110" i="2" s="1"/>
  <c r="X111" i="2"/>
  <c r="E111" i="2" s="1"/>
  <c r="X112" i="2"/>
  <c r="E112" i="2" s="1"/>
  <c r="X113" i="2"/>
  <c r="E113" i="2" s="1"/>
  <c r="X114" i="2"/>
  <c r="E114" i="2" s="1"/>
  <c r="X115" i="2"/>
  <c r="E115" i="2" s="1"/>
  <c r="X116" i="2"/>
  <c r="E116" i="2" s="1"/>
  <c r="X117" i="2"/>
  <c r="E117" i="2" s="1"/>
  <c r="X118" i="2"/>
  <c r="E118" i="2" s="1"/>
  <c r="X119" i="2"/>
  <c r="E119" i="2" s="1"/>
  <c r="X120" i="2"/>
  <c r="E120" i="2" s="1"/>
  <c r="X121" i="2"/>
  <c r="E121" i="2" s="1"/>
  <c r="X122" i="2"/>
  <c r="E122" i="2" s="1"/>
  <c r="X123" i="2"/>
  <c r="E123" i="2" s="1"/>
  <c r="X124" i="2"/>
  <c r="E124" i="2" s="1"/>
  <c r="X125" i="2"/>
  <c r="E125" i="2" s="1"/>
  <c r="X126" i="2"/>
  <c r="E126" i="2" s="1"/>
  <c r="X127" i="2"/>
  <c r="E127" i="2" s="1"/>
  <c r="X128" i="2"/>
  <c r="E128" i="2" s="1"/>
  <c r="X129" i="2"/>
  <c r="E129" i="2" s="1"/>
  <c r="X130" i="2"/>
  <c r="E130" i="2" s="1"/>
  <c r="X131" i="2"/>
  <c r="E131" i="2" s="1"/>
  <c r="X132" i="2"/>
  <c r="E132" i="2" s="1"/>
  <c r="X133" i="2"/>
  <c r="E133" i="2" s="1"/>
  <c r="X134" i="2"/>
  <c r="E134" i="2" s="1"/>
  <c r="X135" i="2"/>
  <c r="E135" i="2" s="1"/>
  <c r="X136" i="2"/>
  <c r="E136" i="2" s="1"/>
  <c r="X137" i="2"/>
  <c r="E137" i="2" s="1"/>
  <c r="X138" i="2"/>
  <c r="E138" i="2" s="1"/>
  <c r="X139" i="2"/>
  <c r="E139" i="2" s="1"/>
  <c r="X140" i="2"/>
  <c r="E140" i="2" s="1"/>
  <c r="X141" i="2"/>
  <c r="E141" i="2" s="1"/>
  <c r="X142" i="2"/>
  <c r="E142" i="2" s="1"/>
  <c r="X143" i="2"/>
  <c r="E143" i="2" s="1"/>
  <c r="X144" i="2"/>
  <c r="E144" i="2" s="1"/>
  <c r="X145" i="2"/>
  <c r="E145" i="2" s="1"/>
  <c r="X146" i="2"/>
  <c r="E146" i="2" s="1"/>
  <c r="X147" i="2"/>
  <c r="E147" i="2" s="1"/>
  <c r="X148" i="2"/>
  <c r="E148" i="2" s="1"/>
  <c r="X149" i="2"/>
  <c r="E149" i="2" s="1"/>
  <c r="X150" i="2"/>
  <c r="E150" i="2" s="1"/>
  <c r="X151" i="2"/>
  <c r="E151" i="2" s="1"/>
  <c r="X152" i="2"/>
  <c r="E152" i="2" s="1"/>
  <c r="X153" i="2"/>
  <c r="E153" i="2" s="1"/>
  <c r="X154" i="2"/>
  <c r="E154" i="2" s="1"/>
  <c r="X155" i="2"/>
  <c r="E155" i="2" s="1"/>
  <c r="X156" i="2"/>
  <c r="E156" i="2" s="1"/>
  <c r="X157" i="2"/>
  <c r="E157" i="2" s="1"/>
  <c r="X158" i="2"/>
  <c r="E158" i="2" s="1"/>
  <c r="X159" i="2"/>
  <c r="E159" i="2" s="1"/>
  <c r="X160" i="2"/>
  <c r="E160" i="2" s="1"/>
  <c r="X161" i="2"/>
  <c r="E161" i="2" s="1"/>
  <c r="X162" i="2"/>
  <c r="E162" i="2" s="1"/>
  <c r="X163" i="2"/>
  <c r="E163" i="2" s="1"/>
  <c r="X164" i="2"/>
  <c r="E164" i="2" s="1"/>
  <c r="X165" i="2"/>
  <c r="E165" i="2" s="1"/>
  <c r="X166" i="2"/>
  <c r="E166" i="2" s="1"/>
  <c r="X167" i="2"/>
  <c r="E167" i="2" s="1"/>
  <c r="X168" i="2"/>
  <c r="E168" i="2" s="1"/>
  <c r="X169" i="2"/>
  <c r="E169" i="2" s="1"/>
  <c r="X170" i="2"/>
  <c r="E170" i="2" s="1"/>
  <c r="X171" i="2"/>
  <c r="E171" i="2" s="1"/>
  <c r="X172" i="2"/>
  <c r="E172" i="2" s="1"/>
  <c r="X173" i="2"/>
  <c r="E173" i="2" s="1"/>
  <c r="X174" i="2"/>
  <c r="E174" i="2" s="1"/>
  <c r="X175" i="2"/>
  <c r="E175" i="2" s="1"/>
  <c r="X176" i="2"/>
  <c r="E176" i="2" s="1"/>
  <c r="X177" i="2"/>
  <c r="E177" i="2" s="1"/>
  <c r="X178" i="2"/>
  <c r="E178" i="2" s="1"/>
  <c r="X179" i="2"/>
  <c r="E179" i="2" s="1"/>
  <c r="X180" i="2"/>
  <c r="E180" i="2" s="1"/>
  <c r="X181" i="2"/>
  <c r="E181" i="2" s="1"/>
  <c r="X182" i="2"/>
  <c r="E182" i="2" s="1"/>
  <c r="X183" i="2"/>
  <c r="E183" i="2" s="1"/>
  <c r="X184" i="2"/>
  <c r="E184" i="2" s="1"/>
  <c r="X185" i="2"/>
  <c r="E185" i="2" s="1"/>
  <c r="X186" i="2"/>
  <c r="E186" i="2" s="1"/>
  <c r="X187" i="2"/>
  <c r="E187" i="2" s="1"/>
  <c r="X188" i="2"/>
  <c r="E188" i="2" s="1"/>
  <c r="X189" i="2"/>
  <c r="E189" i="2" s="1"/>
  <c r="X190" i="2"/>
  <c r="E190" i="2" s="1"/>
  <c r="X191" i="2"/>
  <c r="E191" i="2" s="1"/>
  <c r="X192" i="2"/>
  <c r="E192" i="2" s="1"/>
  <c r="X193" i="2"/>
  <c r="E193" i="2" s="1"/>
  <c r="X194" i="2"/>
  <c r="E194" i="2" s="1"/>
  <c r="X195" i="2"/>
  <c r="E195" i="2" s="1"/>
  <c r="X196" i="2"/>
  <c r="E196" i="2" s="1"/>
  <c r="X197" i="2"/>
  <c r="E197" i="2" s="1"/>
  <c r="X198" i="2"/>
  <c r="E198" i="2" s="1"/>
  <c r="X199" i="2"/>
  <c r="E199" i="2" s="1"/>
  <c r="X200" i="2"/>
  <c r="E200" i="2" s="1"/>
  <c r="X201" i="2"/>
  <c r="E201" i="2" s="1"/>
  <c r="X202" i="2"/>
  <c r="E202" i="2" s="1"/>
  <c r="X203" i="2"/>
  <c r="E203" i="2" s="1"/>
  <c r="X204" i="2"/>
  <c r="E204" i="2" s="1"/>
  <c r="X205" i="2"/>
  <c r="E205" i="2" s="1"/>
  <c r="X206" i="2"/>
  <c r="E206" i="2" s="1"/>
  <c r="X207" i="2"/>
  <c r="E207" i="2" s="1"/>
  <c r="X208" i="2"/>
  <c r="E208" i="2" s="1"/>
  <c r="X209" i="2"/>
  <c r="E209" i="2" s="1"/>
  <c r="X210" i="2"/>
  <c r="E210" i="2" s="1"/>
  <c r="X211" i="2"/>
  <c r="E211" i="2" s="1"/>
  <c r="X212" i="2"/>
  <c r="E212" i="2" s="1"/>
  <c r="X213" i="2"/>
  <c r="E213" i="2" s="1"/>
  <c r="X214" i="2"/>
  <c r="E214" i="2" s="1"/>
  <c r="X215" i="2"/>
  <c r="E215" i="2" s="1"/>
  <c r="X216" i="2"/>
  <c r="E216" i="2" s="1"/>
  <c r="X217" i="2"/>
  <c r="E217" i="2" s="1"/>
  <c r="X218" i="2"/>
  <c r="E218" i="2" s="1"/>
  <c r="X219" i="2"/>
  <c r="E219" i="2" s="1"/>
  <c r="X220" i="2"/>
  <c r="E220" i="2" s="1"/>
  <c r="X221" i="2"/>
  <c r="E221" i="2" s="1"/>
  <c r="X222" i="2"/>
  <c r="E222" i="2" s="1"/>
  <c r="X223" i="2"/>
  <c r="E223" i="2" s="1"/>
  <c r="X224" i="2"/>
  <c r="E224" i="2" s="1"/>
  <c r="X225" i="2"/>
  <c r="E225" i="2" s="1"/>
  <c r="X226" i="2"/>
  <c r="E226" i="2" s="1"/>
  <c r="X227" i="2"/>
  <c r="E227" i="2" s="1"/>
  <c r="X228" i="2"/>
  <c r="E228" i="2" s="1"/>
  <c r="X229" i="2"/>
  <c r="E229" i="2" s="1"/>
  <c r="X230" i="2"/>
  <c r="E230" i="2" s="1"/>
  <c r="X231" i="2"/>
  <c r="E231" i="2" s="1"/>
  <c r="X232" i="2"/>
  <c r="E232" i="2" s="1"/>
  <c r="X233" i="2"/>
  <c r="E233" i="2" s="1"/>
  <c r="X234" i="2"/>
  <c r="E234" i="2" s="1"/>
  <c r="X235" i="2"/>
  <c r="E235" i="2" s="1"/>
  <c r="X236" i="2"/>
  <c r="E236" i="2" s="1"/>
  <c r="X237" i="2"/>
  <c r="E237" i="2" s="1"/>
  <c r="X238" i="2"/>
  <c r="E238" i="2" s="1"/>
  <c r="X239" i="2"/>
  <c r="E239" i="2" s="1"/>
  <c r="X240" i="2"/>
  <c r="E240" i="2" s="1"/>
  <c r="X241" i="2"/>
  <c r="E241" i="2" s="1"/>
  <c r="X242" i="2"/>
  <c r="E242" i="2" s="1"/>
  <c r="X243" i="2"/>
  <c r="E243" i="2" s="1"/>
  <c r="X244" i="2"/>
  <c r="E244" i="2" s="1"/>
  <c r="X245" i="2"/>
  <c r="E245" i="2" s="1"/>
  <c r="X246" i="2"/>
  <c r="E246" i="2" s="1"/>
  <c r="X247" i="2"/>
  <c r="E247" i="2" s="1"/>
  <c r="X248" i="2"/>
  <c r="E248" i="2" s="1"/>
  <c r="X249" i="2"/>
  <c r="E249" i="2" s="1"/>
  <c r="X250" i="2"/>
  <c r="E250" i="2" s="1"/>
  <c r="X251" i="2"/>
  <c r="E251" i="2" s="1"/>
  <c r="X252" i="2"/>
  <c r="E252" i="2" s="1"/>
  <c r="X253" i="2"/>
  <c r="E253" i="2" s="1"/>
  <c r="X254" i="2"/>
  <c r="E254" i="2" s="1"/>
  <c r="X255" i="2"/>
  <c r="E255" i="2" s="1"/>
  <c r="X256" i="2"/>
  <c r="E256" i="2" s="1"/>
  <c r="X257" i="2"/>
  <c r="E257" i="2" s="1"/>
  <c r="X258" i="2"/>
  <c r="E258" i="2" s="1"/>
  <c r="X259" i="2"/>
  <c r="E259" i="2" s="1"/>
  <c r="X260" i="2"/>
  <c r="E260" i="2" s="1"/>
  <c r="X261" i="2"/>
  <c r="E261" i="2" s="1"/>
  <c r="X262" i="2"/>
  <c r="E262" i="2" s="1"/>
  <c r="X263" i="2"/>
  <c r="E263" i="2" s="1"/>
  <c r="X264" i="2"/>
  <c r="E264" i="2" s="1"/>
  <c r="X265" i="2"/>
  <c r="E265" i="2" s="1"/>
  <c r="X266" i="2"/>
  <c r="E266" i="2" s="1"/>
  <c r="X267" i="2"/>
  <c r="E267" i="2" s="1"/>
  <c r="X268" i="2"/>
  <c r="E268" i="2" s="1"/>
  <c r="X269" i="2"/>
  <c r="E269" i="2" s="1"/>
  <c r="X270" i="2"/>
  <c r="E270" i="2" s="1"/>
  <c r="X271" i="2"/>
  <c r="E271" i="2" s="1"/>
  <c r="X272" i="2"/>
  <c r="E272" i="2" s="1"/>
  <c r="X273" i="2"/>
  <c r="E273" i="2" s="1"/>
  <c r="X274" i="2"/>
  <c r="E274" i="2" s="1"/>
  <c r="X275" i="2"/>
  <c r="E275" i="2" s="1"/>
  <c r="X276" i="2"/>
  <c r="E276" i="2" s="1"/>
  <c r="X277" i="2"/>
  <c r="E277" i="2" s="1"/>
  <c r="X278" i="2"/>
  <c r="E278" i="2" s="1"/>
  <c r="X279" i="2"/>
  <c r="E279" i="2" s="1"/>
  <c r="X280" i="2"/>
  <c r="E280" i="2" s="1"/>
  <c r="X281" i="2"/>
  <c r="E281" i="2" s="1"/>
  <c r="X282" i="2"/>
  <c r="E282" i="2" s="1"/>
  <c r="X283" i="2"/>
  <c r="E283" i="2" s="1"/>
  <c r="X284" i="2"/>
  <c r="E284" i="2" s="1"/>
  <c r="X285" i="2"/>
  <c r="E285" i="2" s="1"/>
  <c r="X286" i="2"/>
  <c r="E286" i="2" s="1"/>
  <c r="X287" i="2"/>
  <c r="E287" i="2" s="1"/>
  <c r="X288" i="2"/>
  <c r="E288" i="2" s="1"/>
  <c r="X289" i="2"/>
  <c r="E289" i="2" s="1"/>
  <c r="X290" i="2"/>
  <c r="E290" i="2" s="1"/>
  <c r="X291" i="2"/>
  <c r="E291" i="2" s="1"/>
  <c r="X292" i="2"/>
  <c r="E292" i="2" s="1"/>
  <c r="X293" i="2"/>
  <c r="E293" i="2" s="1"/>
  <c r="X294" i="2"/>
  <c r="E294" i="2" s="1"/>
  <c r="X295" i="2"/>
  <c r="E295" i="2" s="1"/>
  <c r="X296" i="2"/>
  <c r="E296" i="2" s="1"/>
  <c r="X297" i="2"/>
  <c r="E297" i="2" s="1"/>
  <c r="X298" i="2"/>
  <c r="E298" i="2" s="1"/>
  <c r="X299" i="2"/>
  <c r="E299" i="2" s="1"/>
  <c r="X300" i="2"/>
  <c r="E300" i="2" s="1"/>
  <c r="X301" i="2"/>
  <c r="E301" i="2" s="1"/>
  <c r="X302" i="2"/>
  <c r="E302" i="2" s="1"/>
  <c r="X303" i="2"/>
  <c r="E303" i="2" s="1"/>
  <c r="X304" i="2"/>
  <c r="E304" i="2" s="1"/>
  <c r="X305" i="2"/>
  <c r="E305" i="2" s="1"/>
  <c r="X306" i="2"/>
  <c r="E306" i="2" s="1"/>
  <c r="X307" i="2"/>
  <c r="E307" i="2" s="1"/>
  <c r="X308" i="2"/>
  <c r="E308" i="2" s="1"/>
  <c r="X309" i="2"/>
  <c r="E309" i="2" s="1"/>
  <c r="X310" i="2"/>
  <c r="E310" i="2" s="1"/>
  <c r="X311" i="2"/>
  <c r="E311" i="2" s="1"/>
  <c r="X312" i="2"/>
  <c r="E312" i="2" s="1"/>
  <c r="X313" i="2"/>
  <c r="E313" i="2" s="1"/>
  <c r="X314" i="2"/>
  <c r="E314" i="2" s="1"/>
  <c r="X315" i="2"/>
  <c r="E315" i="2" s="1"/>
  <c r="X316" i="2"/>
  <c r="E316" i="2" s="1"/>
  <c r="X317" i="2"/>
  <c r="E317" i="2" s="1"/>
  <c r="X318" i="2"/>
  <c r="E318" i="2" s="1"/>
  <c r="X319" i="2"/>
  <c r="E319" i="2" s="1"/>
  <c r="X320" i="2"/>
  <c r="E320" i="2" s="1"/>
  <c r="X321" i="2"/>
  <c r="E321" i="2" s="1"/>
  <c r="X322" i="2"/>
  <c r="E322" i="2" s="1"/>
  <c r="X323" i="2"/>
  <c r="E323" i="2" s="1"/>
  <c r="X324" i="2"/>
  <c r="E324" i="2" s="1"/>
  <c r="X325" i="2"/>
  <c r="E325" i="2" s="1"/>
  <c r="X326" i="2"/>
  <c r="E326" i="2" s="1"/>
  <c r="X327" i="2"/>
  <c r="E327" i="2" s="1"/>
  <c r="X328" i="2"/>
  <c r="E328" i="2" s="1"/>
  <c r="X329" i="2"/>
  <c r="E329" i="2" s="1"/>
  <c r="X330" i="2"/>
  <c r="E330" i="2" s="1"/>
  <c r="X331" i="2"/>
  <c r="E331" i="2" s="1"/>
  <c r="X332" i="2"/>
  <c r="E332" i="2" s="1"/>
  <c r="X333" i="2"/>
  <c r="E333" i="2" s="1"/>
  <c r="X334" i="2"/>
  <c r="E334" i="2" s="1"/>
  <c r="X335" i="2"/>
  <c r="E335" i="2" s="1"/>
  <c r="X336" i="2"/>
  <c r="E336" i="2" s="1"/>
  <c r="X337" i="2"/>
  <c r="E337" i="2" s="1"/>
  <c r="X338" i="2"/>
  <c r="E338" i="2" s="1"/>
  <c r="X339" i="2"/>
  <c r="E339" i="2" s="1"/>
  <c r="X340" i="2"/>
  <c r="E340" i="2" s="1"/>
  <c r="X341" i="2"/>
  <c r="E341" i="2" s="1"/>
  <c r="X342" i="2"/>
  <c r="E342" i="2" s="1"/>
  <c r="X343" i="2"/>
  <c r="E343" i="2" s="1"/>
  <c r="X344" i="2"/>
  <c r="E344" i="2" s="1"/>
  <c r="X345" i="2"/>
  <c r="E345" i="2" s="1"/>
  <c r="X346" i="2"/>
  <c r="E346" i="2" s="1"/>
  <c r="X347" i="2"/>
  <c r="E347" i="2" s="1"/>
  <c r="X348" i="2"/>
  <c r="E348" i="2" s="1"/>
  <c r="X349" i="2"/>
  <c r="E349" i="2" s="1"/>
  <c r="X350" i="2"/>
  <c r="E350" i="2" s="1"/>
  <c r="X351" i="2"/>
  <c r="E351" i="2" s="1"/>
  <c r="X352" i="2"/>
  <c r="E352" i="2" s="1"/>
  <c r="X353" i="2"/>
  <c r="E353" i="2" s="1"/>
  <c r="X354" i="2"/>
  <c r="E354" i="2" s="1"/>
  <c r="X355" i="2"/>
  <c r="E355" i="2" s="1"/>
  <c r="X356" i="2"/>
  <c r="E356" i="2" s="1"/>
  <c r="X357" i="2"/>
  <c r="E357" i="2" s="1"/>
  <c r="X358" i="2"/>
  <c r="E358" i="2" s="1"/>
  <c r="X359" i="2"/>
  <c r="E359" i="2" s="1"/>
  <c r="X360" i="2"/>
  <c r="E360" i="2" s="1"/>
  <c r="X361" i="2"/>
  <c r="E361" i="2" s="1"/>
  <c r="X362" i="2"/>
  <c r="E362" i="2" s="1"/>
  <c r="X363" i="2"/>
  <c r="E363" i="2" s="1"/>
  <c r="X364" i="2"/>
  <c r="E364" i="2" s="1"/>
  <c r="X365" i="2"/>
  <c r="E365" i="2" s="1"/>
  <c r="X366" i="2"/>
  <c r="E366" i="2" s="1"/>
  <c r="X367" i="2"/>
  <c r="E367" i="2" s="1"/>
  <c r="X370" i="2"/>
  <c r="E370" i="2" s="1"/>
  <c r="X369" i="2"/>
  <c r="E369" i="2" s="1"/>
  <c r="X368" i="2"/>
  <c r="E368" i="2" s="1"/>
  <c r="X371" i="2"/>
  <c r="E371" i="2" s="1"/>
  <c r="X372" i="2"/>
  <c r="E372" i="2" s="1"/>
  <c r="X373" i="2"/>
  <c r="E373" i="2" s="1"/>
  <c r="X374" i="2"/>
  <c r="E374" i="2" s="1"/>
  <c r="X375" i="2"/>
  <c r="E375" i="2" s="1"/>
  <c r="X377" i="2"/>
  <c r="E377" i="2" s="1"/>
  <c r="X378" i="2"/>
  <c r="E378" i="2" s="1"/>
  <c r="X376" i="2"/>
  <c r="E376" i="2" s="1"/>
  <c r="X380" i="2"/>
  <c r="E380" i="2" s="1"/>
  <c r="X381" i="2"/>
  <c r="E381" i="2" s="1"/>
  <c r="X382" i="2"/>
  <c r="E382" i="2" s="1"/>
  <c r="X383" i="2"/>
  <c r="E383" i="2" s="1"/>
  <c r="X384" i="2"/>
  <c r="E384" i="2" s="1"/>
  <c r="X385" i="2"/>
  <c r="E385" i="2" s="1"/>
  <c r="X386" i="2"/>
  <c r="E386" i="2" s="1"/>
  <c r="X387" i="2"/>
  <c r="E387" i="2" s="1"/>
  <c r="X388" i="2"/>
  <c r="E388" i="2" s="1"/>
  <c r="X389" i="2"/>
  <c r="E389" i="2" s="1"/>
  <c r="X391" i="2"/>
  <c r="E391" i="2" s="1"/>
  <c r="X390" i="2"/>
  <c r="E390" i="2" s="1"/>
  <c r="X392" i="2"/>
  <c r="E392" i="2" s="1"/>
  <c r="X397" i="2"/>
  <c r="E397" i="2" s="1"/>
  <c r="X393" i="2"/>
  <c r="E393" i="2" s="1"/>
  <c r="X394" i="2"/>
  <c r="E394" i="2" s="1"/>
  <c r="X395" i="2"/>
  <c r="E395" i="2" s="1"/>
  <c r="X398" i="2"/>
  <c r="E398" i="2" s="1"/>
  <c r="X399" i="2"/>
  <c r="E399" i="2" s="1"/>
  <c r="X396" i="2"/>
  <c r="E396" i="2" s="1"/>
  <c r="X400" i="2"/>
  <c r="E400" i="2" s="1"/>
  <c r="X441" i="2"/>
  <c r="E441" i="2" s="1"/>
  <c r="X432" i="2"/>
  <c r="E432" i="2" s="1"/>
  <c r="X427" i="2"/>
  <c r="E427" i="2" s="1"/>
  <c r="X429" i="2"/>
  <c r="E429" i="2" s="1"/>
  <c r="X404" i="2"/>
  <c r="E404" i="2" s="1"/>
  <c r="X405" i="2"/>
  <c r="E405" i="2" s="1"/>
  <c r="X406" i="2"/>
  <c r="E406" i="2" s="1"/>
  <c r="X407" i="2"/>
  <c r="E407" i="2" s="1"/>
  <c r="X408" i="2"/>
  <c r="E408" i="2" s="1"/>
  <c r="X409" i="2"/>
  <c r="E409" i="2" s="1"/>
  <c r="X401" i="2"/>
  <c r="E401" i="2" s="1"/>
  <c r="X402" i="2"/>
  <c r="E402" i="2" s="1"/>
  <c r="X416" i="2"/>
  <c r="E416" i="2" s="1"/>
  <c r="X425" i="2"/>
  <c r="E425" i="2" s="1"/>
  <c r="X411" i="2"/>
  <c r="E411" i="2" s="1"/>
  <c r="X440" i="2"/>
  <c r="E440" i="2" s="1"/>
  <c r="X430" i="2"/>
  <c r="E430" i="2" s="1"/>
  <c r="X412" i="2"/>
  <c r="E412" i="2" s="1"/>
  <c r="X417" i="2"/>
  <c r="E417" i="2" s="1"/>
  <c r="X413" i="2"/>
  <c r="E413" i="2" s="1"/>
  <c r="X414" i="2"/>
  <c r="E414" i="2" s="1"/>
  <c r="X418" i="2"/>
  <c r="E418" i="2" s="1"/>
  <c r="X419" i="2"/>
  <c r="E419" i="2" s="1"/>
  <c r="X420" i="2"/>
  <c r="E420" i="2" s="1"/>
  <c r="X415" i="2"/>
  <c r="E415" i="2" s="1"/>
  <c r="X421" i="2"/>
  <c r="E421" i="2" s="1"/>
  <c r="X422" i="2"/>
  <c r="E422" i="2" s="1"/>
  <c r="X403" i="2"/>
  <c r="E403" i="2" s="1"/>
  <c r="X431" i="2"/>
  <c r="E431" i="2" s="1"/>
  <c r="X428" i="2"/>
  <c r="E428" i="2" s="1"/>
  <c r="X433" i="2"/>
  <c r="E433" i="2" s="1"/>
  <c r="X434" i="2"/>
  <c r="E434" i="2" s="1"/>
  <c r="X410" i="2"/>
  <c r="E410" i="2" s="1"/>
  <c r="X426" i="2"/>
  <c r="E426" i="2" s="1"/>
  <c r="X435" i="2"/>
  <c r="E435" i="2" s="1"/>
  <c r="X436" i="2"/>
  <c r="E436" i="2" s="1"/>
  <c r="X437" i="2"/>
  <c r="E437" i="2" s="1"/>
  <c r="X438" i="2"/>
  <c r="E438" i="2" s="1"/>
  <c r="X439" i="2"/>
  <c r="E439" i="2" s="1"/>
  <c r="X424" i="2"/>
  <c r="E424" i="2" s="1"/>
  <c r="X423" i="2"/>
  <c r="E423" i="2" s="1"/>
  <c r="X379" i="2"/>
  <c r="E379" i="2" s="1"/>
  <c r="X442" i="2"/>
  <c r="E442" i="2" s="1"/>
  <c r="X443" i="2"/>
  <c r="E443" i="2" s="1"/>
  <c r="X444" i="2"/>
  <c r="E444" i="2" s="1"/>
  <c r="X445" i="2"/>
  <c r="E445" i="2" s="1"/>
  <c r="X446" i="2"/>
  <c r="E446" i="2" s="1"/>
  <c r="X447" i="2"/>
  <c r="E447" i="2" s="1"/>
  <c r="X448" i="2"/>
  <c r="E448" i="2" s="1"/>
  <c r="X449" i="2"/>
  <c r="E449" i="2" s="1"/>
  <c r="X450" i="2"/>
  <c r="E450" i="2" s="1"/>
  <c r="X451" i="2"/>
  <c r="E451" i="2" s="1"/>
  <c r="X452" i="2"/>
  <c r="E452" i="2" s="1"/>
  <c r="X453" i="2"/>
  <c r="E453" i="2" s="1"/>
  <c r="X454" i="2"/>
  <c r="E454" i="2" s="1"/>
  <c r="X455" i="2"/>
  <c r="E455" i="2" s="1"/>
  <c r="X456" i="2"/>
  <c r="E456" i="2" s="1"/>
  <c r="X457" i="2"/>
  <c r="E457" i="2" s="1"/>
  <c r="X458" i="2"/>
  <c r="E458" i="2" s="1"/>
  <c r="X459" i="2"/>
  <c r="E459" i="2" s="1"/>
  <c r="X460" i="2"/>
  <c r="E460" i="2" s="1"/>
  <c r="X461" i="2"/>
  <c r="E461" i="2" s="1"/>
  <c r="X462" i="2"/>
  <c r="E462" i="2" s="1"/>
  <c r="X463" i="2"/>
  <c r="E463" i="2" s="1"/>
  <c r="X464" i="2"/>
  <c r="E464" i="2" s="1"/>
  <c r="X465" i="2"/>
  <c r="E465" i="2" s="1"/>
  <c r="X466" i="2"/>
  <c r="E466" i="2" s="1"/>
  <c r="X467" i="2"/>
  <c r="E467" i="2" s="1"/>
  <c r="X468" i="2"/>
  <c r="E468" i="2" s="1"/>
  <c r="X469" i="2"/>
  <c r="E469" i="2" s="1"/>
  <c r="X470" i="2"/>
  <c r="E470" i="2" s="1"/>
  <c r="X471" i="2"/>
  <c r="E471" i="2" s="1"/>
  <c r="X472" i="2"/>
  <c r="E472" i="2" s="1"/>
  <c r="X473" i="2"/>
  <c r="E473" i="2" s="1"/>
  <c r="X474" i="2"/>
  <c r="E474" i="2" s="1"/>
  <c r="X475" i="2"/>
  <c r="E475" i="2" s="1"/>
  <c r="X476" i="2"/>
  <c r="E476" i="2" s="1"/>
  <c r="X477" i="2"/>
  <c r="E477" i="2" s="1"/>
  <c r="X478" i="2"/>
  <c r="E478" i="2" s="1"/>
  <c r="X479" i="2"/>
  <c r="E479" i="2" s="1"/>
  <c r="X481" i="2"/>
  <c r="E481" i="2" s="1"/>
  <c r="X480" i="2"/>
  <c r="E480" i="2" s="1"/>
  <c r="X482" i="2"/>
  <c r="E482" i="2" s="1"/>
  <c r="X16" i="2"/>
  <c r="E16" i="2" s="1"/>
  <c r="X5" i="2"/>
  <c r="E5" i="2" s="1"/>
  <c r="X6" i="2"/>
  <c r="E6" i="2" s="1"/>
  <c r="X7" i="2"/>
  <c r="E7" i="2" s="1"/>
  <c r="X8" i="2"/>
  <c r="E8" i="2" s="1"/>
  <c r="X9" i="2"/>
  <c r="E9" i="2" s="1"/>
  <c r="X10" i="2"/>
  <c r="E10" i="2" s="1"/>
  <c r="X11" i="2"/>
  <c r="E11" i="2" s="1"/>
  <c r="X12" i="2"/>
  <c r="E12" i="2" s="1"/>
  <c r="X13" i="2"/>
  <c r="E13" i="2" s="1"/>
  <c r="X14" i="2"/>
  <c r="E14" i="2" s="1"/>
  <c r="X15" i="2"/>
  <c r="E15" i="2" s="1"/>
  <c r="X4" i="2"/>
  <c r="E4" i="2" s="1"/>
  <c r="A4" i="2"/>
  <c r="A3" i="14"/>
  <c r="B3" i="14"/>
  <c r="C3" i="14"/>
  <c r="D3" i="14"/>
  <c r="E3" i="14"/>
  <c r="F3" i="14"/>
  <c r="G3" i="14"/>
  <c r="H3" i="14"/>
  <c r="I3" i="14"/>
  <c r="J3" i="14"/>
  <c r="K3" i="14"/>
  <c r="L3" i="14"/>
  <c r="M3" i="14"/>
  <c r="N3" i="14"/>
  <c r="O3" i="14"/>
  <c r="P3" i="14"/>
  <c r="Q3" i="14"/>
  <c r="R3" i="14"/>
  <c r="S3" i="14"/>
  <c r="T3" i="14"/>
  <c r="U3" i="14"/>
  <c r="V3" i="14"/>
  <c r="W3" i="14"/>
  <c r="X3" i="14"/>
  <c r="Y3" i="14"/>
  <c r="Z3" i="14"/>
  <c r="N411" i="2"/>
  <c r="F411" i="2"/>
  <c r="C411" i="2"/>
  <c r="N425" i="2"/>
  <c r="F425" i="2"/>
  <c r="C425" i="2"/>
  <c r="N424" i="2"/>
  <c r="F424" i="2"/>
  <c r="C424" i="2"/>
  <c r="C98" i="5"/>
  <c r="F98" i="5"/>
  <c r="N440" i="2"/>
  <c r="F440" i="2"/>
  <c r="C440" i="2"/>
  <c r="N413" i="2"/>
  <c r="F413" i="2"/>
  <c r="C413" i="2"/>
  <c r="N430" i="2"/>
  <c r="F430" i="2"/>
  <c r="C430" i="2"/>
  <c r="N412" i="2"/>
  <c r="F412" i="2"/>
  <c r="C412" i="2"/>
  <c r="N414" i="2"/>
  <c r="F414" i="2"/>
  <c r="C414" i="2"/>
  <c r="C26" i="5"/>
  <c r="E26" i="5"/>
  <c r="F26" i="5"/>
  <c r="N361"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475" i="2"/>
  <c r="C476" i="2"/>
  <c r="C477" i="2"/>
  <c r="C478" i="2"/>
  <c r="C479" i="2"/>
  <c r="C481" i="2"/>
  <c r="C480" i="2"/>
  <c r="C482" i="2"/>
  <c r="C403" i="2"/>
  <c r="C431" i="2"/>
  <c r="C428" i="2"/>
  <c r="C433" i="2"/>
  <c r="C434" i="2"/>
  <c r="C410" i="2"/>
  <c r="C426" i="2"/>
  <c r="C435" i="2"/>
  <c r="C436" i="2"/>
  <c r="C437" i="2"/>
  <c r="C438" i="2"/>
  <c r="C439" i="2"/>
  <c r="C432" i="2"/>
  <c r="C427" i="2"/>
  <c r="C429" i="2"/>
  <c r="C404" i="2"/>
  <c r="C405" i="2"/>
  <c r="C406" i="2"/>
  <c r="C407" i="2"/>
  <c r="C408" i="2"/>
  <c r="C393" i="2"/>
  <c r="C394" i="2"/>
  <c r="C395" i="2"/>
  <c r="C423" i="2"/>
  <c r="C417" i="2"/>
  <c r="C409" i="2"/>
  <c r="C401" i="2"/>
  <c r="C402" i="2"/>
  <c r="C416" i="2"/>
  <c r="C418" i="2"/>
  <c r="C419" i="2"/>
  <c r="C365" i="2"/>
  <c r="C361" i="2"/>
  <c r="C363" i="2"/>
  <c r="C366" i="2"/>
  <c r="C364" i="2"/>
  <c r="C370" i="2"/>
  <c r="C369" i="2"/>
  <c r="C398" i="2"/>
  <c r="C397" i="2"/>
  <c r="C367" i="2"/>
  <c r="C420" i="2"/>
  <c r="C415" i="2"/>
  <c r="C399" i="2"/>
  <c r="C396" i="2"/>
  <c r="C383" i="2"/>
  <c r="C374" i="2"/>
  <c r="C400" i="2"/>
  <c r="C474" i="2"/>
  <c r="C362" i="2"/>
  <c r="C375" i="2"/>
  <c r="C421" i="2"/>
  <c r="C368" i="2"/>
  <c r="C371" i="2"/>
  <c r="C448" i="2"/>
  <c r="C449" i="2"/>
  <c r="C372" i="2"/>
  <c r="C422" i="2"/>
  <c r="C373" i="2"/>
  <c r="C379" i="2"/>
  <c r="C377" i="2"/>
  <c r="C378" i="2"/>
  <c r="C391" i="2"/>
  <c r="C441" i="2"/>
  <c r="C442" i="2"/>
  <c r="C443" i="2"/>
  <c r="C444" i="2"/>
  <c r="C445" i="2"/>
  <c r="C376" i="2"/>
  <c r="C446" i="2"/>
  <c r="C447" i="2"/>
  <c r="C450" i="2"/>
  <c r="C451" i="2"/>
  <c r="C452" i="2"/>
  <c r="C380" i="2"/>
  <c r="C453" i="2"/>
  <c r="C454" i="2"/>
  <c r="C455" i="2"/>
  <c r="C456" i="2"/>
  <c r="C457" i="2"/>
  <c r="C392" i="2"/>
  <c r="C458" i="2"/>
  <c r="C459" i="2"/>
  <c r="C460" i="2"/>
  <c r="C461" i="2"/>
  <c r="C462" i="2"/>
  <c r="C386" i="2"/>
  <c r="C387" i="2"/>
  <c r="C390" i="2"/>
  <c r="C463" i="2"/>
  <c r="C389" i="2"/>
  <c r="C464" i="2"/>
  <c r="C465" i="2"/>
  <c r="C466" i="2"/>
  <c r="C467" i="2"/>
  <c r="C382" i="2"/>
  <c r="C388" i="2"/>
  <c r="C384" i="2"/>
  <c r="C381" i="2"/>
  <c r="C468" i="2"/>
  <c r="C469" i="2"/>
  <c r="C470" i="2"/>
  <c r="C471" i="2"/>
  <c r="C385" i="2"/>
  <c r="C472" i="2"/>
  <c r="C473" i="2"/>
  <c r="N474" i="2"/>
  <c r="N473" i="2"/>
  <c r="N450" i="2"/>
  <c r="N362" i="2"/>
  <c r="N451" i="2"/>
  <c r="N452" i="2"/>
  <c r="N398" i="2"/>
  <c r="N366" i="2"/>
  <c r="N365" i="2"/>
  <c r="N441" i="2"/>
  <c r="N380" i="2"/>
  <c r="N397" i="2"/>
  <c r="N453" i="2"/>
  <c r="N442" i="2"/>
  <c r="N454" i="2"/>
  <c r="N443" i="2"/>
  <c r="N375" i="2"/>
  <c r="N455" i="2"/>
  <c r="N444" i="2"/>
  <c r="N368" i="2"/>
  <c r="N367" i="2"/>
  <c r="N456" i="2"/>
  <c r="N457" i="2"/>
  <c r="N392" i="2"/>
  <c r="N458" i="2"/>
  <c r="N459" i="2"/>
  <c r="N409" i="2"/>
  <c r="N364" i="2"/>
  <c r="N371" i="2"/>
  <c r="N370" i="2"/>
  <c r="N363" i="2"/>
  <c r="N460" i="2"/>
  <c r="N399" i="2"/>
  <c r="N448" i="2"/>
  <c r="N449" i="2"/>
  <c r="N396" i="2"/>
  <c r="N445" i="2"/>
  <c r="N461" i="2"/>
  <c r="N383" i="2"/>
  <c r="N372" i="2"/>
  <c r="N462" i="2"/>
  <c r="N386" i="2"/>
  <c r="N387" i="2"/>
  <c r="N390" i="2"/>
  <c r="N463" i="2"/>
  <c r="N369" i="2"/>
  <c r="N389" i="2"/>
  <c r="N464" i="2"/>
  <c r="N376" i="2"/>
  <c r="N373" i="2"/>
  <c r="N465" i="2"/>
  <c r="N374" i="2"/>
  <c r="N466" i="2"/>
  <c r="N400" i="2"/>
  <c r="N467" i="2"/>
  <c r="N382" i="2"/>
  <c r="N388" i="2"/>
  <c r="N379" i="2"/>
  <c r="N384" i="2"/>
  <c r="N381" i="2"/>
  <c r="N468" i="2"/>
  <c r="N469" i="2"/>
  <c r="N377" i="2"/>
  <c r="N446" i="2"/>
  <c r="N470" i="2"/>
  <c r="N471" i="2"/>
  <c r="N385" i="2"/>
  <c r="N472" i="2"/>
  <c r="N378" i="2"/>
  <c r="N391" i="2"/>
  <c r="N447" i="2"/>
  <c r="F474" i="2"/>
  <c r="F473" i="2"/>
  <c r="F450" i="2"/>
  <c r="F362" i="2"/>
  <c r="F451" i="2"/>
  <c r="F452" i="2"/>
  <c r="F398" i="2"/>
  <c r="F366" i="2"/>
  <c r="F365" i="2"/>
  <c r="F441" i="2"/>
  <c r="F361" i="2"/>
  <c r="F380" i="2"/>
  <c r="F397" i="2"/>
  <c r="F453" i="2"/>
  <c r="F442" i="2"/>
  <c r="F454" i="2"/>
  <c r="F443" i="2"/>
  <c r="F375" i="2"/>
  <c r="F455" i="2"/>
  <c r="F444" i="2"/>
  <c r="F368" i="2"/>
  <c r="F367" i="2"/>
  <c r="F456" i="2"/>
  <c r="F457" i="2"/>
  <c r="F392" i="2"/>
  <c r="F458" i="2"/>
  <c r="F459" i="2"/>
  <c r="F409" i="2"/>
  <c r="F364" i="2"/>
  <c r="F371" i="2"/>
  <c r="F370" i="2"/>
  <c r="F363" i="2"/>
  <c r="F460" i="2"/>
  <c r="F399" i="2"/>
  <c r="F448" i="2"/>
  <c r="F449" i="2"/>
  <c r="F396" i="2"/>
  <c r="F445" i="2"/>
  <c r="F461" i="2"/>
  <c r="F383" i="2"/>
  <c r="F372" i="2"/>
  <c r="F462" i="2"/>
  <c r="F386" i="2"/>
  <c r="F387" i="2"/>
  <c r="F390" i="2"/>
  <c r="F463" i="2"/>
  <c r="F369" i="2"/>
  <c r="F389" i="2"/>
  <c r="F464" i="2"/>
  <c r="F376" i="2"/>
  <c r="F373" i="2"/>
  <c r="F465" i="2"/>
  <c r="F374" i="2"/>
  <c r="F466" i="2"/>
  <c r="F400" i="2"/>
  <c r="F467" i="2"/>
  <c r="F382" i="2"/>
  <c r="F388" i="2"/>
  <c r="F379" i="2"/>
  <c r="F384" i="2"/>
  <c r="F381" i="2"/>
  <c r="F468" i="2"/>
  <c r="F469" i="2"/>
  <c r="F377" i="2"/>
  <c r="F446" i="2"/>
  <c r="F470" i="2"/>
  <c r="F471" i="2"/>
  <c r="F385" i="2"/>
  <c r="F472" i="2"/>
  <c r="F378" i="2"/>
  <c r="F391" i="2"/>
  <c r="F447" i="2"/>
  <c r="L34" i="3"/>
  <c r="N34" i="3" s="1"/>
  <c r="B2" i="3"/>
  <c r="C2" i="3" s="1"/>
  <c r="N422" i="2"/>
  <c r="F422" i="2"/>
  <c r="N421" i="2"/>
  <c r="F421" i="2"/>
  <c r="N415" i="2"/>
  <c r="F415" i="2"/>
  <c r="N420" i="2"/>
  <c r="F420" i="2"/>
  <c r="N419" i="2"/>
  <c r="F419" i="2"/>
  <c r="N418" i="2"/>
  <c r="N416" i="2"/>
  <c r="N417" i="2"/>
  <c r="N423" i="2"/>
  <c r="N360" i="2"/>
  <c r="N359" i="2"/>
  <c r="F418" i="2"/>
  <c r="F416" i="2"/>
  <c r="F417" i="2"/>
  <c r="F423" i="2"/>
  <c r="N439" i="2"/>
  <c r="F439" i="2"/>
  <c r="N438" i="2"/>
  <c r="F438" i="2"/>
  <c r="N437" i="2"/>
  <c r="F437" i="2"/>
  <c r="N408" i="2"/>
  <c r="F408" i="2"/>
  <c r="N407" i="2"/>
  <c r="F407" i="2"/>
  <c r="N436" i="2"/>
  <c r="F436" i="2"/>
  <c r="N435" i="2"/>
  <c r="F435" i="2"/>
  <c r="N406" i="2"/>
  <c r="F406" i="2"/>
  <c r="N405" i="2"/>
  <c r="F405" i="2"/>
  <c r="N404" i="2"/>
  <c r="F404" i="2"/>
  <c r="N428" i="2"/>
  <c r="F428" i="2"/>
  <c r="N478" i="2"/>
  <c r="F478" i="2"/>
  <c r="N477" i="2"/>
  <c r="F477" i="2"/>
  <c r="N476" i="2"/>
  <c r="F476" i="2"/>
  <c r="F475" i="2"/>
  <c r="N475" i="2"/>
  <c r="N479" i="2"/>
  <c r="F352" i="2"/>
  <c r="F353" i="2"/>
  <c r="F354" i="2"/>
  <c r="F355" i="2"/>
  <c r="F356" i="2"/>
  <c r="F357" i="2"/>
  <c r="F358" i="2"/>
  <c r="F359" i="2"/>
  <c r="F360" i="2"/>
  <c r="F481" i="2"/>
  <c r="F433" i="2"/>
  <c r="F432" i="2"/>
  <c r="F482" i="2"/>
  <c r="F426" i="2"/>
  <c r="F427" i="2"/>
  <c r="F403" i="2"/>
  <c r="F434" i="2"/>
  <c r="F410" i="2"/>
  <c r="F429" i="2"/>
  <c r="F431" i="2"/>
  <c r="F401" i="2"/>
  <c r="F402" i="2"/>
  <c r="F480" i="2"/>
  <c r="F479" i="2"/>
  <c r="C31" i="5"/>
  <c r="E31" i="5" s="1"/>
  <c r="F31" i="5"/>
  <c r="C30" i="5"/>
  <c r="E30" i="5" s="1"/>
  <c r="F30" i="5"/>
  <c r="N354" i="2"/>
  <c r="N355" i="2"/>
  <c r="N356" i="2"/>
  <c r="N357" i="2"/>
  <c r="N358" i="2"/>
  <c r="N481" i="2"/>
  <c r="N433" i="2"/>
  <c r="N432" i="2"/>
  <c r="N482" i="2"/>
  <c r="N426" i="2"/>
  <c r="N427" i="2"/>
  <c r="N403" i="2"/>
  <c r="N434" i="2"/>
  <c r="N410" i="2"/>
  <c r="N429" i="2"/>
  <c r="N431" i="2"/>
  <c r="N401" i="2"/>
  <c r="N402" i="2"/>
  <c r="N480" i="2"/>
  <c r="E33" i="7" a="1"/>
  <c r="K53" i="7" s="1"/>
  <c r="K54" i="7" s="1" a="1"/>
  <c r="K54" i="7" s="1"/>
  <c r="B33" i="7" a="1"/>
  <c r="N43" i="7" s="1"/>
  <c r="N44" i="7" s="1" a="1"/>
  <c r="N44" i="7" s="1"/>
  <c r="H19" i="7" a="1"/>
  <c r="H19" i="7" s="1"/>
  <c r="E19" i="7" a="1"/>
  <c r="E19" i="7" s="1"/>
  <c r="C97" i="5"/>
  <c r="F97" i="5"/>
  <c r="C96" i="5"/>
  <c r="F96" i="5"/>
  <c r="C105" i="5"/>
  <c r="F105" i="5"/>
  <c r="C104" i="5"/>
  <c r="F104" i="5"/>
  <c r="C79" i="5"/>
  <c r="F79" i="5"/>
  <c r="C80" i="5"/>
  <c r="F80" i="5"/>
  <c r="C72" i="5"/>
  <c r="F72" i="5"/>
  <c r="C73" i="5"/>
  <c r="F73" i="5"/>
  <c r="C67" i="5"/>
  <c r="F67" i="5"/>
  <c r="N269" i="2"/>
  <c r="N283" i="2"/>
  <c r="N281" i="2"/>
  <c r="N279" i="2"/>
  <c r="N278" i="2"/>
  <c r="N299" i="2"/>
  <c r="N289" i="2"/>
  <c r="N305" i="2"/>
  <c r="N311" i="2"/>
  <c r="N317" i="2"/>
  <c r="N320" i="2"/>
  <c r="N323" i="2"/>
  <c r="N328" i="2"/>
  <c r="N344" i="2"/>
  <c r="N291" i="2"/>
  <c r="N338" i="2"/>
  <c r="N295" i="2"/>
  <c r="N336" i="2"/>
  <c r="N282" i="2"/>
  <c r="N287" i="2"/>
  <c r="N294" i="2"/>
  <c r="N333" i="2"/>
  <c r="N343" i="2"/>
  <c r="C28" i="5"/>
  <c r="E28" i="5" s="1"/>
  <c r="F28" i="5"/>
  <c r="C29" i="5"/>
  <c r="E29" i="5" s="1"/>
  <c r="F29" i="5"/>
  <c r="N318" i="2"/>
  <c r="N301" i="2"/>
  <c r="N327" i="2"/>
  <c r="N349" i="2"/>
  <c r="N332" i="2"/>
  <c r="N319" i="2"/>
  <c r="N339" i="2"/>
  <c r="N304" i="2"/>
  <c r="N330" i="2"/>
  <c r="N351" i="2"/>
  <c r="N329" i="2"/>
  <c r="N300" i="2"/>
  <c r="N306" i="2"/>
  <c r="N293" i="2"/>
  <c r="N324" i="2"/>
  <c r="N315" i="2"/>
  <c r="N312" i="2"/>
  <c r="F283" i="2"/>
  <c r="F343" i="2"/>
  <c r="F316" i="2"/>
  <c r="F325" i="2"/>
  <c r="F347" i="2"/>
  <c r="F340" i="2"/>
  <c r="F335" i="2"/>
  <c r="F350" i="2"/>
  <c r="F318" i="2"/>
  <c r="F305" i="2"/>
  <c r="F285" i="2"/>
  <c r="F301" i="2"/>
  <c r="F280" i="2"/>
  <c r="F282" i="2"/>
  <c r="F310" i="2"/>
  <c r="F322" i="2"/>
  <c r="F309" i="2"/>
  <c r="F291" i="2"/>
  <c r="F327" i="2"/>
  <c r="F323" i="2"/>
  <c r="F313" i="2"/>
  <c r="F311" i="2"/>
  <c r="F286" i="2"/>
  <c r="F284" i="2"/>
  <c r="F281" i="2"/>
  <c r="F349" i="2"/>
  <c r="F344" i="2"/>
  <c r="F342" i="2"/>
  <c r="F332" i="2"/>
  <c r="F292" i="2"/>
  <c r="F278" i="2"/>
  <c r="F319" i="2"/>
  <c r="F337" i="2"/>
  <c r="F288" i="2"/>
  <c r="F339" i="2"/>
  <c r="F333" i="2"/>
  <c r="F302" i="2"/>
  <c r="F304" i="2"/>
  <c r="F330" i="2"/>
  <c r="F295" i="2"/>
  <c r="F338" i="2"/>
  <c r="F328" i="2"/>
  <c r="F307" i="2"/>
  <c r="F351" i="2"/>
  <c r="F329" i="2"/>
  <c r="F331" i="2"/>
  <c r="F348" i="2"/>
  <c r="F290" i="2"/>
  <c r="F300" i="2"/>
  <c r="F317" i="2"/>
  <c r="F279" i="2"/>
  <c r="F277" i="2"/>
  <c r="F346" i="2"/>
  <c r="F298" i="2"/>
  <c r="F320" i="2"/>
  <c r="F297" i="2"/>
  <c r="F299" i="2"/>
  <c r="F289" i="2"/>
  <c r="F294" i="2"/>
  <c r="F334" i="2"/>
  <c r="F287" i="2"/>
  <c r="F336" i="2"/>
  <c r="F321" i="2"/>
  <c r="F326" i="2"/>
  <c r="F306" i="2"/>
  <c r="F293" i="2"/>
  <c r="F314" i="2"/>
  <c r="F324" i="2"/>
  <c r="F296" i="2"/>
  <c r="F308" i="2"/>
  <c r="F303" i="2"/>
  <c r="F315" i="2"/>
  <c r="F312" i="2"/>
  <c r="F345" i="2"/>
  <c r="F341" i="2"/>
  <c r="N267" i="2"/>
  <c r="F267" i="2"/>
  <c r="N266" i="2"/>
  <c r="N268" i="2"/>
  <c r="N270" i="2"/>
  <c r="N274" i="2"/>
  <c r="N264" i="2"/>
  <c r="N257" i="2"/>
  <c r="N275" i="2"/>
  <c r="N260" i="2"/>
  <c r="N261" i="2"/>
  <c r="N265" i="2"/>
  <c r="N262" i="2"/>
  <c r="N272" i="2"/>
  <c r="N263" i="2"/>
  <c r="N273" i="2"/>
  <c r="N271" i="2"/>
  <c r="N255" i="2"/>
  <c r="N254" i="2"/>
  <c r="N256" i="2"/>
  <c r="N253" i="2"/>
  <c r="N258" i="2"/>
  <c r="N259" i="2"/>
  <c r="N276" i="2"/>
  <c r="F276" i="2"/>
  <c r="F259" i="2"/>
  <c r="F258" i="2"/>
  <c r="F266" i="2"/>
  <c r="F268" i="2"/>
  <c r="F270" i="2"/>
  <c r="F274" i="2"/>
  <c r="F269" i="2"/>
  <c r="F264" i="2"/>
  <c r="F257" i="2"/>
  <c r="F275" i="2"/>
  <c r="F260" i="2"/>
  <c r="F261" i="2"/>
  <c r="F265" i="2"/>
  <c r="F262" i="2"/>
  <c r="F272" i="2"/>
  <c r="F263" i="2"/>
  <c r="F273" i="2"/>
  <c r="F271" i="2"/>
  <c r="F255" i="2"/>
  <c r="F254" i="2"/>
  <c r="F256" i="2"/>
  <c r="F253" i="2"/>
  <c r="N193" i="2"/>
  <c r="N182" i="2"/>
  <c r="N179" i="2"/>
  <c r="N178" i="2"/>
  <c r="N173" i="2"/>
  <c r="N172" i="2"/>
  <c r="F172" i="2"/>
  <c r="N252" i="2"/>
  <c r="F252" i="2"/>
  <c r="N251" i="2"/>
  <c r="F251" i="2"/>
  <c r="N250" i="2"/>
  <c r="F250" i="2"/>
  <c r="N249" i="2"/>
  <c r="F249" i="2"/>
  <c r="N248" i="2"/>
  <c r="F248" i="2"/>
  <c r="N247" i="2"/>
  <c r="F247" i="2"/>
  <c r="N246" i="2"/>
  <c r="F246" i="2"/>
  <c r="N245" i="2"/>
  <c r="F245" i="2"/>
  <c r="N244" i="2"/>
  <c r="F244" i="2"/>
  <c r="N243" i="2"/>
  <c r="F243" i="2"/>
  <c r="N229" i="2"/>
  <c r="N228" i="2"/>
  <c r="C47" i="5"/>
  <c r="N230" i="2"/>
  <c r="N231" i="2"/>
  <c r="N234" i="2"/>
  <c r="N237" i="2"/>
  <c r="N224" i="2"/>
  <c r="N238" i="2"/>
  <c r="N239" i="2"/>
  <c r="N240" i="2"/>
  <c r="N241" i="2"/>
  <c r="N227" i="2"/>
  <c r="N225" i="2"/>
  <c r="N226" i="2"/>
  <c r="N235" i="2"/>
  <c r="N236" i="2"/>
  <c r="N223" i="2"/>
  <c r="N232" i="2"/>
  <c r="N242" i="2"/>
  <c r="N233" i="2"/>
  <c r="F230" i="2"/>
  <c r="F231" i="2"/>
  <c r="F234" i="2"/>
  <c r="F237" i="2"/>
  <c r="F224" i="2"/>
  <c r="F238" i="2"/>
  <c r="F239" i="2"/>
  <c r="F240" i="2"/>
  <c r="F241" i="2"/>
  <c r="F227" i="2"/>
  <c r="F228" i="2"/>
  <c r="F229" i="2"/>
  <c r="F225" i="2"/>
  <c r="F226" i="2"/>
  <c r="F235" i="2"/>
  <c r="F236" i="2"/>
  <c r="F223" i="2"/>
  <c r="F232" i="2"/>
  <c r="F242" i="2"/>
  <c r="F233" i="2"/>
  <c r="N205" i="2"/>
  <c r="N195" i="2"/>
  <c r="N189" i="2"/>
  <c r="N206" i="2"/>
  <c r="N207" i="2"/>
  <c r="N203" i="2"/>
  <c r="N174" i="2"/>
  <c r="N181" i="2"/>
  <c r="N183" i="2"/>
  <c r="N194" i="2"/>
  <c r="N214" i="2"/>
  <c r="N200" i="2"/>
  <c r="N175" i="2"/>
  <c r="N212" i="2"/>
  <c r="N186" i="2"/>
  <c r="N196" i="2"/>
  <c r="N184" i="2"/>
  <c r="N191" i="2"/>
  <c r="N185" i="2"/>
  <c r="N197" i="2"/>
  <c r="N180" i="2"/>
  <c r="N192" i="2"/>
  <c r="N188" i="2"/>
  <c r="N204" i="2"/>
  <c r="N202" i="2"/>
  <c r="N208" i="2"/>
  <c r="N177" i="2"/>
  <c r="N218" i="2"/>
  <c r="N209" i="2"/>
  <c r="N199" i="2"/>
  <c r="N217" i="2"/>
  <c r="N187" i="2"/>
  <c r="N201" i="2"/>
  <c r="N221" i="2"/>
  <c r="N219" i="2"/>
  <c r="N190" i="2"/>
  <c r="N222" i="2"/>
  <c r="N176" i="2"/>
  <c r="N198" i="2"/>
  <c r="N211" i="2"/>
  <c r="N213" i="2"/>
  <c r="N210" i="2"/>
  <c r="N216" i="2"/>
  <c r="N215" i="2"/>
  <c r="N220" i="2"/>
  <c r="F195" i="2"/>
  <c r="F189" i="2"/>
  <c r="F206" i="2"/>
  <c r="F207" i="2"/>
  <c r="F203" i="2"/>
  <c r="F174" i="2"/>
  <c r="F181" i="2"/>
  <c r="F183" i="2"/>
  <c r="F194" i="2"/>
  <c r="F214" i="2"/>
  <c r="F200" i="2"/>
  <c r="F175" i="2"/>
  <c r="F212" i="2"/>
  <c r="F182" i="2"/>
  <c r="F186" i="2"/>
  <c r="F196" i="2"/>
  <c r="F184" i="2"/>
  <c r="F191" i="2"/>
  <c r="F185" i="2"/>
  <c r="F197" i="2"/>
  <c r="F180" i="2"/>
  <c r="F192" i="2"/>
  <c r="F193" i="2"/>
  <c r="F188" i="2"/>
  <c r="F204" i="2"/>
  <c r="F178" i="2"/>
  <c r="F202" i="2"/>
  <c r="F208" i="2"/>
  <c r="F177" i="2"/>
  <c r="F218" i="2"/>
  <c r="F209" i="2"/>
  <c r="F199" i="2"/>
  <c r="F217" i="2"/>
  <c r="F187" i="2"/>
  <c r="F201" i="2"/>
  <c r="F221" i="2"/>
  <c r="F219" i="2"/>
  <c r="F190" i="2"/>
  <c r="F222" i="2"/>
  <c r="F176" i="2"/>
  <c r="F198" i="2"/>
  <c r="F211" i="2"/>
  <c r="F213" i="2"/>
  <c r="F210" i="2"/>
  <c r="F216" i="2"/>
  <c r="F215" i="2"/>
  <c r="F220" i="2"/>
  <c r="F179" i="2"/>
  <c r="F173" i="2"/>
  <c r="F205" i="2"/>
  <c r="N122" i="2"/>
  <c r="N118" i="2"/>
  <c r="N162" i="2"/>
  <c r="F162" i="2"/>
  <c r="N164" i="2"/>
  <c r="F164" i="2"/>
  <c r="N160" i="2"/>
  <c r="F160" i="2"/>
  <c r="N163" i="2"/>
  <c r="F163" i="2"/>
  <c r="N161" i="2"/>
  <c r="F161" i="2"/>
  <c r="N159" i="2"/>
  <c r="F159" i="2"/>
  <c r="N158" i="2"/>
  <c r="F158" i="2"/>
  <c r="N166" i="2"/>
  <c r="F166" i="2"/>
  <c r="N171" i="2"/>
  <c r="F171" i="2"/>
  <c r="N165" i="2"/>
  <c r="F165" i="2"/>
  <c r="N168" i="2"/>
  <c r="F168" i="2"/>
  <c r="N156" i="2"/>
  <c r="F156" i="2"/>
  <c r="N167" i="2"/>
  <c r="F167" i="2"/>
  <c r="N170" i="2"/>
  <c r="F170" i="2"/>
  <c r="N169" i="2"/>
  <c r="F169" i="2"/>
  <c r="F33" i="3"/>
  <c r="C27" i="5"/>
  <c r="E27" i="5" s="1"/>
  <c r="F27" i="5"/>
  <c r="N157" i="2"/>
  <c r="F157" i="2"/>
  <c r="N155" i="2"/>
  <c r="F155" i="2"/>
  <c r="N154" i="2"/>
  <c r="F154" i="2"/>
  <c r="N153" i="2"/>
  <c r="F153" i="2"/>
  <c r="N152" i="2"/>
  <c r="F152" i="2"/>
  <c r="N151" i="2"/>
  <c r="F151" i="2"/>
  <c r="N150" i="2"/>
  <c r="F150" i="2"/>
  <c r="N149" i="2"/>
  <c r="F149" i="2"/>
  <c r="N288" i="2"/>
  <c r="N292" i="2"/>
  <c r="N307" i="2"/>
  <c r="N296" i="2"/>
  <c r="N341" i="2"/>
  <c r="N297" i="2"/>
  <c r="N280" i="2"/>
  <c r="N345" i="2"/>
  <c r="N334" i="2"/>
  <c r="N322" i="2"/>
  <c r="N308" i="2"/>
  <c r="N284" i="2"/>
  <c r="N342" i="2"/>
  <c r="N331" i="2"/>
  <c r="N346" i="2"/>
  <c r="N335" i="2"/>
  <c r="N316" i="2"/>
  <c r="N298" i="2"/>
  <c r="N347" i="2"/>
  <c r="N286" i="2"/>
  <c r="N350" i="2"/>
  <c r="N337" i="2"/>
  <c r="N326" i="2"/>
  <c r="N309" i="2"/>
  <c r="N314" i="2"/>
  <c r="N313" i="2"/>
  <c r="N348" i="2"/>
  <c r="N340" i="2"/>
  <c r="N325" i="2"/>
  <c r="N290" i="2"/>
  <c r="N310" i="2"/>
  <c r="N285" i="2"/>
  <c r="N321" i="2"/>
  <c r="N302" i="2"/>
  <c r="N353" i="2"/>
  <c r="N303" i="2"/>
  <c r="N352" i="2"/>
  <c r="N277" i="2"/>
  <c r="F129" i="2"/>
  <c r="F130" i="2"/>
  <c r="F131" i="2"/>
  <c r="F86" i="2"/>
  <c r="F133" i="2"/>
  <c r="F82" i="2"/>
  <c r="F135" i="2"/>
  <c r="F136" i="2"/>
  <c r="F137" i="2"/>
  <c r="F138" i="2"/>
  <c r="F117" i="2"/>
  <c r="F109" i="2"/>
  <c r="F100" i="2"/>
  <c r="F134" i="2"/>
  <c r="F143" i="2"/>
  <c r="F112" i="2"/>
  <c r="F94" i="2"/>
  <c r="F124" i="2"/>
  <c r="F125" i="2"/>
  <c r="F126" i="2"/>
  <c r="F128" i="2"/>
  <c r="F147" i="2"/>
  <c r="F139" i="2"/>
  <c r="F83" i="2"/>
  <c r="F118" i="2"/>
  <c r="F103" i="2"/>
  <c r="F85" i="2"/>
  <c r="F87" i="2"/>
  <c r="F88" i="2"/>
  <c r="F89" i="2"/>
  <c r="F90" i="2"/>
  <c r="F91" i="2"/>
  <c r="F104" i="2"/>
  <c r="F93" i="2"/>
  <c r="F96" i="2"/>
  <c r="F95" i="2"/>
  <c r="F127" i="2"/>
  <c r="F97" i="2"/>
  <c r="F92" i="2"/>
  <c r="F99" i="2"/>
  <c r="F108" i="2"/>
  <c r="F119" i="2"/>
  <c r="F102" i="2"/>
  <c r="F140" i="2"/>
  <c r="F101" i="2"/>
  <c r="F105" i="2"/>
  <c r="F106" i="2"/>
  <c r="F107" i="2"/>
  <c r="F141" i="2"/>
  <c r="F84" i="2"/>
  <c r="F110" i="2"/>
  <c r="F111" i="2"/>
  <c r="F98" i="2"/>
  <c r="F113" i="2"/>
  <c r="F114" i="2"/>
  <c r="F132" i="2"/>
  <c r="F115" i="2"/>
  <c r="F116" i="2"/>
  <c r="F144" i="2"/>
  <c r="F142" i="2"/>
  <c r="F122" i="2"/>
  <c r="F120" i="2"/>
  <c r="F121" i="2"/>
  <c r="F123" i="2"/>
  <c r="N112" i="2"/>
  <c r="N143" i="2"/>
  <c r="N134" i="2"/>
  <c r="N100" i="2"/>
  <c r="N109" i="2"/>
  <c r="N117" i="2"/>
  <c r="N138" i="2"/>
  <c r="N137" i="2"/>
  <c r="N136" i="2"/>
  <c r="N135" i="2"/>
  <c r="N82" i="2"/>
  <c r="N133" i="2"/>
  <c r="N86" i="2"/>
  <c r="N131" i="2"/>
  <c r="N130" i="2"/>
  <c r="N129" i="2"/>
  <c r="N94" i="2"/>
  <c r="N126" i="2"/>
  <c r="N125" i="2"/>
  <c r="N124" i="2"/>
  <c r="N128" i="2"/>
  <c r="N123" i="2"/>
  <c r="N121" i="2"/>
  <c r="N120" i="2"/>
  <c r="N142" i="2"/>
  <c r="N144" i="2"/>
  <c r="N116" i="2"/>
  <c r="N115" i="2"/>
  <c r="N132" i="2"/>
  <c r="N114" i="2"/>
  <c r="N113" i="2"/>
  <c r="N98" i="2"/>
  <c r="N111" i="2"/>
  <c r="N110" i="2"/>
  <c r="N84" i="2"/>
  <c r="N141" i="2"/>
  <c r="N107" i="2"/>
  <c r="N106" i="2"/>
  <c r="N105" i="2"/>
  <c r="N101" i="2"/>
  <c r="N140" i="2"/>
  <c r="N102" i="2"/>
  <c r="N119" i="2"/>
  <c r="N108" i="2"/>
  <c r="N99" i="2"/>
  <c r="N92" i="2"/>
  <c r="N97" i="2"/>
  <c r="N127" i="2"/>
  <c r="N95" i="2"/>
  <c r="N96" i="2"/>
  <c r="N93" i="2"/>
  <c r="N104" i="2"/>
  <c r="N91" i="2"/>
  <c r="N90" i="2"/>
  <c r="N89" i="2"/>
  <c r="N88" i="2"/>
  <c r="N87" i="2"/>
  <c r="N85" i="2"/>
  <c r="N103" i="2"/>
  <c r="N83" i="2"/>
  <c r="N139" i="2"/>
  <c r="C86" i="13"/>
  <c r="C87" i="13"/>
  <c r="C88" i="13"/>
  <c r="C89" i="13"/>
  <c r="C90" i="13"/>
  <c r="C91" i="13"/>
  <c r="C92" i="13"/>
  <c r="C93" i="13"/>
  <c r="C94" i="13"/>
  <c r="C95" i="13"/>
  <c r="C96" i="13"/>
  <c r="C97" i="13"/>
  <c r="C98" i="13"/>
  <c r="C99" i="13"/>
  <c r="C100" i="13"/>
  <c r="C101" i="13"/>
  <c r="C102" i="13"/>
  <c r="C103" i="13"/>
  <c r="C104" i="13"/>
  <c r="C105" i="13"/>
  <c r="C106" i="13"/>
  <c r="C107" i="13"/>
  <c r="C108" i="13"/>
  <c r="C109" i="13"/>
  <c r="C110" i="13"/>
  <c r="C111" i="13"/>
  <c r="C112" i="13"/>
  <c r="C113" i="13"/>
  <c r="C114" i="13"/>
  <c r="C115" i="13"/>
  <c r="C116" i="13"/>
  <c r="C117" i="13"/>
  <c r="C118" i="13"/>
  <c r="C119" i="13"/>
  <c r="C120" i="13"/>
  <c r="C121" i="13"/>
  <c r="C122" i="13"/>
  <c r="C123" i="13"/>
  <c r="C124" i="13"/>
  <c r="C125" i="13"/>
  <c r="C126" i="13"/>
  <c r="C127" i="13"/>
  <c r="C128" i="13"/>
  <c r="C129" i="13"/>
  <c r="C130" i="13"/>
  <c r="C131" i="13"/>
  <c r="C132" i="13"/>
  <c r="C133" i="13"/>
  <c r="C134" i="13"/>
  <c r="C135" i="13"/>
  <c r="C136" i="13"/>
  <c r="C137" i="13"/>
  <c r="C138" i="13"/>
  <c r="C139" i="13"/>
  <c r="C140" i="13"/>
  <c r="C141" i="13"/>
  <c r="C142" i="13"/>
  <c r="C143" i="13"/>
  <c r="C144" i="13"/>
  <c r="C145" i="13"/>
  <c r="C146" i="13"/>
  <c r="C147" i="13"/>
  <c r="C148" i="13"/>
  <c r="C149" i="13"/>
  <c r="C150" i="13"/>
  <c r="C151" i="13"/>
  <c r="C152" i="13"/>
  <c r="C153" i="13"/>
  <c r="C85" i="13"/>
  <c r="N147" i="2"/>
  <c r="N146" i="2"/>
  <c r="F146" i="2"/>
  <c r="N145" i="2"/>
  <c r="F145" i="2"/>
  <c r="N148" i="2"/>
  <c r="F148" i="2"/>
  <c r="C56" i="13" a="1"/>
  <c r="C56" i="13" s="1"/>
  <c r="C57" i="13" a="1"/>
  <c r="C57" i="13" s="1"/>
  <c r="C58" i="13" a="1"/>
  <c r="C58" i="13" s="1"/>
  <c r="C59" i="13" a="1"/>
  <c r="C59" i="13" s="1"/>
  <c r="C60" i="13" a="1"/>
  <c r="C60" i="13" s="1"/>
  <c r="C61" i="13" a="1"/>
  <c r="C61" i="13" s="1"/>
  <c r="C62" i="13" a="1"/>
  <c r="C62" i="13" s="1"/>
  <c r="C63" i="13" a="1"/>
  <c r="C63" i="13" s="1"/>
  <c r="C64" i="13" a="1"/>
  <c r="C64" i="13" s="1"/>
  <c r="C65" i="13" a="1"/>
  <c r="C65" i="13" s="1"/>
  <c r="C66" i="13" a="1"/>
  <c r="C66" i="13" s="1"/>
  <c r="C67" i="13" a="1"/>
  <c r="C67" i="13" s="1"/>
  <c r="C68" i="13" a="1"/>
  <c r="C68" i="13" s="1"/>
  <c r="C69" i="13" a="1"/>
  <c r="C69" i="13" s="1"/>
  <c r="C70" i="13" a="1"/>
  <c r="C70" i="13" s="1"/>
  <c r="C71" i="13" a="1"/>
  <c r="C71" i="13" s="1"/>
  <c r="C72" i="13" a="1"/>
  <c r="C72" i="13" s="1"/>
  <c r="C73" i="13" a="1"/>
  <c r="C73" i="13" s="1"/>
  <c r="C74" i="13" a="1"/>
  <c r="C74" i="13" s="1"/>
  <c r="C4" i="2"/>
  <c r="N5" i="2"/>
  <c r="N6" i="2"/>
  <c r="N7" i="2"/>
  <c r="N8" i="2"/>
  <c r="N9" i="2"/>
  <c r="N10" i="2"/>
  <c r="N11" i="2"/>
  <c r="N12" i="2"/>
  <c r="N13" i="2"/>
  <c r="N14" i="2"/>
  <c r="N15" i="2"/>
  <c r="N16" i="2"/>
  <c r="N17" i="2"/>
  <c r="N18" i="2"/>
  <c r="N19" i="2"/>
  <c r="N20" i="2"/>
  <c r="N21" i="2"/>
  <c r="N22" i="2"/>
  <c r="N51" i="2"/>
  <c r="N35" i="2"/>
  <c r="N25" i="2"/>
  <c r="N26" i="2"/>
  <c r="N27" i="2"/>
  <c r="N23" i="2"/>
  <c r="N29" i="2"/>
  <c r="N30" i="2"/>
  <c r="N31" i="2"/>
  <c r="N32" i="2"/>
  <c r="N33" i="2"/>
  <c r="N34" i="2"/>
  <c r="N24" i="2"/>
  <c r="N36" i="2"/>
  <c r="N28" i="2"/>
  <c r="N37" i="2"/>
  <c r="N38" i="2"/>
  <c r="N39" i="2"/>
  <c r="N40" i="2"/>
  <c r="N41" i="2"/>
  <c r="N42" i="2"/>
  <c r="N43" i="2"/>
  <c r="N44" i="2"/>
  <c r="N45" i="2"/>
  <c r="N46" i="2"/>
  <c r="N47" i="2"/>
  <c r="N48" i="2"/>
  <c r="N49" i="2"/>
  <c r="N50" i="2"/>
  <c r="N52" i="2"/>
  <c r="N70" i="2"/>
  <c r="N72" i="2"/>
  <c r="N55" i="2"/>
  <c r="N71" i="2"/>
  <c r="N68" i="2"/>
  <c r="N66" i="2"/>
  <c r="N73" i="2"/>
  <c r="N60" i="2"/>
  <c r="N64" i="2"/>
  <c r="N69" i="2"/>
  <c r="N56" i="2"/>
  <c r="N65" i="2"/>
  <c r="N57" i="2"/>
  <c r="N58" i="2"/>
  <c r="N67" i="2"/>
  <c r="N62" i="2"/>
  <c r="N53" i="2"/>
  <c r="N54" i="2"/>
  <c r="N63" i="2"/>
  <c r="N61" i="2"/>
  <c r="N59" i="2"/>
  <c r="N74" i="2"/>
  <c r="N75" i="2"/>
  <c r="N76" i="2"/>
  <c r="N77" i="2"/>
  <c r="N78" i="2"/>
  <c r="N79" i="2"/>
  <c r="N80" i="2"/>
  <c r="N81" i="2"/>
  <c r="N4" i="2"/>
  <c r="H13" i="4"/>
  <c r="F81" i="2"/>
  <c r="F80" i="2"/>
  <c r="F79" i="2"/>
  <c r="F78" i="2"/>
  <c r="F77" i="2"/>
  <c r="F76" i="2"/>
  <c r="F75" i="2"/>
  <c r="F74" i="2"/>
  <c r="F70" i="2"/>
  <c r="F54" i="2"/>
  <c r="F55" i="2"/>
  <c r="F72" i="2"/>
  <c r="F71" i="2"/>
  <c r="F68" i="2"/>
  <c r="F66" i="2"/>
  <c r="F60" i="2"/>
  <c r="F73" i="2"/>
  <c r="F64" i="2"/>
  <c r="F69" i="2"/>
  <c r="F63" i="2"/>
  <c r="F56" i="2"/>
  <c r="F65" i="2"/>
  <c r="F67" i="2"/>
  <c r="F61" i="2"/>
  <c r="F59" i="2"/>
  <c r="F57" i="2"/>
  <c r="F58" i="2"/>
  <c r="F62" i="2"/>
  <c r="F53" i="2"/>
  <c r="F5" i="2"/>
  <c r="F6" i="2"/>
  <c r="F7" i="2"/>
  <c r="F8" i="2"/>
  <c r="F9" i="2"/>
  <c r="F10" i="2"/>
  <c r="F11" i="2"/>
  <c r="F12" i="2"/>
  <c r="F13" i="2"/>
  <c r="F14" i="2"/>
  <c r="F15" i="2"/>
  <c r="F16" i="2"/>
  <c r="F17" i="2"/>
  <c r="F18" i="2"/>
  <c r="F19" i="2"/>
  <c r="F20" i="2"/>
  <c r="F21" i="2"/>
  <c r="F22" i="2"/>
  <c r="F51" i="2"/>
  <c r="F35" i="2"/>
  <c r="F25" i="2"/>
  <c r="F26" i="2"/>
  <c r="F27" i="2"/>
  <c r="F23" i="2"/>
  <c r="F29" i="2"/>
  <c r="F30" i="2"/>
  <c r="F31" i="2"/>
  <c r="F32" i="2"/>
  <c r="F33" i="2"/>
  <c r="F34" i="2"/>
  <c r="F24" i="2"/>
  <c r="F36" i="2"/>
  <c r="F28" i="2"/>
  <c r="F37" i="2"/>
  <c r="F38" i="2"/>
  <c r="F39" i="2"/>
  <c r="F40" i="2"/>
  <c r="F41" i="2"/>
  <c r="F42" i="2"/>
  <c r="F43" i="2"/>
  <c r="F44" i="2"/>
  <c r="F45" i="2"/>
  <c r="F46" i="2"/>
  <c r="F47" i="2"/>
  <c r="F48" i="2"/>
  <c r="F49" i="2"/>
  <c r="F50" i="2"/>
  <c r="F52" i="2"/>
  <c r="F4" i="2"/>
  <c r="F32" i="3"/>
  <c r="F31" i="3"/>
  <c r="F17" i="3"/>
  <c r="A27" i="12" s="1"/>
  <c r="F15" i="3"/>
  <c r="C77" i="5"/>
  <c r="F77" i="5"/>
  <c r="C74" i="5"/>
  <c r="F74" i="5"/>
  <c r="C75" i="5"/>
  <c r="F75" i="5"/>
  <c r="C76" i="5"/>
  <c r="F76" i="5"/>
  <c r="C23" i="5"/>
  <c r="E23" i="5" s="1"/>
  <c r="C21" i="5"/>
  <c r="E21" i="5" s="1"/>
  <c r="C22" i="5"/>
  <c r="E22" i="5" s="1"/>
  <c r="C24" i="5"/>
  <c r="E24" i="5" s="1"/>
  <c r="C25" i="5"/>
  <c r="E25" i="5" s="1"/>
  <c r="C32" i="5"/>
  <c r="E32" i="5" s="1"/>
  <c r="C20" i="5"/>
  <c r="E20" i="5" s="1"/>
  <c r="C38" i="5"/>
  <c r="A55" i="5" s="1"/>
  <c r="C39" i="5"/>
  <c r="A59" i="5" s="1"/>
  <c r="C40" i="5"/>
  <c r="A67" i="5" s="1"/>
  <c r="C41" i="5"/>
  <c r="A69" i="5" s="1"/>
  <c r="E69" i="5" s="1"/>
  <c r="C42" i="5"/>
  <c r="A77" i="5" s="1"/>
  <c r="C43" i="5"/>
  <c r="A84" i="5" s="1"/>
  <c r="C44" i="5"/>
  <c r="A87" i="5" s="1"/>
  <c r="C45" i="5"/>
  <c r="A105" i="5" s="1"/>
  <c r="C46" i="5"/>
  <c r="A91" i="5" s="1"/>
  <c r="C48" i="5"/>
  <c r="A110" i="5" s="1"/>
  <c r="A106" i="5"/>
  <c r="C54" i="5"/>
  <c r="C55" i="5"/>
  <c r="C56" i="5"/>
  <c r="C57" i="5"/>
  <c r="C58" i="5"/>
  <c r="C59" i="5"/>
  <c r="C60" i="5"/>
  <c r="C61" i="5"/>
  <c r="C62" i="5"/>
  <c r="C63" i="5"/>
  <c r="C64" i="5"/>
  <c r="C65" i="5"/>
  <c r="C66" i="5"/>
  <c r="C68" i="5"/>
  <c r="C69" i="5"/>
  <c r="C70" i="5"/>
  <c r="C71" i="5"/>
  <c r="C78" i="5"/>
  <c r="C81" i="5"/>
  <c r="C82" i="5"/>
  <c r="C83" i="5"/>
  <c r="C84" i="5"/>
  <c r="C85" i="5"/>
  <c r="C86" i="5"/>
  <c r="C87" i="5"/>
  <c r="C88" i="5"/>
  <c r="C89" i="5"/>
  <c r="C90" i="5"/>
  <c r="C91" i="5"/>
  <c r="C92" i="5"/>
  <c r="C93" i="5"/>
  <c r="C94" i="5"/>
  <c r="C95" i="5"/>
  <c r="C99" i="5"/>
  <c r="C100" i="5"/>
  <c r="C101" i="5"/>
  <c r="C102" i="5"/>
  <c r="C103" i="5"/>
  <c r="C106" i="5"/>
  <c r="C107" i="5"/>
  <c r="C108" i="5"/>
  <c r="C109" i="5"/>
  <c r="C110" i="5"/>
  <c r="C53" i="5"/>
  <c r="F64" i="5"/>
  <c r="F65" i="5"/>
  <c r="F66" i="5"/>
  <c r="B4" i="7"/>
  <c r="B5" i="7"/>
  <c r="B6" i="7"/>
  <c r="B7" i="7"/>
  <c r="B8" i="7"/>
  <c r="B9" i="7"/>
  <c r="B10" i="7"/>
  <c r="B11" i="7"/>
  <c r="B12" i="7"/>
  <c r="B13" i="7"/>
  <c r="B14" i="7"/>
  <c r="F54" i="5"/>
  <c r="F55" i="5"/>
  <c r="F56" i="5"/>
  <c r="F57" i="5"/>
  <c r="F58" i="5"/>
  <c r="F59" i="5"/>
  <c r="F60" i="5"/>
  <c r="F61" i="5"/>
  <c r="F62" i="5"/>
  <c r="F63" i="5"/>
  <c r="F68" i="5"/>
  <c r="F69" i="5"/>
  <c r="F70" i="5"/>
  <c r="F71" i="5"/>
  <c r="F78" i="5"/>
  <c r="F81" i="5"/>
  <c r="F82" i="5"/>
  <c r="F83" i="5"/>
  <c r="F84" i="5"/>
  <c r="F85" i="5"/>
  <c r="F86" i="5"/>
  <c r="F87" i="5"/>
  <c r="F88" i="5"/>
  <c r="F89" i="5"/>
  <c r="F90" i="5"/>
  <c r="F91" i="5"/>
  <c r="F92" i="5"/>
  <c r="F93" i="5"/>
  <c r="F94" i="5"/>
  <c r="F95" i="5"/>
  <c r="F99" i="5"/>
  <c r="F100" i="5"/>
  <c r="F101" i="5"/>
  <c r="F102" i="5"/>
  <c r="F103" i="5"/>
  <c r="F106" i="5"/>
  <c r="F107" i="5"/>
  <c r="F108" i="5"/>
  <c r="F109" i="5"/>
  <c r="F110" i="5"/>
  <c r="F53" i="5"/>
  <c r="F23" i="5"/>
  <c r="F24" i="5"/>
  <c r="F25" i="5"/>
  <c r="F32" i="5"/>
  <c r="F21" i="5"/>
  <c r="F22" i="5"/>
  <c r="F20" i="5"/>
  <c r="L49" i="3"/>
  <c r="L43" i="3"/>
  <c r="O43" i="3" s="1"/>
  <c r="L37" i="3"/>
  <c r="N37" i="3" s="1"/>
  <c r="L8" i="3"/>
  <c r="M8" i="3" s="1"/>
  <c r="L7" i="3"/>
  <c r="M7" i="3" s="1"/>
  <c r="L6" i="3"/>
  <c r="N6" i="3" s="1"/>
  <c r="L13" i="4"/>
  <c r="L12" i="4"/>
  <c r="M12" i="4" s="1"/>
  <c r="L11" i="4"/>
  <c r="L9" i="4"/>
  <c r="L7" i="4"/>
  <c r="L5" i="4"/>
  <c r="G7" i="4"/>
  <c r="H7" i="4" s="1"/>
  <c r="M7" i="4" s="1"/>
  <c r="H5" i="4"/>
  <c r="H9" i="4"/>
  <c r="G11" i="4"/>
  <c r="H11" i="4" s="1"/>
  <c r="H12" i="4"/>
  <c r="F10" i="4"/>
  <c r="G10" i="4" s="1"/>
  <c r="L14" i="3"/>
  <c r="M14" i="3" s="1"/>
  <c r="O14" i="3" s="1"/>
  <c r="L13" i="3"/>
  <c r="N13" i="3" s="1"/>
  <c r="L12" i="3"/>
  <c r="M12" i="3" s="1"/>
  <c r="O12" i="3" s="1"/>
  <c r="L18" i="3"/>
  <c r="M18" i="3" s="1"/>
  <c r="O18" i="3" s="1"/>
  <c r="C76" i="13" a="1"/>
  <c r="C76" i="13" s="1"/>
  <c r="C75" i="13" a="1"/>
  <c r="C75" i="13" s="1"/>
  <c r="A98" i="5"/>
  <c r="E98" i="5"/>
  <c r="A99" i="5"/>
  <c r="K14" i="4"/>
  <c r="L14" i="4"/>
  <c r="F20" i="3"/>
  <c r="F19" i="3"/>
  <c r="F24" i="3"/>
  <c r="A35" i="12"/>
  <c r="F22" i="3"/>
  <c r="F21" i="3"/>
  <c r="F11" i="3"/>
  <c r="F10" i="3"/>
  <c r="E55" i="5" l="1"/>
  <c r="A25" i="12"/>
  <c r="A26" i="12"/>
  <c r="O7" i="3"/>
  <c r="M34" i="3"/>
  <c r="O34" i="3" s="1"/>
  <c r="F34" i="3" s="1"/>
  <c r="A40" i="12"/>
  <c r="A41" i="12"/>
  <c r="A33" i="12"/>
  <c r="A82" i="5"/>
  <c r="E82" i="5" s="1"/>
  <c r="A76" i="5"/>
  <c r="E76" i="5" s="1"/>
  <c r="A54" i="5"/>
  <c r="E54" i="5" s="1"/>
  <c r="A107" i="5"/>
  <c r="E107" i="5" s="1"/>
  <c r="A74" i="5"/>
  <c r="E74" i="5" s="1"/>
  <c r="A57" i="5"/>
  <c r="A109" i="5"/>
  <c r="E109" i="5" s="1"/>
  <c r="E106" i="5"/>
  <c r="A60" i="5"/>
  <c r="E60" i="5" s="1"/>
  <c r="N53" i="7"/>
  <c r="N54" i="7" s="1" a="1"/>
  <c r="N54" i="7" s="1"/>
  <c r="A58" i="5"/>
  <c r="E58" i="5" s="1"/>
  <c r="E87" i="5"/>
  <c r="E84" i="5"/>
  <c r="E77" i="5"/>
  <c r="A64" i="5"/>
  <c r="E64" i="5" s="1"/>
  <c r="E110" i="5"/>
  <c r="A53" i="5"/>
  <c r="E53" i="5" s="1"/>
  <c r="A56" i="5"/>
  <c r="E56" i="5" s="1"/>
  <c r="A108" i="5"/>
  <c r="A65" i="5"/>
  <c r="E65" i="5" s="1"/>
  <c r="E33" i="7"/>
  <c r="B53" i="7" s="1"/>
  <c r="B54" i="7" s="1" a="1"/>
  <c r="B54" i="7" s="1"/>
  <c r="E57" i="5"/>
  <c r="A93" i="5"/>
  <c r="E93" i="5" s="1"/>
  <c r="A96" i="5"/>
  <c r="E96" i="5" s="1"/>
  <c r="M6" i="3"/>
  <c r="O37" i="3"/>
  <c r="A95" i="5"/>
  <c r="E95" i="5" s="1"/>
  <c r="A92" i="5"/>
  <c r="E92" i="5" s="1"/>
  <c r="H53" i="7"/>
  <c r="H54" i="7" s="1" a="1"/>
  <c r="H54" i="7" s="1"/>
  <c r="A70" i="5"/>
  <c r="E53" i="7"/>
  <c r="E54" i="7" s="1" a="1"/>
  <c r="E54" i="7" s="1"/>
  <c r="N18" i="3"/>
  <c r="E105" i="5"/>
  <c r="N14" i="3"/>
  <c r="M43" i="3"/>
  <c r="A101" i="5"/>
  <c r="E101" i="5" s="1"/>
  <c r="N43" i="3"/>
  <c r="A100" i="5"/>
  <c r="E100" i="5" s="1"/>
  <c r="M13" i="3"/>
  <c r="O13" i="3" s="1"/>
  <c r="F13" i="3" s="1"/>
  <c r="A102" i="5"/>
  <c r="E102" i="5" s="1"/>
  <c r="E70" i="5"/>
  <c r="M11" i="4"/>
  <c r="A71" i="5"/>
  <c r="E71" i="5" s="1"/>
  <c r="E67" i="5"/>
  <c r="M5" i="4"/>
  <c r="O6" i="3"/>
  <c r="M9" i="4"/>
  <c r="E59" i="5"/>
  <c r="M37" i="3"/>
  <c r="A73" i="5"/>
  <c r="E73" i="5" s="1"/>
  <c r="L38" i="3"/>
  <c r="A103" i="5"/>
  <c r="E103" i="5" s="1"/>
  <c r="A66" i="5"/>
  <c r="E66" i="5" s="1"/>
  <c r="A72" i="5"/>
  <c r="E72" i="5" s="1"/>
  <c r="N12" i="3"/>
  <c r="F12" i="3" s="1"/>
  <c r="A9" i="12" s="1"/>
  <c r="O8" i="3"/>
  <c r="E99" i="5"/>
  <c r="M13" i="4"/>
  <c r="A68" i="5"/>
  <c r="E68" i="5" s="1"/>
  <c r="L44" i="3"/>
  <c r="A104" i="5"/>
  <c r="E104" i="5" s="1"/>
  <c r="M12" i="15" a="1"/>
  <c r="M12" i="15" s="1"/>
  <c r="E31" i="15" a="1"/>
  <c r="E12" i="15" a="1"/>
  <c r="E12" i="15" s="1"/>
  <c r="I12" i="15" a="1"/>
  <c r="I12" i="15" s="1"/>
  <c r="L12" i="15" a="1"/>
  <c r="L12" i="15" s="1"/>
  <c r="C31" i="15" a="1"/>
  <c r="G31" i="15" a="1"/>
  <c r="A4" i="14" a="1"/>
  <c r="A4" i="14" s="1"/>
  <c r="K12" i="15" a="1"/>
  <c r="K12" i="15" s="1"/>
  <c r="I31" i="15" a="1"/>
  <c r="N12" i="15" a="1"/>
  <c r="N12" i="15" s="1"/>
  <c r="C12" i="15" a="1"/>
  <c r="C12" i="15" s="1"/>
  <c r="A12" i="15" a="1"/>
  <c r="A12" i="15" s="1"/>
  <c r="A31" i="15" a="1"/>
  <c r="G12" i="15" a="1"/>
  <c r="G12" i="15" s="1"/>
  <c r="E108" i="5"/>
  <c r="O49" i="3"/>
  <c r="M49" i="3"/>
  <c r="N49" i="3"/>
  <c r="L50" i="3"/>
  <c r="H10" i="4"/>
  <c r="G14" i="4"/>
  <c r="H14" i="4" s="1"/>
  <c r="M14" i="4" s="1"/>
  <c r="A86" i="5"/>
  <c r="E86" i="5" s="1"/>
  <c r="A88" i="5"/>
  <c r="E88" i="5" s="1"/>
  <c r="A90" i="5"/>
  <c r="E90" i="5" s="1"/>
  <c r="A89" i="5"/>
  <c r="E89" i="5" s="1"/>
  <c r="A83" i="5"/>
  <c r="E83" i="5" s="1"/>
  <c r="A85" i="5"/>
  <c r="E85" i="5" s="1"/>
  <c r="B33" i="7"/>
  <c r="B43" i="7" s="1"/>
  <c r="B44" i="7" s="1" a="1"/>
  <c r="B44" i="7" s="1"/>
  <c r="H43" i="7"/>
  <c r="H44" i="7" s="1" a="1"/>
  <c r="H44" i="7" s="1"/>
  <c r="A81" i="5"/>
  <c r="E81" i="5" s="1"/>
  <c r="K43" i="7"/>
  <c r="K44" i="7" s="1" a="1"/>
  <c r="K44" i="7" s="1"/>
  <c r="A78" i="5"/>
  <c r="E78" i="5" s="1"/>
  <c r="A79" i="5"/>
  <c r="E79" i="5" s="1"/>
  <c r="A80" i="5"/>
  <c r="E80" i="5" s="1"/>
  <c r="E91" i="5"/>
  <c r="N7" i="3"/>
  <c r="E43" i="7"/>
  <c r="E44" i="7" s="1" a="1"/>
  <c r="E44" i="7" s="1"/>
  <c r="A63" i="5"/>
  <c r="E63" i="5" s="1"/>
  <c r="N8" i="3"/>
  <c r="A75" i="5"/>
  <c r="E75" i="5" s="1"/>
  <c r="A62" i="5"/>
  <c r="E62" i="5" s="1"/>
  <c r="A61" i="5"/>
  <c r="E61" i="5" s="1"/>
  <c r="A97" i="5"/>
  <c r="E97" i="5" s="1"/>
  <c r="A94" i="5"/>
  <c r="E94" i="5" s="1"/>
  <c r="F6" i="3" l="1"/>
  <c r="F14" i="3"/>
  <c r="A32" i="12" s="1"/>
  <c r="F18" i="3"/>
  <c r="F7" i="3"/>
  <c r="A18" i="12" s="1"/>
  <c r="A10" i="12"/>
  <c r="A29" i="12"/>
  <c r="A36" i="12"/>
  <c r="F37" i="3"/>
  <c r="A3" i="12" s="1"/>
  <c r="F43" i="3"/>
  <c r="A12" i="12" s="1"/>
  <c r="M38" i="3"/>
  <c r="N38" i="3"/>
  <c r="O38" i="3"/>
  <c r="L39" i="3"/>
  <c r="F8" i="3"/>
  <c r="A2" i="12" s="1"/>
  <c r="F49" i="3"/>
  <c r="A19" i="12" s="1"/>
  <c r="O44" i="3"/>
  <c r="M44" i="3"/>
  <c r="N44" i="3"/>
  <c r="L45" i="3"/>
  <c r="C31" i="15"/>
  <c r="C54" i="15" s="1"/>
  <c r="C56" i="15"/>
  <c r="C59" i="15"/>
  <c r="C60" i="15"/>
  <c r="C57" i="15"/>
  <c r="C58" i="15"/>
  <c r="C61" i="15"/>
  <c r="C55" i="15"/>
  <c r="I31" i="15"/>
  <c r="I54" i="15" s="1"/>
  <c r="I60" i="15"/>
  <c r="I55" i="15"/>
  <c r="I56" i="15"/>
  <c r="I57" i="15"/>
  <c r="I58" i="15"/>
  <c r="I59" i="15"/>
  <c r="I61" i="15"/>
  <c r="I62" i="15"/>
  <c r="I63" i="15"/>
  <c r="G31" i="15"/>
  <c r="G54" i="15" s="1"/>
  <c r="G56" i="15"/>
  <c r="G59" i="15"/>
  <c r="G63" i="15"/>
  <c r="G57" i="15"/>
  <c r="G60" i="15"/>
  <c r="G61" i="15"/>
  <c r="G64" i="15"/>
  <c r="G58" i="15"/>
  <c r="G62" i="15"/>
  <c r="G55" i="15"/>
  <c r="A31" i="15"/>
  <c r="A54" i="15" s="1"/>
  <c r="A59" i="15"/>
  <c r="A55" i="15"/>
  <c r="A56" i="15"/>
  <c r="A57" i="15"/>
  <c r="A58" i="15"/>
  <c r="E31" i="15"/>
  <c r="E54" i="15" s="1"/>
  <c r="E57" i="15"/>
  <c r="E61" i="15"/>
  <c r="E65" i="15"/>
  <c r="E66" i="15"/>
  <c r="E56" i="15"/>
  <c r="E58" i="15"/>
  <c r="E60" i="15"/>
  <c r="E63" i="15"/>
  <c r="E64" i="15"/>
  <c r="E55" i="15"/>
  <c r="E59" i="15"/>
  <c r="E62" i="15"/>
  <c r="L51" i="3"/>
  <c r="O50" i="3"/>
  <c r="N50" i="3"/>
  <c r="M50" i="3"/>
  <c r="A28" i="12" l="1"/>
  <c r="A37" i="12"/>
  <c r="A34" i="12"/>
  <c r="A31" i="12"/>
  <c r="A11" i="12"/>
  <c r="A30" i="12"/>
  <c r="F50" i="3"/>
  <c r="A20" i="12" s="1"/>
  <c r="M45" i="3"/>
  <c r="L46" i="3"/>
  <c r="O45" i="3"/>
  <c r="N45" i="3"/>
  <c r="M39" i="3"/>
  <c r="L40" i="3"/>
  <c r="O39" i="3"/>
  <c r="N39" i="3"/>
  <c r="F44" i="3"/>
  <c r="A13" i="12" s="1"/>
  <c r="F38" i="3"/>
  <c r="A4" i="12" s="1"/>
  <c r="M51" i="3"/>
  <c r="N51" i="3"/>
  <c r="L52" i="3"/>
  <c r="O51" i="3"/>
  <c r="F51" i="3" l="1"/>
  <c r="A21" i="12" s="1"/>
  <c r="M46" i="3"/>
  <c r="N46" i="3"/>
  <c r="L47" i="3"/>
  <c r="O46" i="3"/>
  <c r="L41" i="3"/>
  <c r="M40" i="3"/>
  <c r="N40" i="3"/>
  <c r="O40" i="3"/>
  <c r="F39" i="3"/>
  <c r="A5" i="12" s="1"/>
  <c r="F45" i="3"/>
  <c r="A14" i="12" s="1"/>
  <c r="L53" i="3"/>
  <c r="M52" i="3"/>
  <c r="N52" i="3"/>
  <c r="O52" i="3"/>
  <c r="O47" i="3" l="1"/>
  <c r="M47" i="3"/>
  <c r="L48" i="3"/>
  <c r="N47" i="3"/>
  <c r="F40" i="3"/>
  <c r="A6" i="12" s="1"/>
  <c r="N41" i="3"/>
  <c r="M41" i="3"/>
  <c r="L42" i="3"/>
  <c r="O41" i="3"/>
  <c r="F46" i="3"/>
  <c r="A15" i="12" s="1"/>
  <c r="F52" i="3"/>
  <c r="A22" i="12" s="1"/>
  <c r="M53" i="3"/>
  <c r="L54" i="3"/>
  <c r="O53" i="3"/>
  <c r="N53" i="3"/>
  <c r="F47" i="3" l="1"/>
  <c r="A16" i="12" s="1"/>
  <c r="F53" i="3"/>
  <c r="A23" i="12" s="1"/>
  <c r="M48" i="3"/>
  <c r="O48" i="3"/>
  <c r="N48" i="3"/>
  <c r="F41" i="3"/>
  <c r="A7" i="12" s="1"/>
  <c r="M42" i="3"/>
  <c r="N42" i="3"/>
  <c r="O42" i="3"/>
  <c r="M54" i="3"/>
  <c r="O54" i="3"/>
  <c r="N54" i="3"/>
  <c r="F48" i="3" l="1"/>
  <c r="A17" i="12" s="1"/>
  <c r="F42" i="3"/>
  <c r="A8" i="12" s="1"/>
  <c r="F54" i="3"/>
  <c r="A24" i="1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<sst xmlns="http://schemas.openxmlformats.org/spreadsheetml/2006/main" count="7286" uniqueCount="3325">
  <si>
    <t>NGUYÊN TẮC CHUNG</t>
  </si>
  <si>
    <r>
      <rPr>
        <b/>
        <sz val="11"/>
        <color theme="1"/>
        <rFont val="Calibri"/>
        <family val="2"/>
        <scheme val="minor"/>
      </rPr>
      <t>Market Watch hướng tới target audience là Product/ Kinh doanh/ Marketing/ Growth/ CX - CEE nắm bắt được tình hình thị trường liên quan đến V-App theo 7 vertical chính</t>
    </r>
    <r>
      <rPr>
        <sz val="11"/>
        <color theme="1"/>
        <rFont val="Calibri"/>
        <family val="2"/>
        <scheme val="minor"/>
      </rPr>
      <t>: AI - Chat - E-commerce - Travel (khách sạn/ vui chơi giải trí) - Ride/ Food Delivery - E-wallet - Ticket (sự kiện, concert,...)
- Nhận diện mô hình / xu hướng
- Dự đoán (đón trước) hành động của đối thủ
- Chuẩn bị chính sách
- Thích nghi với công nghệ
- Ra quyết định về Marketing / Tăng trưởng / Trải nghiệm khách hàng (CX)</t>
    </r>
  </si>
  <si>
    <r>
      <rPr>
        <b/>
        <sz val="11"/>
        <color theme="1"/>
        <rFont val="Calibri"/>
        <family val="2"/>
        <scheme val="minor"/>
      </rPr>
      <t>2 streams chính</t>
    </r>
    <r>
      <rPr>
        <sz val="11"/>
        <color theme="1"/>
        <rFont val="Calibri"/>
        <family val="2"/>
        <scheme val="minor"/>
      </rPr>
      <t xml:space="preserve">
- Market Pulse - Tín hiệu thị trường về chính sách, công nghệ, đối thủ adjacent, xu hướng
- Players Movement - Hành động cụ thể của các players theo từng verticals tại Việt Nam</t>
    </r>
  </si>
  <si>
    <t>Tracked players:</t>
  </si>
  <si>
    <t>MoMo; Zalo; ZaloPay; Grab; Traveloka; Shopee; TikTok Shop; WhatsApp; Telegram; WeChat;  AliPay</t>
  </si>
  <si>
    <t>Adjacent players:</t>
  </si>
  <si>
    <t>GoTo; Gojek; Sea; Lazada; Tiki; Sendo; Be; Xanh SM; Green SM; ViettelPay; VNPAY; ShopeePay; Apple Pay; Google Pay; WeChat Pay; Ant; Stripe; PayPal; Uber; DoorDash; Bolt; Meta; Threads; Instagram; ByteDance; Anthropic; OpenAI; Google; Apple</t>
  </si>
  <si>
    <t>Danh sách sheet</t>
  </si>
  <si>
    <t>Sheet name</t>
  </si>
  <si>
    <t>Mục đích</t>
  </si>
  <si>
    <t>Soure_Crawl_Data</t>
  </si>
  <si>
    <t>Tổng hợp tất các source để crawl bài viết</t>
  </si>
  <si>
    <t>Scanning</t>
  </si>
  <si>
    <t>Nguyên tắc lọc bài viết - Round 1 dựa trên title/ short description</t>
  </si>
  <si>
    <t>Grading</t>
  </si>
  <si>
    <t>Nguyên tắc chấm điểm bài viết theo tiêu chí để lọc bài viết - Roudn 2 dựa trên nội dung bài viết</t>
  </si>
  <si>
    <t>Coding</t>
  </si>
  <si>
    <t>Nguyên tắc phân loại bài viết theo Topic/ Category/ Verticals</t>
  </si>
  <si>
    <t>Database</t>
  </si>
  <si>
    <t>Tổng hợp tất cả các bài viết chi tiết</t>
  </si>
  <si>
    <t>THAO TÁC CHÍNH</t>
  </si>
  <si>
    <t>Bước</t>
  </si>
  <si>
    <t>Deliverable</t>
  </si>
  <si>
    <t>Rule/ Reference sheet</t>
  </si>
  <si>
    <t>Bước 1 - Crawl data</t>
  </si>
  <si>
    <t>Truy cập link bài viết trong Source_Crawl_Data</t>
  </si>
  <si>
    <t>orginal_orginal_source</t>
  </si>
  <si>
    <t>Source_Crawl_Data</t>
  </si>
  <si>
    <t>Scan để lọc bài viết thỏa mãn
(1) thời gian đăng bài thuộc thời gian tracking
(1) tiêu đều/short description chứa keywords</t>
  </si>
  <si>
    <t>url</t>
  </si>
  <si>
    <t>Source_Crawl_Data: tracking week
Scanning: keyword</t>
  </si>
  <si>
    <t>Tổng hợp lại trong Database thỏa mãn điều kiện</t>
  </si>
  <si>
    <t>excel</t>
  </si>
  <si>
    <t>Bước 2 - AI phân loại tin tức, viết title_normalized và summary</t>
  </si>
  <si>
    <t>Gửi danh sách url đã tổng hợp ở B1 cho AI</t>
  </si>
  <si>
    <t>Lọc URL có trùng nội dung
Xóa URL từ các nguồn báo có độ uy tín thấp hơn/ hoặc ít nội dung hơn và giữa URL của nguồn báo có độ uy tín cao hơn/ hoặc đầy đủ nội dung hơn</t>
  </si>
  <si>
    <t>AI trả lại file excel đầy đủ các trường thông tin</t>
  </si>
  <si>
    <t>source_name</t>
  </si>
  <si>
    <t>fetch từ url</t>
  </si>
  <si>
    <t>URL</t>
  </si>
  <si>
    <t>fetch từ bài viết</t>
  </si>
  <si>
    <t>week</t>
  </si>
  <si>
    <t>theo craw_date</t>
  </si>
  <si>
    <t>publish_date</t>
  </si>
  <si>
    <t>topic_group</t>
  </si>
  <si>
    <t>Coding B2</t>
  </si>
  <si>
    <t>sub_topic_group</t>
  </si>
  <si>
    <t>category</t>
  </si>
  <si>
    <t>Coding B3</t>
  </si>
  <si>
    <t>subcategory</t>
  </si>
  <si>
    <t>Coding B4</t>
  </si>
  <si>
    <t>related _vertical</t>
  </si>
  <si>
    <t>Coding B5</t>
  </si>
  <si>
    <t>title_normalized</t>
  </si>
  <si>
    <t>Updating</t>
  </si>
  <si>
    <t>summary</t>
  </si>
  <si>
    <t>start-date</t>
  </si>
  <si>
    <t>fetch từ bài viết: thời gian diễn ra chương trình, bắt đầu từ, hiệu lực từ, ra mắt từ</t>
  </si>
  <si>
    <t>end-date</t>
  </si>
  <si>
    <t>fetch từ bài viết: kết thúc vào, hết hiệu lực từ, đóng sản phẩm từ,</t>
  </si>
  <si>
    <t>Signal_level</t>
  </si>
  <si>
    <t>crawl_date</t>
  </si>
  <si>
    <t>Ngày bắt đầu crawl data</t>
  </si>
  <si>
    <t>title_raw</t>
  </si>
  <si>
    <t>Bước 3 - Quality control</t>
  </si>
  <si>
    <t>Input vào database</t>
  </si>
  <si>
    <t>Clean database</t>
  </si>
  <si>
    <t>Review về cách grading</t>
  </si>
  <si>
    <t>Review title_normalized và summary</t>
  </si>
  <si>
    <t>week_start</t>
  </si>
  <si>
    <t>week_end</t>
  </si>
  <si>
    <t>no</t>
  </si>
  <si>
    <t>chuyên mục</t>
  </si>
  <si>
    <t>original_source_url</t>
  </si>
  <si>
    <t>source_url</t>
  </si>
  <si>
    <t>overview</t>
  </si>
  <si>
    <t>characteristics</t>
  </si>
  <si>
    <t>method</t>
  </si>
  <si>
    <t>note</t>
  </si>
  <si>
    <t>extract_source</t>
  </si>
  <si>
    <t>date_edit</t>
  </si>
  <si>
    <t>Column1</t>
  </si>
  <si>
    <t>Column2</t>
  </si>
  <si>
    <t>Column3</t>
  </si>
  <si>
    <t>Market Purlse</t>
  </si>
  <si>
    <t>GenK</t>
  </si>
  <si>
    <t>AI</t>
  </si>
  <si>
    <t>https://genk.vn/ai.chn</t>
  </si>
  <si>
    <t>- Trang chuyên mục riêng để cập nhật về AI (ai.html)
- Có thể filter để xem theo ngày</t>
  </si>
  <si>
    <t>Timestamp trong UI hiển thị published_date = bao nhiêu ngày trước</t>
  </si>
  <si>
    <r>
      <t xml:space="preserve">- Quét theo timestamp hiển thị trên UI </t>
    </r>
    <r>
      <rPr>
        <b/>
        <sz val="11"/>
        <color theme="1"/>
        <rFont val="Calibri"/>
        <family val="2"/>
        <scheme val="minor"/>
      </rPr>
      <t xml:space="preserve">1-8 ngày trước
- Hoặc </t>
    </r>
    <r>
      <rPr>
        <sz val="11"/>
        <color theme="1"/>
        <rFont val="Calibri"/>
        <family val="2"/>
        <scheme val="minor"/>
      </rPr>
      <t xml:space="preserve">tự động gen URL bằng cách điều chỉnh trong URL sau </t>
    </r>
    <r>
      <rPr>
        <b/>
        <sz val="11"/>
        <color theme="1"/>
        <rFont val="Calibri"/>
        <family val="2"/>
        <scheme val="minor"/>
      </rPr>
      <t xml:space="preserve">/23-2-2026 </t>
    </r>
    <r>
      <rPr>
        <sz val="11"/>
        <color theme="1"/>
        <rFont val="Calibri"/>
        <family val="2"/>
        <scheme val="minor"/>
      </rPr>
      <t xml:space="preserve">theo từng ngày trong tuần tracking </t>
    </r>
  </si>
  <si>
    <t>theo ngày</t>
  </si>
  <si>
    <t>https://genk.vn/ai/</t>
  </si>
  <si>
    <t>Tin ICT</t>
  </si>
  <si>
    <t>https://genk.vn/tin-ict.chn</t>
  </si>
  <si>
    <t>- Trang chuyên mục riêng để cập nhật về tin ICT
- Có thể filter để xem theo ngày</t>
  </si>
  <si>
    <t>https://genk.vn/tin-ict/</t>
  </si>
  <si>
    <t>Báo tin tức</t>
  </si>
  <si>
    <t>Thị trường tiền tệ</t>
  </si>
  <si>
    <t>https://baotintuc.vn/thi-truong-tien-te-587ct128.htm</t>
  </si>
  <si>
    <t>Trang chuyên mục riêng về thị trường tiền tệ</t>
  </si>
  <si>
    <t>Không có timestamp trên UI. Published_date có thể điều chỉnh tại timestamp trong URL với cấu trúc /d23-2-26</t>
  </si>
  <si>
    <r>
      <t xml:space="preserve">Gen URL bằng cách điều chỉnh </t>
    </r>
    <r>
      <rPr>
        <b/>
        <sz val="11"/>
        <color theme="1"/>
        <rFont val="Calibri"/>
        <family val="2"/>
        <scheme val="minor"/>
      </rPr>
      <t>slug /d23-2-26</t>
    </r>
    <r>
      <rPr>
        <sz val="11"/>
        <color theme="1"/>
        <rFont val="Calibri"/>
        <family val="2"/>
        <scheme val="minor"/>
      </rPr>
      <t xml:space="preserve"> theo từng ngày trong tuần tracking </t>
    </r>
  </si>
  <si>
    <t>https://baotintuc.vn/thi-truong-tien-te-587ct128/d</t>
  </si>
  <si>
    <t>VNEconomy</t>
  </si>
  <si>
    <t>Techconnect</t>
  </si>
  <si>
    <t>https://vneconomy.vn/techconnect/</t>
  </si>
  <si>
    <t>- Trang chuyên mục riêng về công nghệ
- Tagging theo 3 chuyên mục con: Techtalk, Techlifstyle, Kính lúp công nghệ</t>
  </si>
  <si>
    <t>Timestap trong UI hiển thị published_date = hh:mm dd/mm/yyyy</t>
  </si>
  <si>
    <t>Quét theo timestamp hiển thị trên UI mãn thời gian tracking</t>
  </si>
  <si>
    <t>không filter</t>
  </si>
  <si>
    <t>Techlifestyle</t>
  </si>
  <si>
    <t>https://vneconomy.vn/techconnect/tech-lifestyle.htm</t>
  </si>
  <si>
    <t>Chuyên mục con chuyên chủ đề xoay quanh Techlifestyle</t>
  </si>
  <si>
    <t>Timestamp trong UI hiển thị published_date = hh:mm dd/mm/yyyy</t>
  </si>
  <si>
    <t>Quét theo timestamp hiển thị trên UI của trang chuyên mục thỏa mãn thời gian tracking</t>
  </si>
  <si>
    <t>Techtalk</t>
  </si>
  <si>
    <t>https://vneconomy.vn/techconnect/tech-talk.htm</t>
  </si>
  <si>
    <t>Chuyên mục con chuyên chủ đề xoay quanh TechTalk</t>
  </si>
  <si>
    <t>Dân Trí</t>
  </si>
  <si>
    <t>AI - Internet</t>
  </si>
  <si>
    <t>https://dantri.com.vn/cong-nghe/ai-internet/from/2026-02-23/to/2026-02-23.htm</t>
  </si>
  <si>
    <t>- Trang chuyên mục riêng về AI
- Cho phép filter theo ngày để lọc theo tuần</t>
  </si>
  <si>
    <t>Không có timestamp trên UI. Có thể điều chỉnh thời gian tracking trên URL tại /from/2026-02-23/to/2026-02-23</t>
  </si>
  <si>
    <r>
      <t xml:space="preserve">Gen URL qua query string trong URL </t>
    </r>
    <r>
      <rPr>
        <b/>
        <sz val="11"/>
        <color theme="1"/>
        <rFont val="Calibri"/>
        <family val="2"/>
        <scheme val="minor"/>
      </rPr>
      <t>/from/2026-02-23/to/2026-02-23</t>
    </r>
  </si>
  <si>
    <t>theo tuần</t>
  </si>
  <si>
    <t>https://dantri.com.vn/cong-nghe/ai-internet/</t>
  </si>
  <si>
    <t>An ninh mạng</t>
  </si>
  <si>
    <t>https://dantri.com.vn/cong-nghe/an-ninh-mang.htm</t>
  </si>
  <si>
    <t>- Trang chuyên mục riêng về an ninh mạng
- Cho phép filter theo ngày để lọc theo tuần</t>
  </si>
  <si>
    <t>https://dantri.com.vn/cong-nghe/an-ninh-mang/</t>
  </si>
  <si>
    <t>VNExpress</t>
  </si>
  <si>
    <t>Khoa học công nghệ</t>
  </si>
  <si>
    <t>https://vnexpress.net/khoa-hoc-cong-nghe</t>
  </si>
  <si>
    <t>- Trang chuyên mục riêng về khoa học công nghệ
- Cho phép filter theo ngày để lọc theo tuần</t>
  </si>
  <si>
    <t>- Không có timestamp trên UI
- Có thể điều chỉnh thời gian tracking trên URL tại /fromdate/1771804800/todate/1772323200/
- Timestamp trên URL hiển thị theo dạng Unix Timestamp</t>
  </si>
  <si>
    <r>
      <t xml:space="preserve">Gen URL qua query string trong URL </t>
    </r>
    <r>
      <rPr>
        <b/>
        <sz val="11"/>
        <color theme="1"/>
        <rFont val="Calibri"/>
        <family val="2"/>
        <scheme val="minor"/>
      </rPr>
      <t>/fromdate/1771804800/todate/1772323200/</t>
    </r>
  </si>
  <si>
    <t>https://vnexpress.net/category/day/cateid/1006219/</t>
  </si>
  <si>
    <t>Bloomberg</t>
  </si>
  <si>
    <t>Consumer tech</t>
  </si>
  <si>
    <t>https://www.bloomberg.com/technology/consumer-tech</t>
  </si>
  <si>
    <t>- Trang chuyên mục về những xu hướng công nghệ liên quan đến người dùng
- AISAN edition</t>
  </si>
  <si>
    <t>Timestamp trong UI hiển thị published_date = Tháng Ngày, Năm</t>
  </si>
  <si>
    <t>- Quét theo timestamp hiển thị trên UI</t>
  </si>
  <si>
    <t>Tech in Asia</t>
  </si>
  <si>
    <t>Fintech</t>
  </si>
  <si>
    <t>https://www.techinasia.com/category/fintech</t>
  </si>
  <si>
    <t>- Trang chuyên mục về những xu hướng liên quan đến thị trường fintech</t>
  </si>
  <si>
    <t>Tech Crunch</t>
  </si>
  <si>
    <t>Apps</t>
  </si>
  <si>
    <t>https://techcrunch.com/category/apps/</t>
  </si>
  <si>
    <t>- Trang chuyên mục về những xu hướng liên quan đến App</t>
  </si>
  <si>
    <r>
      <t xml:space="preserve">- Quét theo timestamp hiển thị trên UI </t>
    </r>
    <r>
      <rPr>
        <b/>
        <sz val="11"/>
        <color theme="1"/>
        <rFont val="Calibri"/>
        <family val="2"/>
        <scheme val="minor"/>
      </rPr>
      <t>1-8 ngày trước</t>
    </r>
  </si>
  <si>
    <t>Thư viện pháp luật</t>
  </si>
  <si>
    <t>Văn bản mới</t>
  </si>
  <si>
    <t>https://thuvienphapluat.vn/page/tim-van-ban.aspx?keyword=nhnn&amp;area=0&amp;type=0&amp;status=0&amp;lan=1&amp;org=0&amp;signer=0&amp;match=True&amp;sort=1&amp;bdate=31/12/2025&amp;edate=31/12/2025</t>
  </si>
  <si>
    <t>- Chuyên trang cập nhập các văn bản pháp luận mới
- Cho phép filter theo khoảng thời gian ban hành, loại văn bản, cơ quan ban hành, keyword (lọc văn bản thuộc phạm trù nội dung mong muốn)</t>
  </si>
  <si>
    <t>- Không có timestamp trên UI
- Điều chỉnh keyword tại keyword=nhnn
- Có thể điều chỉnh thời gian tracking trên URL tại bdate=23-02-2026&amp;edate=01-03-2026</t>
  </si>
  <si>
    <r>
      <t xml:space="preserve">- Gen URL qua query string trong URL </t>
    </r>
    <r>
      <rPr>
        <b/>
        <sz val="11"/>
        <color theme="1"/>
        <rFont val="Calibri"/>
        <family val="2"/>
        <scheme val="minor"/>
      </rPr>
      <t xml:space="preserve">bdate=23-02-2026&amp;edate=01-03-2026
- </t>
    </r>
    <r>
      <rPr>
        <sz val="11"/>
        <color theme="1"/>
        <rFont val="Calibri"/>
        <family val="2"/>
        <scheme val="minor"/>
      </rPr>
      <t xml:space="preserve">Điều chỉnh query string để lọc từ khóa cần thiết </t>
    </r>
    <r>
      <rPr>
        <b/>
        <sz val="11"/>
        <color theme="1"/>
        <rFont val="Calibri"/>
        <family val="2"/>
        <scheme val="minor"/>
      </rPr>
      <t>keyword=nhnn</t>
    </r>
  </si>
  <si>
    <t>https://thuvienphapluat.vn/page/tim-van-ban.aspx?keyword=nhnn&amp;area=0&amp;type=0&amp;status=0&amp;lan=1&amp;org=0&amp;signer=0&amp;match=True&amp;sort=1</t>
  </si>
  <si>
    <t>Luật Việt Nam</t>
  </si>
  <si>
    <t>Điểm tin chính sách</t>
  </si>
  <si>
    <t>https://luatvietnam.vn/ban-tin-luatvietnam/diem-tin-chinh-sach-moi-c559-article.html</t>
  </si>
  <si>
    <t>- Chuyên trang tổng hợp chính sách mới hàng tháng bao gồm chính sách mới và danh sách văn bản có hiệu từng tháng
- Hiển thị rõ ràng tháng trong UI
- Trong trang danh sách văn bản có hiệu lực có ngày ban hành (BH), ngày hiệu lực (HL) đầy đủ và phân theo thể loại văn bản</t>
  </si>
  <si>
    <t>Có thông tin tháng ban hành trên UI</t>
  </si>
  <si>
    <r>
      <t xml:space="preserve">- Tìm kiếm chính sách mới/danh sách văn bản theo tháng
- Quét theo ngày hiệu lực </t>
    </r>
    <r>
      <rPr>
        <b/>
        <sz val="11"/>
        <color theme="1"/>
        <rFont val="Calibri"/>
        <family val="2"/>
        <scheme val="minor"/>
      </rPr>
      <t>(HL)</t>
    </r>
    <r>
      <rPr>
        <sz val="11"/>
        <color theme="1"/>
        <rFont val="Calibri"/>
        <family val="2"/>
        <scheme val="minor"/>
      </rPr>
      <t xml:space="preserve"> và keyword liên quan để xem có chính sách nào mới</t>
    </r>
    <r>
      <rPr>
        <b/>
        <sz val="11"/>
        <color theme="1"/>
        <rFont val="Calibri"/>
        <family val="2"/>
        <scheme val="minor"/>
      </rPr>
      <t xml:space="preserve"> sắp có hiệu lực trong tuần tiếp theo</t>
    </r>
  </si>
  <si>
    <t>https://luatvietnam.vn/ban-tin-luatvietnam/diem-tin-van-ban-moi-c220-article.html</t>
  </si>
  <si>
    <t>- Chuyên trang điểm tin văn bản mới hàng tuần theo từng số
- Trong trang điểm tin được phân loại theo lĩnh vực</t>
  </si>
  <si>
    <t>Chỉ có thông tin số văn bản trên UI</t>
  </si>
  <si>
    <t>Tìm kiếm bản tin theo số văn bản mới nhất</t>
  </si>
  <si>
    <t>Players Movement</t>
  </si>
  <si>
    <t>ZaloPay website</t>
  </si>
  <si>
    <t>Tin tức</t>
  </si>
  <si>
    <t>https://zalopay.vn/tin-tuc</t>
  </si>
  <si>
    <t>Khuyến mãi</t>
  </si>
  <si>
    <t>https://zalopay.vn/khuyen-mai</t>
  </si>
  <si>
    <t>ZaloOA website</t>
  </si>
  <si>
    <t>https://oa.zalo.me/home/resources/news</t>
  </si>
  <si>
    <t>MoMo wesbite</t>
  </si>
  <si>
    <t>https://www.momo.vn/tin-tuc</t>
  </si>
  <si>
    <t>WhatsApp website</t>
  </si>
  <si>
    <t>Blog</t>
  </si>
  <si>
    <t>https://blog.whatsapp.com/</t>
  </si>
  <si>
    <t>Telegram website</t>
  </si>
  <si>
    <t>https://telegram.org/blog</t>
  </si>
  <si>
    <t>Shopee</t>
  </si>
  <si>
    <t>https://banhang.shopee.vn/edu/category?sub_cat_id=1006</t>
  </si>
  <si>
    <t>TiktokShop</t>
  </si>
  <si>
    <t>https://seller-vn.tiktok.com/university/essay?knowledge_id=8858869405370113</t>
  </si>
  <si>
    <t>Grab Merchant</t>
  </si>
  <si>
    <t>https://merchant.grab.com/vn-vn/blog</t>
  </si>
  <si>
    <t>Grab Passenger</t>
  </si>
  <si>
    <t>https://www.grab.com/vn/blog/</t>
  </si>
  <si>
    <t>Techinasia</t>
  </si>
  <si>
    <t>https://www.techinasia.com/category/consumer-tech</t>
  </si>
  <si>
    <t>E-commerce</t>
  </si>
  <si>
    <t>https://www.techinasia.com/category/e-commerce-social-commerce</t>
  </si>
  <si>
    <t>SCMP</t>
  </si>
  <si>
    <t>Tech</t>
  </si>
  <si>
    <t>https://www.scmp.com/tech</t>
  </si>
  <si>
    <t>Kinh doanh</t>
  </si>
  <si>
    <t>https://vnexpress.net/kinh-doanh</t>
  </si>
  <si>
    <t>https://vnexpress.net/category/day/cateid/1003159/</t>
  </si>
  <si>
    <t>Baotintuc</t>
  </si>
  <si>
    <t>- Tự động gen URL bằng cách điều chỉnh trong URL sau /d23-2-26 theo từng ngày trong tuần tracking 
- Quét và tổng hợp thông tin theo từng URL</t>
  </si>
  <si>
    <t>priority</t>
  </si>
  <si>
    <t>Inside Grab</t>
  </si>
  <si>
    <t>https://www.grab.com/inside-grab/</t>
  </si>
  <si>
    <t>Meta</t>
  </si>
  <si>
    <t>Newsroom</t>
  </si>
  <si>
    <t>https://about.fb.com/news/</t>
  </si>
  <si>
    <t>Product news</t>
  </si>
  <si>
    <t>https://about.fb.com/news/category/product-news/</t>
  </si>
  <si>
    <t>SCMB</t>
  </si>
  <si>
    <t>https://www.scmp.com/topics/wechat</t>
  </si>
  <si>
    <t>https://techcrunch.com/category/artificial-intelligence/</t>
  </si>
  <si>
    <t>The Information</t>
  </si>
  <si>
    <t>https://www.theinformation.com/technology?view=recent</t>
  </si>
  <si>
    <t>KEY WORDS SCAN TITLE/SHORT DESCRIPTION</t>
  </si>
  <si>
    <t>Title/ short description cần chưa ít nhất 1 keywords thuộc 1 trong 2 cluster dưới và không match với bất kỳ exclude pattern nào</t>
  </si>
  <si>
    <t>Cluster 1 - Players</t>
  </si>
  <si>
    <t>Cluster 2 - Vertical keywords</t>
  </si>
  <si>
    <t>Vertical</t>
  </si>
  <si>
    <t>Keywords</t>
  </si>
  <si>
    <t>E-wallet</t>
  </si>
  <si>
    <t>ví điện tử; e-wallet; payment; thanh toán; QR; thanh toán quốc tế; QR quốc tế; BNPL; trả sau; kiều hối; remittance; fintech; mobile payment; tích hợp crypto; tích hợp tiền mã hóa;</t>
  </si>
  <si>
    <t>Ride / Delivery</t>
  </si>
  <si>
    <t>ride-hailing; gọi xe; food delivery; giao đồ ăn; mobility; last-mile; courier; gig economy</t>
  </si>
  <si>
    <t>TMĐT</t>
  </si>
  <si>
    <t>e-commerce; TMĐT; marketplace; seller fee; GMV; social commerce; D2C</t>
  </si>
  <si>
    <t>AI agent; LLM; GenAI; chatbot AI; voice AI; ChatGPT; Gemini; Claude; DeepSeek; AI assistant</t>
  </si>
  <si>
    <t>Chat</t>
  </si>
  <si>
    <t>messenger; chat app; social chat; super-app chat; mini app; mini program</t>
  </si>
  <si>
    <t>Travel</t>
  </si>
  <si>
    <t>OTA; booking; khách sạn; vé máy bay; tour; du lịch; travel; hotel</t>
  </si>
  <si>
    <t>Ticket</t>
  </si>
  <si>
    <t>nền tảng bán vé; hợp tác bán vé; Ticketbox; TicketMaster; Ticketgo; CTTicket</t>
  </si>
  <si>
    <t>EXCLUDE PATTERNS</t>
  </si>
  <si>
    <t>Pattern</t>
  </si>
  <si>
    <t>Ví dụ</t>
  </si>
  <si>
    <t>HR/layoff thuần, không gắn product</t>
  </si>
  <si>
    <t>"Startup AI sa thải 25% nhân sự để 'thuần AI'" → loại. (Có chữ AI nhưng không có lesson cho TA)</t>
  </si>
  <si>
    <t>AI research / paper academic</t>
  </si>
  <si>
    <t>"Mô hình mới đạt 92% benchmark MMLU", "DeepMind công bố paper về chain-of-thought"</t>
  </si>
  <si>
    <t>Dev tooling thuần B2D</t>
  </si>
  <si>
    <t>"OpenAI Agents SDK update", "LangChain v0.3 ra mắt", API/SDK release không có B2C app</t>
  </si>
  <si>
    <t>Stock price / earnings</t>
  </si>
  <si>
    <t>"Cổ phiếu Y tăng 5% sau Q2 earnings"
Tin tài chính/đầu tư thuần túy (stocks, earnings không liên quan platform)</t>
  </si>
  <si>
    <t>Personality/celeb news không kèm action</t>
  </si>
  <si>
    <t>"CEO Z phát biểu tại hội nghị X" — trừ khi công bố roadmap</t>
  </si>
  <si>
    <t>Tech review consumer gadget</t>
  </si>
  <si>
    <t>"iPhone 18 review", "Samsung Galaxy S26 unboxing" — trừ khi feature ảnh hưởng super-app</t>
  </si>
  <si>
    <t>Entertainment/ Spports</t>
  </si>
  <si>
    <t>Tin giải trí/thể thao không có góc platform/tech</t>
  </si>
  <si>
    <t>Bảng tính điểm</t>
  </si>
  <si>
    <t>Score</t>
  </si>
  <si>
    <t>Level</t>
  </si>
  <si>
    <t>4.21 – 5.00</t>
  </si>
  <si>
    <t>5 – Industry disruption</t>
  </si>
  <si>
    <t>3.41 – 4.20</t>
  </si>
  <si>
    <t>4 – Strategic shift</t>
  </si>
  <si>
    <t>2.51 – 3.40</t>
  </si>
  <si>
    <t>3 – Market signal</t>
  </si>
  <si>
    <t>1.61 – 2.50</t>
  </si>
  <si>
    <t>2 – Minor signal</t>
  </si>
  <si>
    <t>≤ 1.60</t>
  </si>
  <si>
    <t>1 – Noise</t>
  </si>
  <si>
    <t>Công thức tính</t>
  </si>
  <si>
    <t>signal_score = D1 × 0.6 + D2 × 0.4</t>
  </si>
  <si>
    <t>R1 - Impact</t>
  </si>
  <si>
    <t>TA có thể action được gì từ tin này không?</t>
  </si>
  <si>
    <t>R2 - Relevance</t>
  </si>
  <si>
    <t>Tin này có thuộc liên quan đến các vertical không</t>
  </si>
  <si>
    <t>Regulation đã ban hành áp lên vertical TA đang vận hành
Đối thủ trực tiếp launch product/pricing change đụng vertical TA
Infrastructure/tool TA đang dùng có breaking change</t>
  </si>
  <si>
    <t>Liên quan 2+ vertical core + content actionable</t>
  </si>
  <si>
    <t>Đối thủ peer launch feature mới (chưa cùng vertical TA, có pattern apply)
Tool / infrastructure mới TA có thể adopt (Stripe Link, Ant AMP...)
Banking/fintech entry tạo lựa chọn mới
Regulation precedent ở SEA/TQ — sắp đến VN</t>
  </si>
  <si>
    <t>Liên quan đến 1+ vertical core + cotent actionable</t>
  </si>
  <si>
    <t>AI tech advance không trực tiếp super-app (DeepSeek V4, GPT update)
Corporate news ngành (CEO turnover, earnings có nuance)
 Routine player promo / feature minor (Grab promo tuần)
Regulation distant / proposed-not-enacted</t>
  </si>
  <si>
    <t>Adjacent: banking partner, regulatory precedent, 1 vertical thin / cross-vertical signal</t>
  </si>
  <si>
    <t>Niche partnership cho use case nhỏ (kiều hối routine)
Vertical mới chưa scale (insurance digital VN)
Trend gián tiếp</t>
  </si>
  <si>
    <t>Background signal — xu hướng gián tiếp, chưa có actor cụ thể</t>
  </si>
  <si>
    <t>Dev tooling thuần (OpenAI Agents SDK)
HR/AI hype không product implication
B2G/B2D không tạo precedent</t>
  </si>
  <si>
    <t>Hoàn toàn ngoài HST scope</t>
  </si>
  <si>
    <t>Modifiers cho D1</t>
  </si>
  <si>
    <t>Market Pulse</t>
  </si>
  <si>
    <t>TQ event với precedent rõ cho VN → cộng 0.3–0.5
Quốc tế (US/EU) chỉ là "tin tham khảo" → giảm 0.3–0.5</t>
  </si>
  <si>
    <t>Tin đồn/leak chưa confirm → cap D1 ≤ 3
B2B/enterprise solutions (dù có AI) → cap D1 ≤ 2</t>
  </si>
  <si>
    <t>Promo định kỳ → cap D1 ≤ 3.5
Product launch/Pricing/M&amp;A/ Feature update → D1 ≥ 4</t>
  </si>
  <si>
    <t>Impact score framework</t>
  </si>
  <si>
    <t>Range</t>
  </si>
  <si>
    <t>Min</t>
  </si>
  <si>
    <t>Meaning</t>
  </si>
  <si>
    <t>Mô tả</t>
  </si>
  <si>
    <t>1-1.8</t>
  </si>
  <si>
    <t>1 - Noise</t>
  </si>
  <si>
    <t>Định nghĩa: Tin viral hoặc thú vị nhưng không có giá trị chiến lược. Không tạo ra insight gì về thị trường.
Tiêu chí nhận diện:
- Câu chuyện consumer/viral không phản ánh xu hướng thị trường
- Sản phẩm/feature niche, không có relevance với VN/SEA
- Nội dung hành chính/thủ tục không ảnh hưởng đến doanh nghiệp tư nhân
- Ví dụ: MacBook warranty hack viral; Ứng dụng kết bạn tại Mỹ; HanoiWork OKR/KPI; United Airlines TSA wait times; Beehiiv mở rộng sang podcast</t>
  </si>
  <si>
    <t>1.81 - 3.0</t>
  </si>
  <si>
    <t>2 - Minor signal</t>
  </si>
  <si>
    <t>Định nghĩa: Tin tức liên quan, cung cấp context hữu ích nhưng không tạo áp lực thay đổi gì. Người đọc có thể bỏ qua mà không ảnh hưởng đến quyết định.
Tiêu chí nhận diện:
- Product update, feature launch không thay đổi competitive landscape
- Số liệu tham khảo từ thị trường khác, liên quan gián tiếp
- Regulatory/legal ở giai đoạn dự thảo hoặc thị trường ngoài
- Ví dụ: ElevenLabs AI music app; Rakuten rebrand DeepSeek V3; CMC đặt mục tiêu 20%; VNEID traffic reporting feature; Facebook Messenger web đóng</t>
  </si>
  <si>
    <t>3.01 - 3.4</t>
  </si>
  <si>
    <t>3 - Market signal</t>
  </si>
  <si>
    <t>Định nghĩa: Tín hiệu đáng theo dõi, phản ánh xu hướng hoặc sự kiện có tác động đến thị trường nhưng chưa tạo ra hành động ngay. Người đọc cần biết để chuẩn bị, không cần phản ứng ngay.
Tiêu chí nhận diện:
- Dữ liệu thị trường quan trọng nhưng chưa là bước ngoặt
- Nghiên cứu/báo cáo cung cấp insight mới về hành vi user hoặc ngành
- Sự kiện tạo precedent quan trọng (pháp lý, kỹ thuật, chính sách)
- Ví dụ: MIT AI confirmation bias research; 82% Indonesia AI shopping; DeepSeek outage 7h; Cuộc đua AI video sau Sora; Bitget crypto Visa APAC; Luật SHTT sửa đổi</t>
  </si>
  <si>
    <t>3.41-4.20</t>
  </si>
  <si>
    <t>4 - Strategic shift</t>
  </si>
  <si>
    <t>Định nghĩa: Hành động cụ thể của một player có trọng lượng, buộc các đối thủ hoặc ngành phải phản ứng. Phân biệt với 5: tác động chưa thay đổi toàn bộ cấu trúc, nhưng đã rõ ràng và cụ thể.
Tiêu chí nhận diện:
- Một công ty lớn thực hiện bước đi chiến lược rõ ràng (launch, partnership cụ thể, M&amp;A)
- Quy định/pháp lý tạo ra hành động bắt buộc ngay (không phải định hướng xa)
- Tác động cạnh tranh rõ ràng lên ít nhất một nhóm player
- Ví dụ: Shinsegae hợp tác OpenAI AI Commerce; Meta thử nghiệm Instagram Plus; Google AI viết lại SERP title; AI tấn công 1M+ doanh nghiệp Việt; Bộ KH&amp;CN xây danh mục AI rủi ro cao</t>
  </si>
  <si>
    <t>4.21 - 5.0</t>
  </si>
  <si>
    <t>5 - Industry disruption</t>
  </si>
  <si>
    <t>Định nghĩa: Thay đổi căn bản cách một ngành/thị trường vận hành tại VN/SEA. Không phải tin lớn toàn cầu – phải là structural change ảnh hưởng trực tiếp đến người dùng hoặc doanh nghiệp trong nước.
Tiêu chí nhận diện:
- Cấu trúc thị trường VN/SEA thay đổi (ai thắng/thua thị phần, ngành mới hình thành)
- Buộc nhiều player phải thay đổi mô hình kinh doanh đồng thời
- Dữ liệu/số liệu thể hiện bước ngoặt thực sự (không chỉ tăng trưởng thông thường)
- Ví dụ: TikTok Shop/Shopee chiếm 70%+ beauty TMĐT VN; TMĐT +34% nhưng toàn ngành không có lãi; Alibaba AI agents cho hàng triệu merchant; MobiFone vào hạ tầng thanh toán lõi</t>
  </si>
  <si>
    <t>Impact score decision table</t>
  </si>
  <si>
    <t>Criteria</t>
  </si>
  <si>
    <t>Low</t>
  </si>
  <si>
    <t>Medium</t>
  </si>
  <si>
    <t>High</t>
  </si>
  <si>
    <t>Market Scope</t>
  </si>
  <si>
    <t>company</t>
  </si>
  <si>
    <t>country</t>
  </si>
  <si>
    <t>global</t>
  </si>
  <si>
    <t>Industry Impact</t>
  </si>
  <si>
    <t>niche</t>
  </si>
  <si>
    <t>sector</t>
  </si>
  <si>
    <t>multi-sector</t>
  </si>
  <si>
    <t>Time Horizon</t>
  </si>
  <si>
    <t>short-term</t>
  </si>
  <si>
    <t>medium</t>
  </si>
  <si>
    <t>structural</t>
  </si>
  <si>
    <t>Strategic Relevance</t>
  </si>
  <si>
    <t>tactical</t>
  </si>
  <si>
    <t>strategic</t>
  </si>
  <si>
    <t>paradigm shift</t>
  </si>
  <si>
    <t>Impact scoring logic</t>
  </si>
  <si>
    <t>Impact score = average (market_scope, industry_impact, time_horizon, strategic_revlevance)</t>
  </si>
  <si>
    <t>Rule chọn tin bài phù hợp/ liên quan</t>
  </si>
  <si>
    <t>No</t>
  </si>
  <si>
    <t>Rule</t>
  </si>
  <si>
    <t>Weight</t>
  </si>
  <si>
    <t>Details</t>
  </si>
  <si>
    <t>Description</t>
  </si>
  <si>
    <t>Rule 1</t>
  </si>
  <si>
    <t>Strategic relevance</t>
  </si>
  <si>
    <t>- Fintech - payment/ wallet
- Technology - AI/ chatbot
- Platform ecosystem - Superapp
- Regulation - Fintech / AI
- Digital infrastructure - Indentiy/ Payment rails</t>
  </si>
  <si>
    <t>Mức độ tác động trực tiếp đến cách doanh nghiệp cạnh tranh trong thị trường VN/SEA. Không phải tầm quan trọng toàn cầu hay chính sách vĩ mô.
- 5: Thay đổi cấu trúc cạnh tranh ngay lập tức tại VN/SEA (ai thắng/thua thị phần)
- 4: Buộc player trong ngành phải điều chỉnh chiến lược
- 3: Ảnh hưởng đến 1-2 mảng kinh doanh cụ thể
- 2: Tín hiệu chiến lược nhưng chưa rõ tác động
- 1: Không liên quan đến VN/SEA market</t>
  </si>
  <si>
    <t>Rule 2</t>
  </si>
  <si>
    <t>Market impact</t>
  </si>
  <si>
    <t>- Ảnh hưởng đến ngành
- Ảnh hưởng đến nhiều công ty
- Ảnh hưởng đến pháp lý
- Ảnh hưởng đến hạ tầng nền tảng</t>
  </si>
  <si>
    <t>Quy mô người dùng/merchant/doanh nghiệp thực sự bị ảnh hưởng. Tính theo breadth (bao nhiêu người) × depth (ảnh hưởng sâu đến đâu).
- 5: Ảnh hưởng toàn bộ thị trường (triệu users hoặc toàn ngành)
- 4: Ảnh hưởng phân khúc lớn hoặc nhiều ngành
- 3: Ảnh hưởng một nhóm rõ ràng (e.g. merchant, fintech startup)
- 2: Ảnh hưởng hẹp hoặc gián tiếp
- 1: Tác động không đáng kể</t>
  </si>
  <si>
    <t>Rule 3</t>
  </si>
  <si>
    <t>Competitive intelligence</t>
  </si>
  <si>
    <t>- Momo
- Zalopay
- BigTech</t>
  </si>
  <si>
    <t>Mức độ thay đổi thế cạnh tranh giữa các player, bao gồm cả competitive threat với doanh nghiệp trong nước. Tính theo: ai được lợi, ai bị đe dọa.
- 5: Một player giành hoặc mất lợi thế cạnh tranh lớn ngay lập tức
- 4: Tạo áp lực cạnh tranh rõ ràng lên các đối thủ hiện tại
- 3: Mở ra hoặc đóng cửa một mảng cạnh tranh
- 2: Tín hiệu cạnh tranh nhưng chưa có hành động cụ thể
- 1: Không ảnh hưởng đến landscape cạnh tranh</t>
  </si>
  <si>
    <t>Rule 4</t>
  </si>
  <si>
    <t>Technology inflection</t>
  </si>
  <si>
    <t>- AI infrastructure
- AI superapp
- AI productization</t>
  </si>
  <si>
    <t>Mức độ công nghệ kích hoạt hành vi mới hoặc làm lỗi thời cách làm cũ. Không chỉ là innovation thuần kỹ thuật — behavioral shift, platform shift, và infrastructure shift đều tính.
- 5: Tạo ra category mới hoặc làm lỗi thời một cách làm cũ hoàn toàn
- 4: Shift rõ ràng trong cách user/business tương tác với technology
- 3: Nâng cấp đáng kể khả năng hiện tại
- 2: Cải tiến incremental, không thay đổi cơ bản
- 1: Không có tech inflection</t>
  </si>
  <si>
    <t>Phân tích logic lọc bài của bạn</t>
  </si>
  <si>
    <t>1. Tiêu chí nguồn (Source tier)</t>
  </si>
  <si>
    <t>Tier</t>
  </si>
  <si>
    <t>Nguồn</t>
  </si>
  <si>
    <t>Vai trò</t>
  </si>
  <si>
    <t>Domestic tech</t>
  </si>
  <si>
    <t>GenK, VNExpress, Dân Trí, VNEconomy TechConnect</t>
  </si>
  <si>
    <t>Thị trường VN</t>
  </si>
  <si>
    <t>Regulatory</t>
  </si>
  <si>
    <t>Compliance/chính sách</t>
  </si>
  <si>
    <t>Regional</t>
  </si>
  <si>
    <t>TechInAsia</t>
  </si>
  <si>
    <t>SEA context</t>
  </si>
  <si>
    <t>Global</t>
  </si>
  <si>
    <t>TechCrunch, Bloomberg</t>
  </si>
  <si>
    <t>Xu hướng quốc tế</t>
  </si>
  <si>
    <r>
      <t xml:space="preserve">→ </t>
    </r>
    <r>
      <rPr>
        <b/>
        <sz val="11"/>
        <color theme="1"/>
        <rFont val="Calibri"/>
        <family val="2"/>
        <scheme val="minor"/>
      </rPr>
      <t>Logic</t>
    </r>
    <r>
      <rPr>
        <sz val="11"/>
        <color theme="1"/>
        <rFont val="Calibri"/>
        <family val="2"/>
        <scheme val="minor"/>
      </rPr>
      <t>: Bao phủ đa tầng — VN nội địa + SEA + Global, không lọc theo nguồn mà lọc theo nội dung.</t>
    </r>
  </si>
  <si>
    <t>2. Tiêu chí chủ đề (Topic relevance)</t>
  </si>
  <si>
    <r>
      <t xml:space="preserve">Nhìn vào các bài được qualified, có thể thấy </t>
    </r>
    <r>
      <rPr>
        <b/>
        <sz val="11"/>
        <color theme="1"/>
        <rFont val="Calibri"/>
        <family val="2"/>
        <scheme val="minor"/>
      </rPr>
      <t>5 nhóm chủ đề được chấp nhận</t>
    </r>
    <r>
      <rPr>
        <sz val="11"/>
        <color theme="1"/>
        <rFont val="Calibri"/>
        <family val="2"/>
        <scheme val="minor"/>
      </rPr>
      <t>:</t>
    </r>
  </si>
  <si>
    <t>Nhóm</t>
  </si>
  <si>
    <t>Ví dụ trong list</t>
  </si>
  <si>
    <t>Liên quan super-app</t>
  </si>
  <si>
    <t>AI tools &amp; platform</t>
  </si>
  <si>
    <t>OpenClaw, ChatGPT, Gemini, OpenAI superapp</t>
  </si>
  <si>
    <t>V-AI, cạnh tranh assistant</t>
  </si>
  <si>
    <t>Mobile/app ecosystem</t>
  </si>
  <si>
    <t>iOS 27, Apple Dev metrics, WhatsApp AI</t>
  </si>
  <si>
    <t>App development context</t>
  </si>
  <si>
    <t>Payments &amp; fintech</t>
  </si>
  <si>
    <t>TT30/NHNN, FOMO Pay AI soundbox, Indonesia QR</t>
  </si>
  <si>
    <t>VPoint, thanh toán</t>
  </si>
  <si>
    <t>Platform &amp; e-commerce</t>
  </si>
  <si>
    <t>Meta shopping AI, TikTok ads, Shopee/TikTok couriers</t>
  </si>
  <si>
    <t>Ecosystem cạnh tranh</t>
  </si>
  <si>
    <t>Vietnam regulations</t>
  </si>
  <si>
    <t>Smartphone safety, AI governance law, TT18 hộ KD</t>
  </si>
  <si>
    <t>Compliance</t>
  </si>
  <si>
    <t>3. Tiêu chí loại trừ (Disqualified)</t>
  </si>
  <si>
    <r>
      <t xml:space="preserve">Các bài </t>
    </r>
    <r>
      <rPr>
        <b/>
        <sz val="11"/>
        <color theme="1"/>
        <rFont val="Calibri"/>
        <family val="2"/>
        <scheme val="minor"/>
      </rPr>
      <t>không</t>
    </r>
    <r>
      <rPr>
        <sz val="11"/>
        <color theme="1"/>
        <rFont val="Calibri"/>
        <family val="2"/>
        <scheme val="minor"/>
      </rPr>
      <t xml:space="preserve"> có trong list của bạn thường rơi vào:</t>
    </r>
  </si>
  <si>
    <t>Tin tài chính/đầu tư thuần túy (stocks, earnings không liên quan platform)</t>
  </si>
  <si>
    <t>Tin sản phẩm consumer hardware không liên quan ecosystem</t>
  </si>
  <si>
    <t>4. Signal grading logic (suy luận)</t>
  </si>
  <si>
    <t>Label</t>
  </si>
  <si>
    <t>Tiêu chí (suy luận)</t>
  </si>
  <si>
    <t>Industry disruption</t>
  </si>
  <si>
    <t>Thay đổi căn bản cách người dùng/thị trường hoạt động — đe dọa hoặc cơ hội lớn cho super-app</t>
  </si>
  <si>
    <t>Strategic shift</t>
  </si>
  <si>
    <t>Đối thủ/platform lớn thay đổi chiến lược có thể ảnh hưởng đến positioning</t>
  </si>
  <si>
    <t>Market signal</t>
  </si>
  <si>
    <t>Xu hướng thị trường đáng theo dõi, chưa rõ impact</t>
  </si>
  <si>
    <t>Minor signal</t>
  </si>
  <si>
    <t>Thông tin nền, cập nhật nhỏ, liên quan gián tiếp</t>
  </si>
  <si>
    <t>Noise</t>
  </si>
  <si>
    <t>Lọt qua vì nguồn qualified nhưng nội dung không liên quan</t>
  </si>
  <si>
    <r>
      <t xml:space="preserve">→ Hai bài level 1 (eSports Nations Cup, Robinhood buyback) nhiều khả năng là </t>
    </r>
    <r>
      <rPr>
        <b/>
        <sz val="11"/>
        <color theme="1"/>
        <rFont val="Calibri"/>
        <family val="2"/>
        <scheme val="minor"/>
      </rPr>
      <t>false positive</t>
    </r>
    <r>
      <rPr>
        <sz val="11"/>
        <color theme="1"/>
        <rFont val="Calibri"/>
        <family val="2"/>
        <scheme val="minor"/>
      </rPr>
      <t xml:space="preserve"> — lọt qua vì nguồn/keyword nhưng không có giá trị thực cho Market Pulse.</t>
    </r>
  </si>
  <si>
    <t>Bước 1: Lựa chọn source</t>
  </si>
  <si>
    <t>Strategy</t>
  </si>
  <si>
    <t>Product</t>
  </si>
  <si>
    <t>Feature</t>
  </si>
  <si>
    <t>Partnerhsip</t>
  </si>
  <si>
    <t>User activation</t>
  </si>
  <si>
    <t>User engagement</t>
  </si>
  <si>
    <t>User acquisition</t>
  </si>
  <si>
    <t>Transaction growth</t>
  </si>
  <si>
    <t>Source</t>
  </si>
  <si>
    <t>code</t>
  </si>
  <si>
    <t>ZaloPay fanpage</t>
  </si>
  <si>
    <t>MoMo fanpage</t>
  </si>
  <si>
    <r>
      <rPr>
        <b/>
        <sz val="11"/>
        <color theme="1"/>
        <rFont val="Calibri"/>
        <family val="2"/>
        <scheme val="minor"/>
      </rPr>
      <t>Nguyên tắc phân loại Bước 2</t>
    </r>
    <r>
      <rPr>
        <sz val="11"/>
        <color theme="1"/>
        <rFont val="Calibri"/>
        <family val="2"/>
        <scheme val="minor"/>
      </rPr>
      <t xml:space="preserve">
- Bài viết là hành động chủ động của 1 players thuộc list bên dưới và hiệu lực/ được áp dụng tại Việt Nam: Players Movement
- Bài viết còn lại (tin thị trường, regulation, peer global, players): Market Pulse
- Sub_topic_group trong Market Pulse là phạm vi của sự kiện trong bài viết xảy ra
- Sub_topic_group trong Players Movement tách riêng Zalo, ZaloPay: 
  + Action/Event liên quan thanh toán, payment, QR, ví điện tử, kiều hối, BNPL → ZaloPay
  + Action/Event liên quan chat, mini app, social, OA, AI assistant trong Zalo → Zalo</t>
    </r>
  </si>
  <si>
    <t>Bước 2: Phân loại theo topic_group</t>
  </si>
  <si>
    <t>Topic Group</t>
  </si>
  <si>
    <t>no_1</t>
  </si>
  <si>
    <t>no_2</t>
  </si>
  <si>
    <t>no_final</t>
  </si>
  <si>
    <t>topic_aggregrate</t>
  </si>
  <si>
    <t>Quốc tế</t>
  </si>
  <si>
    <t>Trung quốc</t>
  </si>
  <si>
    <t>SEA</t>
  </si>
  <si>
    <t>Trong nước</t>
  </si>
  <si>
    <t>MoMo</t>
  </si>
  <si>
    <t>Zalo</t>
  </si>
  <si>
    <t>Zalopay</t>
  </si>
  <si>
    <t>Traveloka</t>
  </si>
  <si>
    <t>WhatsApp</t>
  </si>
  <si>
    <t>Telegram</t>
  </si>
  <si>
    <t>Grab</t>
  </si>
  <si>
    <r>
      <rPr>
        <b/>
        <sz val="11"/>
        <color theme="1"/>
        <rFont val="Calibri"/>
        <family val="2"/>
        <scheme val="minor"/>
      </rPr>
      <t>Nguyên tắc phân loại Bước 3</t>
    </r>
    <r>
      <rPr>
        <sz val="11"/>
        <color theme="1"/>
        <rFont val="Calibri"/>
        <family val="2"/>
        <scheme val="minor"/>
      </rPr>
      <t xml:space="preserve">
- Phân biệt Product vs Feature: Product là "1 sản phẩm mới có thể đứng độc lập" (Ví Trả Sau, Gói Thành Viên). Feature là "thêm chức năng trong sản phẩm có sẵn" (chuyển khoản nhanh, OTP mới, UX redesign)
- Phân biệt Marketing vs Strategy: Marketing là campaign có thời hạn (voucher, mã giảm, livestream tuần). Strategy là tuyên bố/lộ trình dài hạn (mở rộng quốc gia, mua lại startup, AI roadmap)</t>
    </r>
  </si>
  <si>
    <t>Bước 3: Phân loại content theo category_group</t>
  </si>
  <si>
    <t>Category Group</t>
  </si>
  <si>
    <t>no_3</t>
  </si>
  <si>
    <t>category_group</t>
  </si>
  <si>
    <t>definition</t>
  </si>
  <si>
    <t>Political</t>
  </si>
  <si>
    <t>Chính sách, sắc lệnh, chiến lược quốc gia, geopolitics</t>
  </si>
  <si>
    <t>Economic</t>
  </si>
  <si>
    <t>Funding, M&amp;A, mở rộng thị trường, đổi mô hình kinh doanh, sáng kiến chính phủ về kinh tế</t>
  </si>
  <si>
    <t>Social</t>
  </si>
  <si>
    <t>Hành vi người dùng, thói quen thanh toán số, chấp nhận AI,…</t>
  </si>
  <si>
    <t>Technology</t>
  </si>
  <si>
    <t>AI, blockchain, open banking, cloud, cybersecurity, platform policy</t>
  </si>
  <si>
    <t>Legal</t>
  </si>
  <si>
    <t>Luật, Thông tư, Nghị định, Quyết định</t>
  </si>
  <si>
    <t>Ra mắt, sửa đổi, phát hành, thử nghiệm, đóng 1 sản phẩm hoặc đổi pricing/T&amp;C</t>
  </si>
  <si>
    <t>Cải tiến, cập nhật, bổ sung, hủy bỏ tính năng/bảo mật/ quyền riêng tư</t>
  </si>
  <si>
    <t>Marketing</t>
  </si>
  <si>
    <t>Liên quan đến các chương trình khuyến mãi, chiến dịch truyền thông về sản phẩm/ dịch vụ/ theo sự kiện</t>
  </si>
  <si>
    <t>Partnership</t>
  </si>
  <si>
    <t>Hợp tác với bên ngoài (bank, merchant, telco, tech provider, transport)</t>
  </si>
  <si>
    <t>CSR/ Community</t>
  </si>
  <si>
    <t>Hoạt động vì cộng đồng, Gây quỹ, Marathon</t>
  </si>
  <si>
    <t>Mở rộng thị trường, hệ sinh thái, đầu tư công ty, mua startup, lộ trình AI</t>
  </si>
  <si>
    <t>Bước 4: Phân loại content chi tiết hơn theo sub_category_group</t>
  </si>
  <si>
    <t>Sub Category group</t>
  </si>
  <si>
    <t>no_4</t>
  </si>
  <si>
    <t>sub_category_group</t>
  </si>
  <si>
    <t>New poilicy</t>
  </si>
  <si>
    <t>Technology policy</t>
  </si>
  <si>
    <t>Geopolitical tension</t>
  </si>
  <si>
    <t>National digital strategy</t>
  </si>
  <si>
    <t>Others</t>
  </si>
  <si>
    <t>Funding/ investment</t>
  </si>
  <si>
    <t>M&amp;A activity</t>
  </si>
  <si>
    <t>Market growth/market size</t>
  </si>
  <si>
    <t>Business model change</t>
  </si>
  <si>
    <t>Government initiative</t>
  </si>
  <si>
    <t>Consumer behavior</t>
  </si>
  <si>
    <t>Digital adoption</t>
  </si>
  <si>
    <t>Payment behavior</t>
  </si>
  <si>
    <t>Ads strategy</t>
  </si>
  <si>
    <t>Digital workforce</t>
  </si>
  <si>
    <t>AI/ Gen AI</t>
  </si>
  <si>
    <t>Blockchain/ Web3</t>
  </si>
  <si>
    <t>Open banking/ API</t>
  </si>
  <si>
    <t>Cloud/ Infrastructure</t>
  </si>
  <si>
    <t>Cybersecurity</t>
  </si>
  <si>
    <t>Platform policy</t>
  </si>
  <si>
    <t>Fintech/ Wallet</t>
  </si>
  <si>
    <t>Payment</t>
  </si>
  <si>
    <t>Digital money</t>
  </si>
  <si>
    <t>Data privacy</t>
  </si>
  <si>
    <t>eCommerce regulation</t>
  </si>
  <si>
    <t>Social media regulation</t>
  </si>
  <si>
    <t>Product launch</t>
  </si>
  <si>
    <t>Product update</t>
  </si>
  <si>
    <t>Pricing change</t>
  </si>
  <si>
    <t>T&amp;C change</t>
  </si>
  <si>
    <t>Off product</t>
  </si>
  <si>
    <t>Feature upgrade</t>
  </si>
  <si>
    <t>New feature</t>
  </si>
  <si>
    <t>Payment capability upgrade</t>
  </si>
  <si>
    <t>UX / UI improvement</t>
  </si>
  <si>
    <t>Security / Privacy</t>
  </si>
  <si>
    <t>Banking / Financial institution</t>
  </si>
  <si>
    <t>Merchant/ Retailer</t>
  </si>
  <si>
    <t>Ecommerce platform</t>
  </si>
  <si>
    <t>Telco/ Infrastructure</t>
  </si>
  <si>
    <t>Ecomerce partnership</t>
  </si>
  <si>
    <t>Technology provider</t>
  </si>
  <si>
    <t>Transport/ Mobility</t>
  </si>
  <si>
    <t>Utility</t>
  </si>
  <si>
    <t>Ecosystem expansion</t>
  </si>
  <si>
    <t>Branding</t>
  </si>
  <si>
    <t>Market expansion</t>
  </si>
  <si>
    <t>Corporate investment</t>
  </si>
  <si>
    <t>Startup acquisition</t>
  </si>
  <si>
    <t>Platform / AI strategy</t>
  </si>
  <si>
    <r>
      <rPr>
        <b/>
        <sz val="11"/>
        <color theme="1"/>
        <rFont val="Calibri"/>
        <family val="2"/>
        <scheme val="minor"/>
      </rPr>
      <t>Nguyên tắc phân loại Bước 5</t>
    </r>
    <r>
      <rPr>
        <sz val="11"/>
        <color theme="1"/>
        <rFont val="Calibri"/>
        <family val="2"/>
        <scheme val="minor"/>
      </rPr>
      <t xml:space="preserve">
- Bài regulation: Gán theo vertical mà regulation áp lên
- Bài chạm 2 vertical, AI là enabler thì gán theo vertical mà AI được áp dụng. Ví dụ "Snapchat đưa quảng cáo hội thoại bằng AI"  =&gt; MXH/ Chat</t>
    </r>
  </si>
  <si>
    <t>Bước 5: Phân loại theo related-vertical</t>
  </si>
  <si>
    <t>related-vertical</t>
  </si>
  <si>
    <t>MXH/ Chat</t>
  </si>
  <si>
    <t>E - Commerce</t>
  </si>
  <si>
    <t>Ride/ Food Delivery</t>
  </si>
  <si>
    <t>Fintech / E-wallet</t>
  </si>
  <si>
    <t>Travel / Ticket</t>
  </si>
  <si>
    <t>Smart city</t>
  </si>
  <si>
    <t>Auto</t>
  </si>
  <si>
    <t>Fill</t>
  </si>
  <si>
    <t>Drop_down list</t>
  </si>
  <si>
    <t>Calculation</t>
  </si>
  <si>
    <t>id</t>
  </si>
  <si>
    <t>hyperlink</t>
  </si>
  <si>
    <t>signal_level</t>
  </si>
  <si>
    <t>merged_category</t>
  </si>
  <si>
    <t>start_date</t>
  </si>
  <si>
    <t>end_date</t>
  </si>
  <si>
    <t>tags</t>
  </si>
  <si>
    <t>R1</t>
  </si>
  <si>
    <t>R2</t>
  </si>
  <si>
    <t>R3</t>
  </si>
  <si>
    <t>R4</t>
  </si>
  <si>
    <t>signal_score</t>
  </si>
  <si>
    <t>related_product_2</t>
  </si>
  <si>
    <t>https://thuvienphapluat.vn/van-ban/Tien-te-Ngan-hang/Thong-tu-77-2025-TT-NHNN-sua-doi-Thong-tu-50-2024-TT-NHNN-688630.aspx</t>
  </si>
  <si>
    <t>Ứng dụng Mobile Banking sẽ tự thoát khi điện thoại không bảo mật từ 01/3/2026</t>
  </si>
  <si>
    <t>Banking / Fintech</t>
  </si>
  <si>
    <t>Thông tư 77/2025/TT-NHNN ngày 31/12/2025 có hiệu lực từ 1/3/2026</t>
  </si>
  <si>
    <t>Thông tư bổ sung nhiều yêu cầu mới về an toàn, bảo mật ứng dụng Mobile Banking, từ kiểm soát phiên bản phần mềm đến phòng chống tấn công mạng và gian lận bằng công nghệ cao. 
Ứng dụng Mobile Banking phải tự động thoát hoặc dừng hoạt động và thông báo cho khách hàng lý do nếu phát hiện các dấu hiệu mất an toàn
Các giải pháp phát hiện giả mạo sinh trắc học phải đạt chuẩn quốc tế ISO 30107 cấp độ 2
Siết chặt quản lý phiên bản ứng dụng Mobile Banking. Theo quy định mới, tối thiểu 3 tháng một lần, các tổ chức tín dụng phải tổ chức đánh giá mức độ an toàn, bảo mật đối với các phiên bản ứng dụng đang được phép cài đặt, sử dụng, qua đó kịp thời phát hiện lỗ hổng và nguy cơ bị tội phạm mạng can thiệp</t>
  </si>
  <si>
    <t>Luật; Thông tư; NHNN; Mobile Banking</t>
  </si>
  <si>
    <t>https://thuvienphapluat.vn/van-ban/Cong-nghe-thong-tin/Luat-Tri-tue-nhan-tao-2025-so-134-2025-QH15-679013.aspx</t>
  </si>
  <si>
    <t>Luật Trí tuệ nhân tạo 2025 số 134/2025/QH15 áp dụng năm 2026</t>
  </si>
  <si>
    <t>Luật Trí tuệ nhân tạo số 134/2025/QH15 do Quốc hội ban hành chính thức áp dụng từ 1/3/2026</t>
  </si>
  <si>
    <t>Các hệ thống AI tương tác trực tiếp với con người phải được thiết kế để người dùng biết mình đang làm việc với máy. Đồng thời, nội dung dạng âm thanh, hình ảnh hoặc video do AI tạo ra phải được đánh dấu bằng dấu hiệu nhận biết theo quy định của Chính phủ
Phân loại và quản trị hệ thống trí tuệ nhân tạo theo rủi ro để áp dụng biện pháp phù hợp, khuyến khích đổi mới nhưng ưu tiên bảo vệ quyền lợi người bị ảnh hưởng</t>
  </si>
  <si>
    <t>Luật; Trí tuệ nhân tạo</t>
  </si>
  <si>
    <t>https://genk.vn/chi-dao-moi-nghien-cuu-tich-hop-mang-xa-hoi-vao-vneid-de-dinh-danh-nguoi-dung-ngay-trong-nam-2026-165260222142344609.chn</t>
  </si>
  <si>
    <t>Chỉ đạo mới: Nghiên cứu tích hợp mạng xã hội vào VNeID để định danh người dùng ngay trong năm 2026</t>
  </si>
  <si>
    <t>Natinal digital strategy</t>
  </si>
  <si>
    <t>Nghiên cứu tích hợp mạng xã hội vào VNeID để định danh người dùng ngay trong Quý III/2026</t>
  </si>
  <si>
    <t>Theo chương trình công tác năm 2026, Ban Chỉ đạo Trung ương về phát triển khoa học, công nghệ, đổi mới sáng tạo và chuyển đổi số giao Chính phủ rà soát, nghiên cứu giải pháp kỹ thuật liên kết, tích hợp các dịch vụ mạng xã hội với hệ thống VNeID
Việc tích hợp nhằm phục vụ xác thực và định danh người dùng trên không gian mạng, bảo đảm tuân thủ quy định pháp luật trong nước cũng như các cam kết quốc tế mà Việt Nam tham gia
Theo kế hoạch, nhiệm vụ này cần hoàn tất trong quý III năm nay.</t>
  </si>
  <si>
    <t>VNeID; tích hợp; mạng xã hội</t>
  </si>
  <si>
    <t>https://baotintuc.vn/thi-truong-tien-te/doanh-nghiep-tang-toc-chuan-bi-cho-thi-diem-san-giao-dich-tai-san-ma-hoa-20260226191937609.htm</t>
  </si>
  <si>
    <t>Doanh nghiệp tăng tốc chuẩn bị cho thí điểm sàn giao dịch tài sản mã hóa</t>
  </si>
  <si>
    <t>Thị trường giao dịch tài sản mã hóa sẽ được đưa vào vận hành thí điểm trước ngày 28/2/2026</t>
  </si>
  <si>
    <t>Các doanh nghiệp Việt Nam đang đẩy nhanh chuẩn bị, tăng vốn và hoàn thiện hệ thống để tham gia thí điểm sàn giao dịch tài sản mã hóa. CAEX và các công ty khác tập trung vào an toàn, bảo mật, quản trị rủi ro theo chuẩn quốc tế, trong bối cảnh khung pháp lý đang hoàn thiện với yêu cầu vốn điều lệ tối thiểu và cơ cấu cổ đông phù hợp</t>
  </si>
  <si>
    <t>Kinh tế; Vận hành thí điểm; Sàn giao dịch; Tiền mã khóa</t>
  </si>
  <si>
    <t>https://baomoi.com/google-ra-mat-nano-banana-2-cai-tien-toc-do-va-kha-nang-tao-anh-ai-chat-luong-4k-c54567264.epi</t>
  </si>
  <si>
    <t>Báo mới</t>
  </si>
  <si>
    <t>Google ra mắt mô hình tạo ảnh mới Nano Banana 2, tham vọng phủ sóng toàn hệ sinh thái AI</t>
  </si>
  <si>
    <t>Nano Banana 2 có tên chính thức là Gemini 3.1 Flash Image. Theo Google, mô hình này kết hợp khả năng suy luận chuyên sâu của biến thể Pro trước đó với độ phản hồi nhanh của Gemini Flash. Hệ thống được cho là có thể khai thác kiến thức thực tế và tham chiếu thông tin web cập nhật để tái hiện chính xác các chủ thể cụ thể. Nhờ đó, người dùng có thể tạo ra infographic chi tiết, sơ đồ có cấu trúc rõ ràng và các hình ảnh dựa trên dữ liệu với độ chính xác ngữ cảnh được cải thiện</t>
  </si>
  <si>
    <t>AI; Google; Nano Banana 2; Gemini Flash</t>
  </si>
  <si>
    <t>https://baomoi.com/5-xu-huong-ai-se-dinh-hinh-chien-luoc-lanh-dao-nam-2026-c54541582.epi</t>
  </si>
  <si>
    <t>5 xu hướng AI sẽ định hình chiến lược lãnh đạo năm 2026</t>
  </si>
  <si>
    <t>Sự tăng tốc của các hệ sinh thái super-app “AI-FIRST”</t>
  </si>
  <si>
    <t>AI đang chuyển từ vai trò “công cụ hỗ trợ” sang trở thành một tầng vận hành chiến lược của doanh nghiệp, nơi các tác nhân AI (agentic AI) có khả năng tự lập kế hoạch, điều phối quy trình và thay đổi cấu trúc lãnh đạo truyền thống. Năm 2026, các super-app AI‑first và hệ sinh thái AI bản địa hóa sẽ trở thành lợi thế cạnh tranh cốt lõi, buộc lãnh đạo doanh nghiệp phải tái thiết kế lực lượng lao động, mô hình tổ chức và phương thức ra quyết định.</t>
  </si>
  <si>
    <t>AI; Tác nhân AI; Agent; Xu hướng</t>
  </si>
  <si>
    <t>https://vneconomy.vn/techconnect/cac-ong-lon-cong-nghe-trung-quoc-chay-dua-xay-dung-sieu-ung-dung-ai.htm</t>
  </si>
  <si>
    <t>Các “ông lớn” công nghệ Trung Quốc chạy đua xây dựng siêu ứng dụng AI</t>
  </si>
  <si>
    <t>Alibaba, Baidu, ByteDance và Tencent đang chạy đua biến chatbot thành công cụ mua sắm</t>
  </si>
  <si>
    <t>Alibaba đã nâng cấp chatbot AI Qwen 3.5, cho phép người dùng hoàn tất giao dịch trực tiếp trong giao diện trò chuyện. Thông qua bản cập nhật này, người dùng có thể đặt đồ ăn, mua vé máy bay, so sánh sản phẩm, đặt phòng khách sạn và thanh toán – tất cả mà không cần rời khỏi chatbot
Điểm khác biệt lớn nhất của Qwen phiên bản mới nằm ở khả năng kết nối sâu với toàn bộ hệ sinh thái thương mại của Alibaba. AI có thể truy xuất dữ liệu và đề xuất sản phẩm từ Taobao, Tmall, Fliggy (du lịch), các dịch vụ giao đồ ăn, rồi xử lý thanh toán qua Alipay
Đầu tháng 2, chiến dịch tặng phiếu giảm giá khi đặt trà sữa qua AI Qwen của Alibaba với ngân sách 3 tỷ NDT đã giúp lượng người dùng hoạt động của Qwen tăng gấp 7 lần. Trước đó, Tencent khởi động chương trình phát lì xì trị giá 1 tỷ NDT (khoảng 140 triệu USD) thông qua trợ lý AI Yuanbao. Không lâu sau, Baidu tung ra gói 500 triệu NDT cho Wenxin (Wechat) AI</t>
  </si>
  <si>
    <t>AI; Agentic commerce; chatbot AI; Thương mại điện tử; Trung Quốc; AI Agent</t>
  </si>
  <si>
    <t>https://genk.vn/galaxy-s26-series-co-7-tinh-nang-ai-moi-tu-mo-app-goi-xe-dat-do-an-chinh-anh-bang-loi-noi-tu-nghe-cuoc-goi-nguoi-la-16526022601523337.chn</t>
  </si>
  <si>
    <t>Galaxy S26 series có 7 tính năng AI mới: Tự mở app gọi xe, đặt đồ ăn, chỉnh ảnh bằng lời nói, tự nghe cuộc gọi người lạ…</t>
  </si>
  <si>
    <t>Galaxy S26 series sẽ mang đến 7 nâng cấp AI mới, tập trung vào tự động hóa tác vụ đa bước,..triển khai trước tại Mỹ và Hàn Quốc</t>
  </si>
  <si>
    <t>Gemini được nâng cấp vượt khỏi mô hình chatbot truyền thống, trợ lý Agentic AI này có thể trực tiếp thao tác ứng dụng thay cho người dùng và xử lý các tác vụ nhiều bước vốn trước đây yêu cầu chuyển qua lại giữa 3 đến 4 app. 
Ở giai đoạn beta, tính năng này được triển khai trước tại Mỹ và Hàn Quốc. 3 nhóm tác vụ chính được hỗ trợ gồm đặt lại món quen trên DoorDash hoặc Uber Eats, so sánh và đặt xe giữa các nền tảng hỗ trợ, xây dựng giỏ hàng tạp hóa từ công thức nấu ăn hoặc lịch sử mua sắm thông qua các đối tác như Kroger và Walmart. Theo thông tin hiện tại, phiên bản Gemini agentic này chỉ có trên dòng Galaxy S26 và Pixel 10</t>
  </si>
  <si>
    <t>AI; Galaxy AI</t>
  </si>
  <si>
    <t>https://zalopay.vn/thong-bao-zalopay-nang-cap-bao-mat-theo-thong-tu-77-8302</t>
  </si>
  <si>
    <t>ZaloPay Wesbite</t>
  </si>
  <si>
    <t>Zalopay nâng cấp bảo mật theo Thông tư 77/2025/TT-NHNN, tăng cường an toàn giao dịch cho người dùng</t>
  </si>
  <si>
    <t>Security /  Privacy</t>
  </si>
  <si>
    <t>Ứng dụng Zalopay sẽ tự động thoát hoặc dừng hoạt động và xuất hiện thông báo lý do trên màn hình để bảo vệ tài khoản và thông tin giao dịch của khách hàng nếu phát hiện thiết bị có dấu hiệu mất an toàn</t>
  </si>
  <si>
    <t>Bảo mật thông tin; Tin tức</t>
  </si>
  <si>
    <t>https://zalopay.vn/giam-den-50000d-khi-thanh-toan-home-credit-tren-zalopay-6686</t>
  </si>
  <si>
    <t>Giảm đến 50.000đ khi thanh toán Home Credit trên Zalopay</t>
  </si>
  <si>
    <t>Chương trình này cho thấy ZaloPay đang đẩy mạnh nhóm dịch vụ thanh toán tài chính – trả góp (FECredit, Home Credit). Việc yêu cầu mức thanh toán tối thiểu (500.000đ hoặc 1.000.000đ) giúp ZaloPay tăng giá trị giao dịch bình quân</t>
  </si>
  <si>
    <t>Khuyến mãi; Ưu đãi thanh toán hóa đơn; Vay tiêu dùng; Dịch vụ vay tiêu dùng</t>
  </si>
  <si>
    <t>Tín dụng</t>
  </si>
  <si>
    <t>Home Credit</t>
  </si>
  <si>
    <t>https://zalopay.vn/giam-den-50000d-khi-thanh-toan-fe-credit-tren-zalopay-6941</t>
  </si>
  <si>
    <t>Giảm đến 50.000đ khi thanh toán FE Credit trên Zalopay</t>
  </si>
  <si>
    <t>FE Credit</t>
  </si>
  <si>
    <t>https://www.facebook.com/share/p/18EGxQ3xRn/?mibextid=wwXIfr</t>
  </si>
  <si>
    <t>ZaloPay Fanpage</t>
  </si>
  <si>
    <t>Đặt dịch vụ giao hàng SPX Express trên ZaloPay</t>
  </si>
  <si>
    <t>Truyền thông về dịch vụ đặt giao hàng của SPX trên ứng dụng Zalopay với giá ưu đãi hơn, từ 5.000đ/kg</t>
  </si>
  <si>
    <t>Khuyến mãi; Ưu đãi thanh toán hóa đơn; Chuyển phát nhanh</t>
  </si>
  <si>
    <t>Thanh toán</t>
  </si>
  <si>
    <t>SPX Express</t>
  </si>
  <si>
    <t>https://www.momo.vn/tin-tuc/tin-tuc-su-kien/15h-17h59-23-02-giat-li-xi-mung-7-115000-bao-li-8491</t>
  </si>
  <si>
    <t>MoMo Website</t>
  </si>
  <si>
    <t>Giật Lì Xì Mùng 7: 115.000 bao lì xì đến 28k - 68k - 888k!</t>
  </si>
  <si>
    <t>Chiến dịch này tận dụng ngày Mùng 7 – thời điểm dân công sở quay lại làm việc để kích hoạt tương tác và tăng tỷ lệ mở app nối tiếp 2 chiến dịch Giật lì xì đêm Giao Thừa và Giật lì xì trong Mùng 1 Tết: 
- Hoàn thành nhiệm vụ “Nhận tiền từ ngân hàng về MoMo qua số điện thoại (tối thiểu 10.000đ)
- 3 loại lì xì khác nhau vào 3 khung giờ khác nhau
- Tổng ngân sách: 134 triệu</t>
  </si>
  <si>
    <t>Khuyến mãi; Gamification; Lì xì mùng 7</t>
  </si>
  <si>
    <t>Nhận tiền từ ngân hàng qua SĐT Momo</t>
  </si>
  <si>
    <t>https://www.momo.vn/tin-tuc/tin-tuc-su-kien/15h-17h59-26-02-giat-li-xi-ngay-than-tai-tong-8490</t>
  </si>
  <si>
    <t>Giật Lì Xì Ngày Thần Tài: Tổng hơn 879.000 bao lì xì đến 39k - 79k - 797k</t>
  </si>
  <si>
    <t xml:space="preserve"> Chiến dịch đánh mạnh vào nhu cầu cầu may ngày Thần Tài từ để tăng tương tác và tỷ lệ mở app:
- Hoàn thành nhiệm vụ “Kiểm tra/Chia sẻ nội dung khi kiểm tra điểm CIC trên Ứng dụng MoMo”
- 6 loại lì xì khác nhau vào 6 khung giờ khác nhau
- Tổng ngân sách: 265 triệu</t>
  </si>
  <si>
    <t>Khuyến mãi; Gamification; Lì xì ngày thần tài</t>
  </si>
  <si>
    <t>Kiểm tra CIC</t>
  </si>
  <si>
    <t>https://www.momo.vn/tin-tuc/tin-tuc-su-kien/11h-15h-25-02-27-02-than-tai-li-xi-den-797979d-8498</t>
  </si>
  <si>
    <t>Thần Tài lì xì đến 797.979đ cùng hàng chục miếng vàng đến nửa chỉ tại Lắc Xì</t>
  </si>
  <si>
    <t>Thần Tài lì xì đến 797.979đ cùng hàng chục miếng vàng đến nửa chỉ tại Lắc Xì cùng quà Samsung tại FPTShop</t>
  </si>
  <si>
    <t>Chuỗi sự kiện đặc biệt nằm trong chiến dịch "Lắc xì 2026 - Săn Mã Rước Lộc" nhằm thu hút người dùng vào ứng dụng, sử dụng các sản phẩm dịch vụ của MoMo và đối tác để hoàn thành nhiệm vụ và thêm lượt giật lì xì
- Nhận tiền chuyển từ ngân hàng vào MoMo bằng số điện thoại
- Kiểm tra điểm CIC trên Ứng dụng MoMo
- Đăng ký hội viên Nestle...</t>
  </si>
  <si>
    <t>Sự kiện; Gamification; Lắc xì; Đối tác</t>
  </si>
  <si>
    <t>https://www.momo.vn/tin-tuc/tin-tuc-su-kien/11h-15h-23-02-24-02-lac-xi-lay-10-mieng-vang-01-8484</t>
  </si>
  <si>
    <t>Lắc Xì: Lấy 10 miếng vàng 0,1 chỉ, 2 iPad Mini, quà sức khỏe từ Chubb</t>
  </si>
  <si>
    <t>Lắc Xì: Lấy 10 miếng vàng 0,1 chỉ, 2 iPad Mini, quà sức khỏe từ Chubb (Hoàn 150k)</t>
  </si>
  <si>
    <t>https://www.momo.vn/tin-tuc/khuyen-mai/mo-bat-2026-voi-3-ngay-vang-gioi-thieu-momo-nhan-8325</t>
  </si>
  <si>
    <t>Ngày Vàng Mời Bạn trở lại: 100% nhận thưởng 100K hoặc 999K tiền mặt khi giới thiệu MoMo</t>
  </si>
  <si>
    <t>Chiến dịch tập trung thúc đẩy tăng trưởng người dùng mới bằng cơ chế thưởng tiền mặt cho mỗi lượt giới thiệu trong khung giờ vàng, tạo động lực lan truyền mạnh mẽ giữa cộng đồng người dùng hiện hữu
- Người được giới thiệu lần đầu nạp 10k vào MoMo trong khung giờ 11h-18h
- Người giới thiệu: nhận 100k hoặc 999k
- Người được giới thiệu: nhận 686k
- Tổng ngân sách: 1 tỷ VND</t>
  </si>
  <si>
    <t>Khuyến mãi; Thành viên mới</t>
  </si>
  <si>
    <t>https://www.momo.vn/tin-tuc/khuyen-mai/dac-quyen-khi-thanh-toan-bang-nguon-tien-mbbank-8497</t>
  </si>
  <si>
    <t>Đặc quyền khi thanh toán bằng nguồn tiền VPBank trên MoMo: Giảm thẳng 10K mọi dịch vụ</t>
  </si>
  <si>
    <t>MoMo x VPBank: Đặc quyền khi thanh toán bằng nguồn tiền VPBank trên MoMo: Giảm thẳng 10K mọi dịch vụ</t>
  </si>
  <si>
    <t>Đây là chiến dịch ưu đãi ngắn hạn, mang tính recurring, vì MoMo thường xuyên hợp tác ngân hàng để tung ưu đãi giảm giá tương tự. Mục tiêu là gia tăng giao dịch thanh toán bằng nguồn tiền MBBank/ VPBank</t>
  </si>
  <si>
    <t>Khuyến mãi; Thanh toán qua ngân hàng</t>
  </si>
  <si>
    <t>VPBank</t>
  </si>
  <si>
    <t>https://www.momo.vn/tin-tuc/khuyen-mai/dac-quyen-khi-thanh-toan-bang-nguon-tien-vpbank-8496</t>
  </si>
  <si>
    <t>Đặc quyền khi thanh toán bằng nguồn tiền MBAnk trên MoMo: Giảm thẳng 10K mọi dịch vụ</t>
  </si>
  <si>
    <t>MoMo x Mbank: Đặc quyền khi thanh toán bằng nguồn tiền MBAnk trên MoMo: Giảm thẳng 10K mọi dịch vụ</t>
  </si>
  <si>
    <t>MBBank</t>
  </si>
  <si>
    <t>https://genk.vn/con-ac-mong-cua-marketing-openclaw-co-the-lam-mat-dau-an-thuong-hieu-bien-app-thanh-vo-hinh-giao-dien-phan-mem-ui-ux-tro-nen-vo-dung-165260323082541686.chn</t>
  </si>
  <si>
    <t>Cơn ác mộng của marketing: OpenClaw có thể làm mất dấu ấn thương hiệu, biến App thành vô hình</t>
  </si>
  <si>
    <t>AI Agent 'vô hình hóa' App &amp; Brand — Kỷ nguyên Post-App bắt đầu</t>
  </si>
  <si>
    <t>Theo báo cáo của Xtendedview, 72% quản lý mảng trải nghiệm khách hàng tin rằng AI agent sẽ trở thành “đại diện thương hiệu” trong tương lai. Tương tự, nghiên cứu của Zealous System cho thấy 70% người dùng sẵn sàng để AI đặt vé hoặc chọn khách sạn thay họ. AI Agent như OpenClaw có thể thay người dùng thao tác trực tiếp trên phần mềm, khiến ứng dụng và giao diện dần trở nên “vô hình”. Điều này làm suy yếu vai trò của UI/UX và giảm giá trị nhận diện thương hiệu trong marketing</t>
  </si>
  <si>
    <t>OpenClaw; AI agent; post-app era; super-app; brand loyalty; UI UX; marketing digital</t>
  </si>
  <si>
    <t>https://techcrunch.com/2026/03/26/whatsapp-can-now-draft-ai-generated-responses-based-on-your-conversations/</t>
  </si>
  <si>
    <t>WhatsApp can now draft AI-generated responses based on your conversations</t>
  </si>
  <si>
    <t>WhatsApp ra mắt trả lời gợi ý bằng AI – Xu hướng AI hóa nhắn tin cá nhân</t>
  </si>
  <si>
    <t>WhatsApp ra mắt 'Writing Help' mới tự động gợi ý phản hồi dựa trên ngữ cảnh cuộc trò chuyện. Ngoài ra, bổ sung tính năng xóa file lớn trong chat, chỉnh sửa ảnh bằng Meta AI, chuyển lịch sử chat giữa iOS-Android, và đăng nhập hai tài khoản đồng thời trên iOS.</t>
  </si>
  <si>
    <t>WhatsApp; Meta AI; AI reply; Writing Help; messaging app; AI features; chat export</t>
  </si>
  <si>
    <t>https://dantri.com.vn/cong-nghe/tai-dien-chieu-tro-lua-dao-chiem-doat-tai-khoan-telegram-tai-viet-nam-20260324155052293.htm</t>
  </si>
  <si>
    <t>Tái diễn chiêu trò lừa đảo chiếm đoạt tài khoản Telegram tại Việt Nam</t>
  </si>
  <si>
    <t>Lừa đảo chiếm đoạt tài khoản Telegram tái bùng phát tại Việt Nam</t>
  </si>
  <si>
    <t>Chiêu trò mạo danh “Trung tâm an toàn” hoặc “Telegram” gửi cảnh báo khóa tài khoản quay trở lại, dụ người dùng truy cập link giả mạo rồi nhập số điện thoại và mã OTP, từ đó bị chiếm quyền tài khoản. Kẻ gian lợi dụng cơ chế chỉ cần OTP là đăng nhập được nếu chưa bật 2FA, khiến nhiều nạn nhân bị mất tài khoản ngay lập tức
Việc ưu tiên bảo mật mặc định và cảnh báo chủ động in-app benner/ notification khi phát hiện hành vi bất thường là cần thiết để bảo vệ người dùng khi sử dụng ứng dụng nhắn tin</t>
  </si>
  <si>
    <t>Telegram; lừa đảo; phishing; OTP; chiếm đoạt tài khoản; an ninh mạng; Việt Nam</t>
  </si>
  <si>
    <t>https://genk.vn/chatgpt-sap-cho-phep-noi-dung-nhay-cam-day-lo-ngai-lo-du-lieu-ca-nhan-165260322073640315.chn</t>
  </si>
  <si>
    <t>ChatGPT sắp cho phép nội dung nhạy cảm, dấy lo ngại lộ dữ liệu cá nhân</t>
  </si>
  <si>
    <t>ChatGPT thêm nội dung nhạy cảm: Rủi ro dữ liệu cá nhân trong AI tiêu dùng</t>
  </si>
  <si>
    <t>ChatGPT có thể mở rộng cho phép nội dung nhạy cảm hơn, gây lo ngại về quyền riêng tư và kiểm soát dữ liệu. Việc nới lỏng policy cho thấy áp lực cạnh tranh và nhu cầu tăng trưởng người dùng. Tuy nhiên, rủi ro pháp lý và trust từ người dùng cũng gia tăng.</t>
  </si>
  <si>
    <t>ChatGPT; OpenAI; nội dung nhạy cảm; dữ liệu cá nhân; data privacy; AI safety</t>
  </si>
  <si>
    <t>https://genk.vn/openai-len-ke-hoach-ra-mat-sieu-ung-dung-tren-may-tinh-165260322073417885.chn</t>
  </si>
  <si>
    <t>OpenAI lên kế hoạch ra mắt 'siêu ứng dụng' trên máy tính</t>
  </si>
  <si>
    <t>OpenAI hợp nhất thành Super-App PC: ChatGPT + Codex + Browser — AI-first hội tụ</t>
  </si>
  <si>
    <t>OpenAI đang hướng tới xây dựng “super app” trên desktop, tích hợp nhiều workflow AI trong một nền tảng. Chiến lược này nhằm tăng lock-in và mở rộng use case beyond chatbot. Đây là bước đi cạnh tranh trực tiếp với OS và productivity ecosystem.</t>
  </si>
  <si>
    <t>OpenAI; super app; siêu ứng dụng; ChatGPT; Codex; AI agent; Greg Brockman</t>
  </si>
  <si>
    <t>https://techcrunch.com/2026/03/25/meta-turns-to-ai-to-make-shopping-easier-on-instagram-and-facebook/</t>
  </si>
  <si>
    <t>Meta turns to AI to make shopping easier on Instagram and Facebook</t>
  </si>
  <si>
    <t>Meta tung AI Shopping Pop-up – Tăng chuyển đổi ngay trong Facebook &amp; Instagram</t>
  </si>
  <si>
    <t>Bắt đầu thử nghiệm AI shopping pop‑up trên Facebook và Instagram, tự động tóm tắt review, mô tả sản phẩm và gợi ý khuyến mãi ngay khi người dùng bấm vào quảng cáo hoặc link sản phẩm. Tính năng mới còn bổ sung AI tổng hợp “what people are saying”, gợi ý sản phẩm liên quan và cho phép thêm vào giỏ trực tiếp trong app, giảm rủi ro rời phiên.
Tích hợp checkout 1 chạm với Stripe và PayPal để hoàn tất mua hàng ngay trong nền tảng, đồng thời mở rộng mạng lưới affiliate với Amazon, eBay, Shopee… để tăng doanh thu từ creator commerce. Động thái cho thấy Meta đang đẩy mạnh chiến lược biến mạng xã hội thành hệ sinh thái thương mại liền mạch, cạnh tranh trực diện với TikTok Shop và Amazon.</t>
  </si>
  <si>
    <t>Meta; Instagram; Facebook; AI shopping; social commerce; checkout; Stripe; PayPal</t>
  </si>
  <si>
    <t>https://genk.vn/openclaw-khien-30-nam-kinh-nghiem-excel-tro-nen-vo-nghia-day-co-phai-ngay-tan-cua-ky-nang-su-dung-may-tinh-van-phong-165260323082818451.chn</t>
  </si>
  <si>
    <t>OpenClaw khiến 30 năm kinh nghiệm Excel trở nên vô nghĩa</t>
  </si>
  <si>
    <t>AI Agent thay thế kỹ năng văn phòng — 'AI Delegation' là năng lực cốt lõi mới</t>
  </si>
  <si>
    <t>AI agent như OpenClaw tự thực hiện mọi thao tác trên máy tính thay người dùng, khiến kỹ năng 'thành thạo tin học văn phòng' mất giá trị. Kỹ năng cốt lõi mới là 'AI Delegation' - khả năng giao việc, định nghĩa nhiệm vụ và điều phối AI agent hiệu quả.</t>
  </si>
  <si>
    <t>OpenClaw; AI agent; kỹ năng văn phòng; Excel; AI delegation; tương lai công việc; automation</t>
  </si>
  <si>
    <t>https://genk.vn/mot-doanh-nghiep-cong-nghe-viet-lot-top-35-nha-cung-cap-dich-vu-phat-trien-ung-dung-ai-toan-cau-16526240315321592.chn</t>
  </si>
  <si>
    <t>Một doanh nghiệp công nghệ Việt lọt Top 35 nhà cung cấp dịch vụ phát triển ứng dụng AI toàn cầu</t>
  </si>
  <si>
    <t>FPT lọt Top 35 AI App Development toàn cầu — Đối tác AI nội địa tiềm năng</t>
  </si>
  <si>
    <t>FPT Software lần đầu được Everest Group xếp hạng Major Contender trong báo cáo AI Application Development Services PEAK Matrix 2025, nằm trong top 35 toàn cầu. FPT nổi bật với nền tảng IvyHub (agentic AI) và hợp tác với NVIDIA, IBM, Meta.</t>
  </si>
  <si>
    <t>FPT; FPT Software; AI; Everest Group; IvyHub; agentic AI; NVIDIA; AI application development</t>
  </si>
  <si>
    <t>https://genk.vn/openai-dot-ngot-khai-tu-ung-dung-sora-sau-4-thang-disney-ngo-ngang-khi-thoa-thuan-1-ty-usd-bay-mau-165260325083415473.chn</t>
  </si>
  <si>
    <t>OpenAI đột ngột khai tử công cụ tạo video Sora sau 4 tháng, Disney 'ngỡ ngàng'</t>
  </si>
  <si>
    <t>OpenAI đóng cửa Sora, xoay trục B2B &amp; IPO — Tái định vị AI Product Strategy</t>
  </si>
  <si>
    <t>OpenAI đột ngột đóng cửa Sora chỉ 4 tháng sau khi ra mắt, làm thất bại thỏa thuận 1 tỷ USD với Disney. Lý do: tài nguyên tính toán khổng lồ và tập trung ưu tiên cho sản phẩm doanh nghiệp và lập trình trước thềm IPO. Sự kiện này cho thấy AI video generation chưa đủ kinh tế để duy trì.</t>
  </si>
  <si>
    <t>OpenAI; Sora; Disney; video AI; IPO; khai tử sản phẩm; AI video generation</t>
  </si>
  <si>
    <t>https://genk.vn/tin-vui-cho-35-ty-nguoi-dung-google-chrome-16526032408203803.chn</t>
  </si>
  <si>
    <t>Tin vui cho 3,5 tỷ người dùng Google Chrome</t>
  </si>
  <si>
    <t>Google Chrome: Gemini Nano Anti-Phishing On-device — AI Security tích hợp hệ thống</t>
  </si>
  <si>
    <t>Google tích hợp Gemini Nano vào Chrome và Android để phát hiện lừa đảo theo thời gian thực, chặn 20x trang web lừa đảo so với trước. AI phân tích nội dung trang web ngay trên thiết bị, tăng gấp đôi bảo vệ so với chế độ tiêu chuẩn.</t>
  </si>
  <si>
    <t>Google Chrome; Gemini Nano; bảo mật; anti-phishing; AI security; Android</t>
  </si>
  <si>
    <t>https://luatvietnam.vn/thue/thong-tu-18-2026-tt-btc-quy-dinh-ho-so-thu-tuc-quan-ly-thue-cho-ho-kinh-doanh-427777-d1.html</t>
  </si>
  <si>
    <t>Trước 20/4/2026, HKD phải thông báo tài khoản ngân hàng</t>
  </si>
  <si>
    <t>Thông tư 18/2026/TT-BTC (hiệu lực 5/3/2026) quy định hộ kinh doanh phải thông báo số tài khoản ngân hàng hoặc số hiệu ví điện tử cho cơ quan thuế (deadline 20/4/2026 cho doanh thu ≤500 triệu)</t>
  </si>
  <si>
    <t>Thông tư 18/2026; ví điện tử; thuế hộ kinh doanh; số tài khoản; Bộ Tài chính; kê khai thuế</t>
  </si>
  <si>
    <t>https://luatvietnam.vn/tai-chinh/thong-tu-30-2025-tt-nhnn-sua-doi-thong-tu-15-2024-ve-dich-vu-thanh-toan-khong-dung-tien-mat-413828-d1.html</t>
  </si>
  <si>
    <t>Thông tư 30/2025/TT-NHNN sửa đổi về dịch vụ thanh toán không dùng tiền mặt</t>
  </si>
  <si>
    <t>Các ngân hàng sẽ chấm dứt dịch vụ đặt biệt danh cho tài khoản từ 01/04/2026</t>
  </si>
  <si>
    <t>Từ 1/4/2026, tất cả tài khoản thanh toán phải đồng nhất tên thật theo CCCD/Thẻ căn cước; ngân hàng sẽ chấm dứt hoàn toàn dịch vụ nickname/iNick để tránh nhầm lẫn và tăng minh bạch. 
Các ngân hàng phải kiểm tra &amp; hiển thị đầy đủ tên thật + số tài khoản trên mọi chứng từ và giao dịch. 
Quy định mới nhằm giảm rủi ro chuyển nhầm tiền, tăng chuẩn KYC và an toàn hệ thống thanh toán không tiền mặt. Thông tư cũng yêu cầu ngân hàng tố giác giao dịch có dấu hiệu tội phạm, cập nhật quy trình tra soát cho khách hàng</t>
  </si>
  <si>
    <t>Thông tư 30/2025; NHNN; thanh toán không dùng tiền mặt; tên thật; tài khoản; CCCD; ngân hàng</t>
  </si>
  <si>
    <t>https://dantri.com.vn/cong-nghe/ios-27-se-giup-tro-ly-ao-siri-lot-xac-20260325124237776.htm</t>
  </si>
  <si>
    <t>iOS 27 sẽ giúp trợ lý ảo Siri 'lột xác'</t>
  </si>
  <si>
    <t>Apple iOS 27: Siri tái thiết với AI — Cuộc đua AI Assistant toàn diện leo thang</t>
  </si>
  <si>
    <t>Apple dự kiến nâng cấp Siri trên iOS 27 với AI mạnh hơn, chuyển từ trợ lý phản hồi sang chủ động hỗ trợ người dùng. Đây là bước tiến nhằm cạnh tranh trực tiếp với các AI assistant như ChatGPT và Gemini. Xu hướng assistant trở thành interface chính của hệ điều hành ngày càng rõ rệt.</t>
  </si>
  <si>
    <t>iOS 27; Siri; Apple Intelligence; AI assistant; trợ lý ảo; Apple; WWDC 2026</t>
  </si>
  <si>
    <t>https://techcrunch.com/2026/03/25/apple-overhauls-its-app-developer-platform-with-100-new-metrics-more-tools/</t>
  </si>
  <si>
    <t>Apple overhauls its app developer platform with 100 new metrics, more tools</t>
  </si>
  <si>
    <t>Apple App Store 100+ Metrics &amp; Cohort API — Nâng cấp hạ tầng phân tích App</t>
  </si>
  <si>
    <t>Apple đại tu App Store Connect với hơn 100 chỉ số mới về monetization, subscription, cohort analytics và peer group benchmarks. Dữ liệu có thể export qua API và được bảo vệ bằng differential privacy, giúp developer tối ưu chiến lược tăng trưởng.</t>
  </si>
  <si>
    <t>Apple; App Store Connect; developer metrics; subscription analytics; cohort; App Store</t>
  </si>
  <si>
    <t>https://techcrunch.com/2026/03/24/apple-music-partners-with-ticketmaster-to-power-its-concert-discovery-feature/</t>
  </si>
  <si>
    <t>Apple Music partners with Ticketmaster to power its concert discovery feature</t>
  </si>
  <si>
    <t>Apple Music × Ticketmaster: Concert Discovery tích hợp — Mô hình Ecosystem Ticketing</t>
  </si>
  <si>
    <t>Apple Music hợp tác với Ticketmaster và Bandsintown để tích hợp khám phá concert dựa trên thói quen nghe nhạc. Mở rộng phủ sóng sang Maps, Shazam, Photos iOS 26. Cạnh tranh trực tiếp với Spotify-SeatGeek.</t>
  </si>
  <si>
    <t>Apple Music; Ticketmaster; concert discovery; live events; Bandsintown; Spotify; tickets</t>
  </si>
  <si>
    <t>https://techcrunch.com/2026/03/24/tiktok-ads-are-about-to-get-a-tad-more-disruptive/</t>
  </si>
  <si>
    <t>TikTok ads are about to get a tad more disruptive</t>
  </si>
  <si>
    <t>TikTok Logo Takeover &amp; Prime Time Ads — Định dạng quảng cáo thế hệ mới</t>
  </si>
  <si>
    <t>TikTok ra mắt 3 định dạng quảng cáo mới: Logo Takeover (co-brand logo ngay khi mở app), Prime Time (3 quảng cáo liên tiếp trong 15 phút), Top Reach (TopView + TopFeed). Cùng với đó là công cụ Pulse Mentions gắn quảng cáo vào xu hướng nội dung.</t>
  </si>
  <si>
    <t>TikTok; quảng cáo; Logo Takeover; Prime Time; Top Reach; Pulse Mentions; ad format</t>
  </si>
  <si>
    <t>https://vneconomy.vn/techconnect/esports-nations-cup-2026-cong-bo-viresa-la-doi-tac-quoc-gia-tai-viet-nam.htm</t>
  </si>
  <si>
    <t>Esports Nations Cup 2026 công bố VIRESA là Đối tác Quốc gia tại Việt Nam</t>
  </si>
  <si>
    <t>Digital lifestyle</t>
  </si>
  <si>
    <t>VIRESA là Đối tác ENC 2026 — Esports Quốc gia VN gia nhập mạng lưới toàn cầu</t>
  </si>
  <si>
    <t>Esports Foundation bổ nhiệm VIRESA làm Đối tác Quốc gia tại Việt Nam cho giải ENC 2026 tại Riyadh (2-29/11/2026). VIRESA sẽ thành lập đội tuyển quốc gia ở nhiều bộ môn và tham gia mạng lưới 100+ quốc gia.</t>
  </si>
  <si>
    <t>VIRESA; esports; Esports Nations Cup 2026; ENC; đội tuyển quốc gia; gaming; Riyadh</t>
  </si>
  <si>
    <t>https://vneconomy.vn/techconnect/con-sot-ai-agent-dang-thuc-day-cuoc-dua-ha-tang-tinh-toan-toan-cau.htm</t>
  </si>
  <si>
    <t>Cơn sốt AI Agent đang thúc đẩy cuộc đua hạ tầng tính toán toàn cầu</t>
  </si>
  <si>
    <t>Trung Quốc</t>
  </si>
  <si>
    <t>AI Agent x6400% Token Consumption — Cuộc đua Compute &amp; Hạ tầng AI toàn cầu</t>
  </si>
  <si>
    <t>AI agent đang khiến tiêu thụ token tăng 6.400% so với AI truyền thống, tạo ra làn sóng đầu tư hạ tầng tính toán toàn cầu. Hong Kong tăng tốc đầu tư AI computing, lợi thế cạnh tranh mới là chi phí token thấp nhất chứ không phải năng lực tính toán nhiều nhất.</t>
  </si>
  <si>
    <t>AI agent; hạ tầng tính toán; compute; token; Hong Kong; GPU; Moore Threads; AI infrastructure</t>
  </si>
  <si>
    <t>https://vnexpress.net/sap-ap-dung-quy-chuan-an-toan-cho-smartphone-tai-viet-nam-5054879.html</t>
  </si>
  <si>
    <t>Sắp áp dụng quy chuẩn an toàn cho smartphone tại Việt Nam</t>
  </si>
  <si>
    <t>New policy</t>
  </si>
  <si>
    <t>VN áp chuẩn SAR Smartphone từ 1/7 — Quy định thiết bị di động &amp; thị trường</t>
  </si>
  <si>
    <t>Từ 1/7/2026, điện thoại di động bán tại Việt Nam phải tuân thủ quy chuẩn SAR (mức hấp thụ sóng vô tuyến). Thông tư 19/2024 có hiệu lực 15/2/2025 cho thử nghiệm, áp dụng bắt buộc từ 1/7 với smartphone, tablet/laptop từ 1/7/2027.</t>
  </si>
  <si>
    <t>SAR; quy chuẩn smartphone; Bộ KHCN; sóng vô tuyến; điện thoại di động; Apple; Samsung; quy chuẩn kỹ thuật</t>
  </si>
  <si>
    <t>https://vnexpress.net/viet-nam-quan-ly-ai-the-nao-theo-luat-moi-5054752.html</t>
  </si>
  <si>
    <t>Việt Nam quản lý AI thế nào theo luật mới?</t>
  </si>
  <si>
    <t>Luật AI VN 3/2026: Khung pháp lý AI sớm nhất khu vực — Tác động toàn hệ thống</t>
  </si>
  <si>
    <t>Luật Trí tuệ nhân tạo của Việt Nam có hiệu lực từ tháng 3/2026, đưa Việt Nam vào nhóm ít quốc gia sớm có khung pháp lý riêng về AI. Luật phân loại rủi ro AI, quy định trách nhiệm cung cấp AI, bảo vệ dữ liệu và thúc đẩy phát triển AI quốc gia.</t>
  </si>
  <si>
    <t>Luật AI; trí tuệ nhân tạo; Việt Nam; khung pháp lý; AI regulation; quản lý AI</t>
  </si>
  <si>
    <t>https://www.bloomberg.com/news/articles/2026-03-26/google-gemini-adds-tool-to-make-it-easier-to-switch-from-chatgpt?srnd=phx-technology-consumer-tech</t>
  </si>
  <si>
    <t>Google Gemini adds tool to make it easier to switch from ChatGPT</t>
  </si>
  <si>
    <t>Google Gemini Import ChatGPT History — Chiến tranh giữ User AI escalates</t>
  </si>
  <si>
    <t>Google ra mắt 'switching tools' cho Gemini: nhập lịch sử chat từ ChatGPT/Claude qua file ZIP và chuyển memories/preferences. Gemini đạt 750 triệu MAU tháng 2/2026, vẫn kém ChatGPT 900 triệu WAU. Đây là chiến lược giảm switching cost để gia tăng thị phần.</t>
  </si>
  <si>
    <t>Google Gemini; ChatGPT; switching tools; AI migration; chat history import; memory transfer</t>
  </si>
  <si>
    <t>https://www.bloomberg.com/news/articles/2026-03-23/samsung-phones-can-now-share-with-iphones-using-apple-s-airdrop-protocol?srnd=phx-technology-consumer-tech</t>
  </si>
  <si>
    <t>Samsung phones can now share with iPhones using Apple's AirDrop protocol</t>
  </si>
  <si>
    <t>Samsung Galaxy S26 hỗ trợ AirDrop — Interoperability Android↔iOS tiến xa</t>
  </si>
  <si>
    <t>Samsung Galaxy S26 series tích hợp giao thức AirDrop của Apple (qua AWDL) vào Quick Share, cho phép chia sẻ file trực tiếp với iPhone/iPad/Mac không cần app bên thứ ba. Roll out từ Hàn Quốc ngày 23/3, sau đó toàn cầu.</t>
  </si>
  <si>
    <t>Samsung; Galaxy S26; AirDrop; Quick Share; Apple; interoperability; AWDL; iOS Android</t>
  </si>
  <si>
    <t>https://www.techinasia.com/solving-mid-market-finance-pain-with-ai-agents</t>
  </si>
  <si>
    <t>Solving mid-market finance pain with AI agents</t>
  </si>
  <si>
    <t>AI Agent giải Finance Pain Mid-Market SEA — Cơ hội Embedded Finance tích hợp</t>
  </si>
  <si>
    <t>Bài viết phân tích cách AI agent đang giải quyết điểm đau tài chính cho doanh nghiệp tầm trung tại SEA: tự động hóa reconciliation, cash flow forecasting, báo cáo tài chính. Nhấn mạnh cơ hội thị trường lớn khi SME ở SEA còn thiếu giải pháp tài chính tích hợp.</t>
  </si>
  <si>
    <t>AI agent; fintech; mid-market; SME; tài chính doanh nghiệp; SEA; automation finance</t>
  </si>
  <si>
    <t>https://www.techinasia.com/news/fomo-pay-launches-ai-soundbox-for-unified-payments</t>
  </si>
  <si>
    <t>FOMO Pay launches AI Soundbox for unified payments</t>
  </si>
  <si>
    <t>FOMO Pay ra mắt AI Soundbox – Hợp nhất thanh toán &amp; mở đường cho “agentic commerce”</t>
  </si>
  <si>
    <t>FOMO Pay giới thiệu AI Soundbox, thiết bị POS hợp nhất thẻ, QR, e‑wallets và stablecoin vào một đầu chấp nhận duy nhất, giúp merchant xử lý thanh toán liền mạch thay vì dùng nhiều thiết bị rời rạc
Soundbox được tích hợp micro và lớp AI merchant‑intelligence đang phát triển, cho phép chủ cửa hàng truy vấn dữ liệu bán hàng bằng ngôn ngữ tự nhiên trong tương lai. Sản phẩm thể hiện chiến lược của FOMO Pay: trở thành nền tảng thanh toán thế hệ mới hỗ trợ cả off‑chain &amp; on‑chain, đáp ứng xu hướng AI agents tự động thực hiện giao dịch trong thương mại</t>
  </si>
  <si>
    <t>FOMO Pay; AI Soundbox; payment terminal; QR payment; stablecoin; Singapore fintech; merchant intelligence</t>
  </si>
  <si>
    <t>https://www.techinasia.com/news/robinhood-ups-stock-buyback-plan-15b</t>
  </si>
  <si>
    <t>Robinhood ups stock buyback plan to $1.5B</t>
  </si>
  <si>
    <t>IPO/ valuation</t>
  </si>
  <si>
    <t>Robinhood Buyback $1.5B giữa suy thoái — Tín hiệu Investment Sentiment Fintech</t>
  </si>
  <si>
    <t>Robinhood phê duyệt chương trình mua lại cổ phiếu 1,5 tỷ USD trong bối cảnh cổ phiếu giảm ~39% từ đầu 2026. Chương trình kéo dài 3 năm, đồng thời mở rộng credit facility với JPMorgan lên 4,87 tỷ USD. Phản ánh áp lực từ thị trường crypto suy yếu.</t>
  </si>
  <si>
    <t>Robinhood; HOOD; share buyback; cổ phiếu; crypto; fintech; IPO valuation; JPMorgan</t>
  </si>
  <si>
    <t>https://www.techinasia.com/news/indonesia-enables-qr-code-payments-for-japanese-tourists</t>
  </si>
  <si>
    <t>Indonesia enables QR code payments for Japanese tourists</t>
  </si>
  <si>
    <t>Indonesia mở QR thanh toán quốc tế cho khách du lịch Nhật – Đẩy mạnh thanh toán xuyên biên giới khu vực</t>
  </si>
  <si>
    <t>Indonesia chính thức cho phép du khách Nhật Bản thanh toán bằng QR code (JPQR ↔ QRIS) tại cửa hàng địa phương, giúp khách Nhật dùng ví nội địa quét QR khi du lịch Indonesia. Việc Nhật tham gia mạng lưới QR Đông Nam Á cho thấy xu hướng chuẩn hóa thanh toán xuyên biên giới đang tăng tốc, tạo tiền đề cho du lịch, thương mại và fintech bùng nổ trong khu vực</t>
  </si>
  <si>
    <t>Indonesia; Nhật Bản; QR code; QRIS; cross-border payment; thanh toán xuyên biên giới; PayPay</t>
  </si>
  <si>
    <t>https://www.techinasia.com/shopee-tiktok-shops-dominance-squeezes-vietnams-couriers</t>
  </si>
  <si>
    <t>Shopee, TikTok Shop's dominance squeezes Vietnam's couriers</t>
  </si>
  <si>
    <t>Shopee – TikTok Shop thống trị thương mại điện tử, gây áp lực lớn lên các hãng giao hàng Việt Nam</t>
  </si>
  <si>
    <t>Shopee và TikTok Shop hiện chiếm hơn 80% GMV thương mại điện tử Việt Nam, đẩy các hãng chuyển phát vào tình thế bị “siết biên lợi nhuận”
TikTok Shop tăng trưởng mạnh nhờ shoppertainment, đơn giá thấp nhưng tần suất lớn, buộc hãng giao hàng phải chạy nhiều chuyến hơn với lợi nhuận thấp hơn. Shopee duy trì vị thế nhờ hệ thống logistics nội bộ mạnh, đẩy các đơn vị giao hàng ngoài vào vai trò “phụ trợ”, giảm thị phần và giá trị hợp đồng
Thị trường đang bước vào giai đoạn tập trung hóa, khiến các đơn vị vận chuyển nhỏ và vừa đứng trước nguy cơ bị đào thải nếu không tái cấu trúc chi phí và dịch vụ
=&gt; Muốn cạnh tranh phải có chiến lược tiếp cận khác biệt: ngách hóa, hàng địa phương, dịch vụ tức thời, hoặc liên kết O2O</t>
  </si>
  <si>
    <t>Shopee; TikTok Shop; e-commerce Vietnam; logistics; couriers; SPX; GHN; J&amp;T; last-mile delivery</t>
  </si>
  <si>
    <t>https://www.techinasia.com/news/alibaba-tencent-lose-66b-ai-bets-lack-clear-payoff</t>
  </si>
  <si>
    <t>Alibaba, Tencent lose $66B in AI bets that lack clear payoff</t>
  </si>
  <si>
    <t>Fintech funding/ investment</t>
  </si>
  <si>
    <t>Alibaba &amp; Tencent lỗ $66B AI — 'AI Investment Fatigue' cảnh báo ROI Big Tech</t>
  </si>
  <si>
    <t>Alibaba và Tencent mất $66 tỷ trong các khoản đầu tư AI khi ROI chưa rõ ràng. Áp lực ngày càng tăng từ nhà đầu tư về hiệu quả AI investment. Phản ánh xu hướng 'AI investment fatigue' ở các gã khổng lồ công nghệ Trung Quốc.</t>
  </si>
  <si>
    <t>Alibaba; Tencent; AI investment; $66B; ROI; China tech; AI bets; Big Tech China</t>
  </si>
  <si>
    <t>https://dantri.com.vn/cong-nghe/meta-va-google-bi-phat-vi-nen-tang-mang-xa-hoi-gay-nghien-cho-nguoi-dung-20260326092131367.htm</t>
  </si>
  <si>
    <t>Meta và Google bị phạt vì nền tảng mạng xã hội gây nghiện cho người dùng</t>
  </si>
  <si>
    <t>Meta và Google bị xử phạt do thiết kế nền tảng gây nghiện, đặc biệt với người trẻ. Động thái này cho thấy regulators bắt đầu can thiệp sâu vào thuật toán và UX. Điều này có thể làm tăng chi phí tuân thủ và ảnh hưởng trực tiếp đến mô hình doanh thu quảng cáo dựa trên attention</t>
  </si>
  <si>
    <t>Meta; Google; mạng xã hội gây nghiện; phạt; quy định; Big Tech; social media regulation</t>
  </si>
  <si>
    <t>https://www.techinasia.com/news/alibaba-net-income-drops-66-quick-commerce-investment-rises</t>
  </si>
  <si>
    <t>Alibaba net income drops 66%, quick commerce investment rises</t>
  </si>
  <si>
    <t>Alibaba lợi nhuận -66%, đổ vốn Quick Commerce — Dịch chuyển mô hình e-commerce</t>
  </si>
  <si>
    <t>Alibaba báo cáo lợi nhuận ròng giảm 66% do tăng đầu tư vào quick commerce (giao hàng nhanh). Chiến lược này nhằm cạnh tranh với Pinduoduo và JD.com trong phân khúc giao hàng 30 phút. Tín hiệu dịch chuyển mô hình kinh doanh từ marketplace sang logistics tích hợp.</t>
  </si>
  <si>
    <t>Alibaba; net income; quick commerce; giao hàng nhanh; Pinduoduo; JD.com; China e-commerce</t>
  </si>
  <si>
    <t>https://www.momo.vn/tin-tuc/thong-bao/ban-tin-gop-y-va-tinh-nang-moi-thang-2-2026-8554</t>
  </si>
  <si>
    <t>Bản tin Góp ý và Tính năng mới tháng 2/2026</t>
  </si>
  <si>
    <t>MoMo phát triển tính năng mới trong tháng 2 nhằm cải thiện trải nghiệm người dùng</t>
  </si>
  <si>
    <t>MoMo ra mắt QR thanh toán quốc tế (quét QR nước ngoài bằng VND, tỷ giá real-time minh bạch) tại Bangkok, Seoul và các thị trường SEA. Tích hợp thêm AirAsia + Scoot vào MoMo Travel. Đây là dấu mốc cross-border payment đầu tiên của MoMo. Ngoài ra MoMo cũng đang triển khai những tính năng mới sắp ra mắt: 
- Tự động nạp tiền điện thoại
- Tự động gia hạn gói cước
- Chuyển đổi giao dịch trả sau thành trả góp</t>
  </si>
  <si>
    <t>QR quốc tế; cross-border payment; AirAsia; Scoot; tỷ giá; VND; Bangkok; Seoul; MoMo Travel</t>
  </si>
  <si>
    <t>https://www.momo.vn/tin-tuc/khuyen-mai/ban-moi-nhap-ma-chonmomo-co-qua-500000d-giam-8225</t>
  </si>
  <si>
    <t>Bạn mới nhập mã VITRASAU: Có quà 500.000đ giảm nhiều dịch vụ, thêm tiền thưởng đến 1 triệu</t>
  </si>
  <si>
    <t>Ví trả sau: MoMo Mã VITRASAU: Onboarding Bạn Mới gắn Ví Trả Sau — Bundle quà 500k + thưởng 1 triệu</t>
  </si>
  <si>
    <t>Chương trình dành cho KH lần đầu tiên liên kết NH x MoMo. Sau khi nhập mã VITRASAU, KH sẽ nhận được bộ quà 500k (voucher giảm giá thanh toán, ví trả sau và các dịch vụ trên MoMo)</t>
  </si>
  <si>
    <t>VITRASAU; bạn mới; user acquisition; Ví Trả Sau; BNPL; onboarding; voucher bundle</t>
  </si>
  <si>
    <t>Liên kết tài khoản ngân hàng</t>
  </si>
  <si>
    <t>https://www.momo.vn/tin-tuc/khuyen-mai/don-hoa-no-san-deal-xin-giam-den-500000d-tren-8588</t>
  </si>
  <si>
    <t>Đón hoa nở - Săn deal xịn giảm đến 500.000đ trên MoMo Travel</t>
  </si>
  <si>
    <t>MoMo Travel Deal Tháng 3: Giảm 500k — Duy trì nhịp khuyến mãi Travel hàng tháng</t>
  </si>
  <si>
    <t>Chương trình khuyến mãi định kỳ của MoMo Travel với deal giảm đến 500k áp dụng cho vé máy bay, xe khách, khách sạn. Chiến lược duy trì frequency tương tác trên travel vertical.</t>
  </si>
  <si>
    <t>MoMo Travel; deal tháng 3; vé máy bay; khách sạn; giảm giá; travel promotion</t>
  </si>
  <si>
    <t>Du lịch đi lại</t>
  </si>
  <si>
    <t>https://www.momo.vn/tin-tuc/thong-bao/momo-ra-mat-tinh-nang-cap-nhat-so-dien-thoai-8571</t>
  </si>
  <si>
    <t>MoMo ra mắt tính năng 'Cập nhật số điện thoại': Chuyển tài khoản MoMo sang số điện thoại mới</t>
  </si>
  <si>
    <t>MoMo ra mắt tính năng cập nhật số điện thoại</t>
  </si>
  <si>
    <t>MoMo ra mắt tính năng cập nhật số điện thoại tự động (hoàn tất dưới 1 phút): giữ nguyên số dư, lịch sử 6 tháng, eKYC/NFC data khi đổi SIM. Bảo mật đa lớp: PIN + sinh trắc + OTP. Giải quyết pain point lớn giảm churn khi user đổi số.</t>
  </si>
  <si>
    <t>cập nhật số điện thoại; đổi SIM; account migration; UX; churn reduction; eKYC; NFC; security</t>
  </si>
  <si>
    <t>VAS</t>
  </si>
  <si>
    <t>Cập nhật số điện thoại tự động</t>
  </si>
  <si>
    <t>https://www.momo.vn/tin-tuc/khuyen-mai/uu-dai-hoi-nhat-thang-giam-den-45k-mua-icloud-luu-8558</t>
  </si>
  <si>
    <t>Ưu đãi hội nhất tháng: Giảm đến 45k khi mua iCloud lưu trữ trên MoMo</t>
  </si>
  <si>
    <t>MoMo × Apple Store: Giảm đến 45K mua iCloud+, lưu mọi ảnh, dữ liệu</t>
  </si>
  <si>
    <t>Ưu đãi nhằm tăng adoption việc  liên kết tài khoản Apple với MoMo để biến MoMo thành PTTT mặc định cho các dịch vụ qua Apple. MoMo cung cấp ưu đãi giảm 45k khi mua gói iCloud qua MoMo: 
- Khách hàng lần đầu liên kết tài khoản Apple với MoMo, nhận thẻ quà giảm 20.000đ cho lần thanh toán.
- Trong thời gian từ 14/02 - 22/03, nếu tổng giá trị thanh toán App Store qua MoMo đạt từ 400.000đ trở lên, bạn sẽ nhận thêm 1 thẻ quà 25.000đ để thanh toán ở tháng lần tiếp theo.</t>
  </si>
  <si>
    <t>iCloud; Apple; subscription; digital services; technology partnership; App Store</t>
  </si>
  <si>
    <t>Liên kết Apple Pay</t>
  </si>
  <si>
    <t>https://www.momo.vn/tin-tuc/khuyen-mai/lan-dau-co-tren-momo-giam-den-45k-khi-dang-ky-8557</t>
  </si>
  <si>
    <t>Lần đầu có trên MoMo: Giảm đến 45k khi đăng ký dịch vụ mới</t>
  </si>
  <si>
    <t>MoMo x Apple Store: Giảm đến 45K khi đăng ký YouTube Premium</t>
  </si>
  <si>
    <t>Ưu đãi nhằm tăng adoption việc  liên kết tài khoản Apple với MoMo để biến MoMo thành PTTT mặc định cho các dịch vụ qua Apple. MoMo cung cấp ưu đãi giảm 45k khi mua gói Youtube Premium in-app qua MoMo: 
- Khách hàng lần đầu liên kết tài khoản Apple với MoMo, nhận thẻ quà giảm 20.000đ cho lần thanh toán.
- Trong thời gian từ 14/02 - 22/03, nếu tổng giá trị thanh toán App Store qua MoMo đạt từ 400.000đ trở lên, bạn sẽ nhận thêm 1 thẻ quà 25.000đ để thanh toán ở tháng lần tiếp theo.</t>
  </si>
  <si>
    <t>lần đầu sử dụng; first-time; discount; user acquisition; trial; new services</t>
  </si>
  <si>
    <t>https://www.momo.vn/tin-tuc/khuyen-mai/mien-phi-ngay-1-lit-xang-khi-nhan-thich-muc-tra-8561</t>
  </si>
  <si>
    <t>Miễn phí ngay 1 lít xăng khi nhận thích Mức trả sau trên MoMo</t>
  </si>
  <si>
    <t>Miễn phí ngay 1 lít xăng khi nhấn thích mục Tra cứu phạt nguội trên MoMo</t>
  </si>
  <si>
    <t>Mini-promotion dựa trên thực tế "giá xăng tăng" kết hợp mục tiêu tăng mức độ biết tới Tra cứu phạt nguội trên MoMo từ đó thúc đẩy hành vi người dùng tính năng
- Cách thức: Người dùng ấn thích tính năng Tra cứu phạt nguội
- Ưu đãi: Quà tặng tương đương 1 lít xăng - HDS 1 ngày sau khi nhận ưu đãi</t>
  </si>
  <si>
    <t>Ví Trả Sau; BNPL; xăng miễn phí; user activation; incentive; MoMo wallet</t>
  </si>
  <si>
    <t>Cảnh báo phạt nguội</t>
  </si>
  <si>
    <t>https://www.momo.vn/tin-tuc/thong-cao-bao-chi/momo-cap-nhat-moi-nhat-ve-giai-phap-nhan-tien-8587</t>
  </si>
  <si>
    <t>MoMo cập nhật mới nhất về giải pháp nhận tiền dành cho hộ kinh doanh, hỗ trợ chuẩn hóa thông tin theo quy định mới</t>
  </si>
  <si>
    <t>MoMo công bố Tài khoản Đối tác MoMo đáp ứng Thông tư 25/2025, TT30/2025 và TT18/2026 về định danh tài khoản. Triển khai tính năng liên kết Loa báo với tài khoản ngân hàng hộ kinh doanh từ 19/3. MoMo dự kiến tiếp tục triển khai các tính năng hỗ trợ đối tác cập nhật thông tin định danh, bao gồm việc điều chỉnh tên Tài khoản MoMo trùng với thông tin trên Giấy phép đăng ký kinh doanh (GPKD), tải tờ khai thuế với sẵn đầy đủ thông tin của hộ kinh doanh, giúp tiết kiệm thời gian và giảm bớt thao tác khi thực hiện các thủ tục, góp phần hoàn thiện hơn lớp thông tin tài khoản phục vụ hoạt động kinh doanh</t>
  </si>
  <si>
    <t>hộ kinh doanh; TT30/2025; TT18/2026; Tài khoản Đối tác; định danh; compliance; Loa MoMo; tờ khai thuế</t>
  </si>
  <si>
    <t>HKD</t>
  </si>
  <si>
    <t>Giải pháp nhận tiền</t>
  </si>
  <si>
    <t>https://www.momo.vn/tin-tuc/khuyen-mai/mua-shopee-qua-tinh-nang-hoan-tien-mua-sam-hoan-8563</t>
  </si>
  <si>
    <t>Mua Shopee qua tính năng Hoàn tiền Mua sắm - hoàn thêm tiền khi mua</t>
  </si>
  <si>
    <t>MoMo × Shopee: Hoàn tiền đến 30% &amp; tặng thêm 20K cho lần đầu đặt đơn</t>
  </si>
  <si>
    <t>Ưu đãi nhằm thúc đẩy adoption cho tính năng "Hoàn tiền mua sắm" của MoMo
- Đối tượng: (1) lần đầu tạo đơn thông qua tính năng Hoàn Tiền Mua Sắm trên MoMo và mua hàng Shopee (2) Khách hàng cần vào thu thập thẻ quà Hoàn Tiền Mua Sắm tại mục Ưu đãi trên MoMo hoặc trong miniapp Hoàn Tiền Mua Sắm trước khi thực hiện đặt đơn
- Ưu đãi: Hoàn đến 30% giá trị đơn Shopee + Tặng thêm 20.000đ cho lần đầu tạo đơn Shopee qua MoMo (10k bạn mới của Hoàn tiền và 10k cho đơn đầu tiên Shopee qua MoMo</t>
  </si>
  <si>
    <t>Shopee; cashback; Hoàn tiền Mua sắm; e-commerce; merchant integration; ShopeePay</t>
  </si>
  <si>
    <t>Hoàn tiền mua sắm</t>
  </si>
  <si>
    <t>https://www.momo.vn/tin-tuc/khuyen-mai/uu-dai-hoi-nhat-thang-giam-den-45k-nap-game-leo-8556</t>
  </si>
  <si>
    <t>Ưu đãi hội nhất tháng: Giảm đến 45k nạp game leo thang</t>
  </si>
  <si>
    <t>MoMo x Apple Store: Giảm đến 45K nạp game</t>
  </si>
  <si>
    <t>Ưu đãi nhằm tăng adoption việc  liên kết tài khoản Apple với MoMo để biến MoMo thành PTTT mặc định cho các dịch vụ qua Apple. MoMo cung cấp ưu đãi giảm 45k khi nạp game trên App Store bằng MoMo: 
- Khách hàng lần đầu liên kết tài khoản Apple với MoMo, nhận thẻ quà giảm 20.000đ cho lần thanh toán.
- Trong thời gian từ 14/02 - 22/03, nếu tổng giá trị thanh toán App Store qua MoMo đạt từ 400.000đ trở lên, bạn sẽ nhận thêm 1 thẻ quà 25.000đ để thanh toán ở tháng lần tiếp theo.</t>
  </si>
  <si>
    <t>nạp game; gaming; cashback; entertainment; game publisher; vertical expansion</t>
  </si>
  <si>
    <t>https://www.momo.vn/tin-tuc/khuyen-mai/19-3-31-3-hoan-ngay-4k-khi-chuyen-2k-tu-ngan-hang-8572</t>
  </si>
  <si>
    <t>19/3 - 31/3: Hoàn ngay 4k khi chuyển 2k từ ngân hàng</t>
  </si>
  <si>
    <t>Nhận tiền từ ngân hàng qua SĐT MoMo: Hoàn đến 8.888đ khi chuyển 2k từ ngân hàng đến MoMo của bản thân</t>
  </si>
  <si>
    <t>Ưu đãi nhằm thúc đẩy adoption cho hành vi sử dụng tính năng "Nhận tiền từ ngân hàng qua sđt MoMo"
- Đối tượng: (1) Người lần đầu tiên sử dụng tính năng “Nhận tiền từ Ngân hàng qua số điện thoại MoMo (2 Người dùng chưa từng tự chuyển tiền từ Ngân hàng cá nhân về số điện thoại MoMo của mình (3) Người nhưng chưa sử dụng dịch vụ trong tháng 3/2026
- Hoàn 8.888đ cho nhóm 1,2 và 4.444đ cho nhóm 3</t>
  </si>
  <si>
    <t>chuyển tiền ngân hàng; cashback; nạp ví; transaction growth; incentive; MoMo wallet</t>
  </si>
  <si>
    <t>Ví</t>
  </si>
  <si>
    <t>https://www.momo.vn/tin-tuc/thong-bao/di-lam-tien-loi-tiet-kiem-hon-quet-momo-di-metro-8578</t>
  </si>
  <si>
    <t>Đi làm tiện lợi, tiết kiệm hơn: Quét MoMo đi Metro</t>
  </si>
  <si>
    <t>MoMo x Metro: Quét QR thanh toán vé Metro bằng MoMo - Nhận voucher giảm 50% giá xe công nghệ</t>
  </si>
  <si>
    <t>Ưu đãi dành cho người dùng khi quét mã MoMo để thanh toán qua trạm Metro hoặc mua vé Metro qua ứng dụng MoMo
- Tặng voucher giảm 50% tối đa 10K khi đặt Grab/Xanh SM/Be
- Voucher được tặng sau khi thanh toán vé Metro thành công với MoMo</t>
  </si>
  <si>
    <t>Metro TP.HCM; vé tàu điện; transportation payment; QR payment; mobility; urban transit</t>
  </si>
  <si>
    <t>QR thanh toán</t>
  </si>
  <si>
    <t>https://www.momo.vn/tin-tuc/khuyen-mai/rut-thong-diep-mo-yeu-thuong-khui-kho-qua-500-8570</t>
  </si>
  <si>
    <t>Rút thông điệp mở yêu thương - Khui kho quà 500 phần thưởng</t>
  </si>
  <si>
    <t>Gamification: Rút Thông Điệp - Mở Yêu Thương: Khui Kho Quà 500 Triệu Cùng Hàng Loạt Ưu Đãi Khủng</t>
  </si>
  <si>
    <t>Gamification campaign tăng DAU truy cập ứng dụng và sử dụng tính năng, dịch vụ của MoMo
- Phần thưởng: (1) 200 triệu tiền mặt qua bao lì xì 147đ - 1314đ - 9312đ - 51020đ - 30k - 100k (2) 200 triệu xu MoMo (3) 100 triệu ưu đãi các dịch vụ MoMo
- Cách thức: Người dùng thực hiện nhiệm vụ để có lượt rút giải thưởng, trong đó có 2 khung giờ vàng giải thưởng tới 300 triệu (10h - 15h ngày 20/3 và 01/04)
- Nhiệm vụ: nạp tiền điện thoại/data; mua sum; mua vé Metro; truy cập Du lịch-đi lại; etc.</t>
  </si>
  <si>
    <t>gamification; viral marketing; thông điệp yêu thương; engagement; MoMo promotion; payment; du lịch;</t>
  </si>
  <si>
    <t>https://www.momo.vn/tin-tuc/khuyen-mai/tich-ngay-500-xu-khi-tai-ma-qr-nhan-tien-8582</t>
  </si>
  <si>
    <t>Tích ngay 500 Xu khi tải mã QR Nhận Tiền</t>
  </si>
  <si>
    <t>QR nhận tiền: MoMo thưởng 500 Xu cho user tải và lưu mã QR Nhận Tiền về điện thoại</t>
  </si>
  <si>
    <t>MoMo thưởng 500 Xu cho user tải và lưu mã QR Nhận Tiền về điện thoại.
- Đối tượng: Khách hàng đã từng nhận tiền qua QR MoMo trong 2 tháng gần đây nhất, và chưa từng tải mã QR MoMo nhận tiền giao diện mới
- Mục tiêu: Gia tăng hành vi “chia sẻ QR – nhận tiền” với QR giao diện mới từ MoMo</t>
  </si>
  <si>
    <t>QR Nhận Tiền; 500 Xu; merchant QR; incentive; payment behavior; gamification</t>
  </si>
  <si>
    <t>QR nhận tiền</t>
  </si>
  <si>
    <t>https://www.momo.vn/tin-tuc/khuyen-mai/nhan-canh-bao-phat-hien-nguy-co-lua-dao-khi-8568</t>
  </si>
  <si>
    <t>Nhãn cảnh báo phát hiện nguy cơ lừa đảo khi chuyển tiền trên MoMo</t>
  </si>
  <si>
    <t>Khi chuyển tiền MoMo: 
- Người dùng sẽ được cảnh báo về độ tin cậy của tài khoản (Xanh lá - An toàn, Vàng - Cần cân nhắc, Đỏ - Nguy hiểm). Danh sách tài khoản cảnh báo từ hệ thống thông tin hỗ trợ quản lý, giám sát và phòng ngừa rủi ro gian lận trong hoạt động thanh toán của Ngân hàng Nhà nước (SIMO) hoặc từ khiếu nại của người dùng
- Tính năng Báo cáo tài khoản nghi ngờ lừa đảo
Động thái này cho thấy chiến lược phòng chống gian lận cũng như tăng đô tin cậy của người dùng với sản phẩm tài chỉnh số</t>
  </si>
  <si>
    <t>cảnh báo lừa đảo; fraud detection; AI security; chuyển tiền; anti-fraud; trust &amp; safety</t>
  </si>
  <si>
    <t>Nhãn cảnh báo tài khoản lừa đảo</t>
  </si>
  <si>
    <t>https://www.momo.vn/tin-tuc/khuyen-mai/sieu-sale-sinh-nhat-lazada-hoan-tien-gap-3-lan-8583</t>
  </si>
  <si>
    <t>Siêu sale sinh nhật Lazada - Hoàn tiền gấp 3 lần, bạn mới Lazada nhận thêm 5K tiền hoàn</t>
  </si>
  <si>
    <t>MoMo × Lazada: Siêu sale sinh nhật - Hoàn tiền gấp 3 lần, bạn mới Lazada nhận thêm 5K tiền hoàn</t>
  </si>
  <si>
    <t>Ưu đãi nhằm thúc đẩy adoption cho tính năng "Hoàn tiền mua sắm" trên ứng dụng MoMo, từ đó tăng doanh thu Affiliate
- Cách thức: Người dùng thực hiện mua sắm theo đối tác trên "Hoàn tiền mua sắm" hoặc dán link sản phẩm từ Lazada
- Từ 24 - 31/3: người dùng lần đầu có đơn Lazada trên Hoàn tiền mua sắm, nhận thêm 5K tiền hoàn về Túi Thần Tài
- Từ 24 - 27/3: người dùng mua sắm nhận đến gấp 3 tiền hoàn cho các đơn hàng Lazada
- Bạn mới với Hoàn tiền mua sắm: Nhận thêm 10k cho đơn đầu tiên</t>
  </si>
  <si>
    <t>Lazada; cashback; sinh nhật Lazada; e-commerce; hoàn tiền; merchant partnership</t>
  </si>
  <si>
    <t>https://www.momo.vn/tin-tuc/khuyen-mai/sale-cuoi-thang-duy-nhat-253-combo-du-lich-le-8577</t>
  </si>
  <si>
    <t>Sale cuối tháng duy nhất 25/3: Combo du lịch lễ 30/4 - 1/5</t>
  </si>
  <si>
    <t>MoMo Travel: Sale cuối tháng - duy nhất 25.3: Combo du lịch lễ giảm đến 2 triệu trên MoMo Travel!</t>
  </si>
  <si>
    <t>Chiến dịch Flash sale một ngày duy nhất 25/3 thúc đẩy adoption và retention cho tính năng "Du lịch - đi lại" trên MoMo. 
- Phạm vi: toàn bộ dịch vụ du lịch 
- Ưu đãi: 3% - 20% cho bạn mới, 2 - 10% cho khách thân quen</t>
  </si>
  <si>
    <t>flash sale; 30/4; du lịch; combo travel; MoMo Travel; urgency; booking</t>
  </si>
  <si>
    <t>https://www.momo.vn/tin-tuc/khuyen-mai/sale-44-combo-ve-du-lich-giam-den-50-san-ve-choi-8590</t>
  </si>
  <si>
    <t>Sale 4.4 - Combo vé du lịch giảm đến 50%: Săn vé chơi chơi lễ lớn!</t>
  </si>
  <si>
    <t>MoMo Travel Sale 4.4: Combo vé du lịch giảm 50% — Kích hoạt travel segment trước dịp 30/4</t>
  </si>
  <si>
    <t>Chiến dịch Sale 4.4 – Combo vé du lịch giảm đến 50% của MoMo Travel diễn ra trong 1 ngày duy nhất 04/04/2026, khai thác nhu cầu săn vé cho kỳ nghỉ lễ 30/4 bằng loạt ưu đãi mạnh trên nhiều dịch vụ du lịch như vé máy bay, xe khách, tàu hỏa và vé khu vui chơi
- Giảm 5-50% cho bạn mới
- Giảm 3-10% cho bạn thân</t>
  </si>
  <si>
    <t>MoMo Travel; sale 4.4; vé du lịch; giảm 50%; combo vé; khuyến mãi</t>
  </si>
  <si>
    <t>https://www.momo.vn/tin-tuc/khuyen-mai/gio-nghi-trai-nghiem-coca-cola-mien-phi-tai-cvs-8585</t>
  </si>
  <si>
    <t>Giờ nghỉ, trải nghiệm Coca-Cola miễn phí tại CVS cùng MoMo</t>
  </si>
  <si>
    <t>Merchant partnership</t>
  </si>
  <si>
    <t>MoMo × Coca-Cola × CVS: Activation tại điểm bán — Giao lưu FMCG &amp; Chuỗi tiện lợi</t>
  </si>
  <si>
    <t>Chương trình offline activation kết hợp MoMo–Coca-Cola–CVS: user quét MoMo tại CVS nhận Coca-Cola miễn phí. Mô hình merchant activation thúc đẩy offline payment tại chuỗi tiện lợi.</t>
  </si>
  <si>
    <t>Chương trình mini-promo để kích thích người dùng thanh toán bằng Momo tại Cửa hàng tiện lợi khi mua hàng trực tiếp tại một số khung giờ nhất định (09:00- 11:00  và từ 15:00-17:00
- Danh sách cửa hàng: CircleK; Ministop; GS25
- Mua 01 sản phẩm Coca-Cola có trong danh sách tại các cửa hàng tiện lợi và thanh toán bằng Ứng dụng MoMo
- Nhận ngay voucher miễn phí 01 chai Coca-Cola 390ml vị Nguyên Bản; HSD 7 ngày trong mục "Ưu đãi" của MoMo</t>
  </si>
  <si>
    <t>CVS</t>
  </si>
  <si>
    <t>https://www.momo.vn/tin-tuc/khuyen-mai/tu-dong-canh-bao-phat-nguoi-khi-he-thong-phat-8586</t>
  </si>
  <si>
    <t>Tự động cảnh báo phạt nguội khi hệ thống phát hiện lỗi mới chỉ từ 2.500đ/tháng với MoMo</t>
  </si>
  <si>
    <t>MoMo ra mắt gói Subscription: Cảnh Báo Phạt Nguội Tự Động 29k/năm</t>
  </si>
  <si>
    <t>MoMo tăng cường định vị “siêu ứng dụng tiện ích đời sống” bằng tính năng cảnh báo chủ động: Ưu đãi 85% khi mua gói năm và Giảm 10k nếu mua gói tháng
Tính năng: Cảnh báo phạt nguội tự động từ hệ thống Cục CSGT hoặc Cục Đăng kiểm Việt Nam khi phát hiện lỗi; Nhắc hạn đăng kiểm; Tra cứu kết quả vi phạm
Gói: Gói Bạc (199k/năm còn 29k/năm; 10k/tháng), Gói Vàng (299k/năm còn 39k/năm; 19k/tháng) - gói vàng được thêm ưu đãi 40% các loại hiểm ô tô</t>
  </si>
  <si>
    <t>phạt nguội; cảnh báo tự động; subscription; giao thông; CSGT; MoMo services</t>
  </si>
  <si>
    <t>https://www.momo.vn/tin-tuc/khuyen-mai/thong-bao-thay-doi-phi-thanh-toan-toi-thieu-va-8573</t>
  </si>
  <si>
    <t>Thông báo thay đổi phí thanh toán tối thiểu và phí trả chậm của Ví Trả Sau trên MoMo</t>
  </si>
  <si>
    <t>MoMo Ví Trả Sau: Tăng phí trả chậm &amp; Phí Thanh toán tối thiểu từ 1/4</t>
  </si>
  <si>
    <t>MoMo tăng:
- Phí chậm trả Ví Trả Sau tăng từ 0.25 - 1%
- Phí thanh toán tối thiểu từ 6%→6.3%
Đây là hành động được cho là để đảm bảo bù rủi ro nợ xấu và vận hành bền vững khi lượng người dùng tăng. Đây cũng là bước chuyển từ giai đoạn “đốt tiền để tăng trưởng” sang tối ưu doanh thu, đồng thời dùng phí để điều chỉnh hành vi, khuyến khích người dùng trả đúng hạn thay vì kéo dài dư nợ</t>
  </si>
  <si>
    <t>Ví Trả Sau; BNPL; phí trả chậm; pricing change; phí thanh toán tối thiểu; MoMo wallet</t>
  </si>
  <si>
    <t>Ví trả sau</t>
  </si>
  <si>
    <t>Phí trả chậm và phí thanh toán</t>
  </si>
  <si>
    <t>https://www.facebook.com/share/p/1LoP4fCGTk/?mibextid=wwXIfr</t>
  </si>
  <si>
    <t>Zalopay Facebook</t>
  </si>
  <si>
    <t>Zalopay ngừng cập nhật cho iOS 14 và các phiên bản thấp hơn</t>
  </si>
  <si>
    <t>Từ ngày 19/03/2026, ứng dụng ZaloPay sẽ ngừng hỗ trợ cập nhật trên thiết bị sử dụng hệ điều hành iOS 14 và các phiên bản thấp hơn để tối ưu trải nghiệm người dùng, đảm bảo các tính năng mới hoạt động mượt mà và nâng cao độ bảo mật cho tài khoản</t>
  </si>
  <si>
    <t>cập nhật iOS</t>
  </si>
  <si>
    <t>Zalo App</t>
  </si>
  <si>
    <t>Quét QR thanh toán quốc tế - Giảm ngay 50% tối đa 50.000 VNĐ cho giao dịch thanh toán lần đầu tiên</t>
  </si>
  <si>
    <t>Quét QR thanh toán quốc tế - Giảm ngay 50% tối đa 50k cho giao dịch thanh toán lần đầu tiên</t>
  </si>
  <si>
    <t>Zalo thúc đẩy khách hàng mới sử dụng tính năng "Quét QR thanh toán quốc tế"  tận dụng thời điểm mùa du lịch đang đến gần.
- Phạm vi áp dụng: Quét QR tại hàng quán và cửa hàng địa phương tại Singapore, Malaysia, Hàn Quốc, Nhật Bản
- Đối tượng áp dụng: Khách hàng lần đầu thanh toán quốc tế với Zalopay
- Ưu đãi: Giảm đến 50% - tối đa 50k - đơn tối thiểu 10k</t>
  </si>
  <si>
    <t>QR; thanh toán quốc tế; QR thanh toán quốc tế; du lịch</t>
  </si>
  <si>
    <t>QR thanh toán quốc tế</t>
  </si>
  <si>
    <t>https://www.facebook.com/share/p/18w4rZ64Av/?mibextid=wwXIfr</t>
  </si>
  <si>
    <t>Đặt vé du lịch &amp; vé phim - Cơ hội trung vé Concert 33+ Hưng Yên</t>
  </si>
  <si>
    <t>Gamification: Đua top săn vé Concert 33+ Hưng Yên</t>
  </si>
  <si>
    <t>Zalo triển khai mini-game nhằm tăng tương tác của người dùng với những dịch vụ trong Zalopay
- Cách thức : Người dùng hoàn thành nhiệm vụ thanh toán đặt vé phim, thanh toán vé máy bay, vé xe khách hoặc vé tàu, vé vui chơi, khách sạn để nhận lượt quay
- Tích lũy lượt quay: 26/3 - 19/4. Quay thưởng vào chủ nhật hàng tuần
- Quà tặng: 
   + 40 vé Concert Gai Home miễn phí
   + Bộ voucher du lịch đi lại
   + Xu Zalopay</t>
  </si>
  <si>
    <t>mini-game; săn vé concert; mua vé xem phim;  đặt vé máy bay;  đặt vé xe khác/tàu hỏa;  đặt khách sạn;  vé vui chơi</t>
  </si>
  <si>
    <t>Du lịch đi lại; Giải trí</t>
  </si>
  <si>
    <t>https://www.facebook.com/share/v/1Ar8w7vvqM/?mibextid=wwXIfr</t>
  </si>
  <si>
    <t>Lễ lớn không chờ lương - Du lịch ĐÃ trả sau</t>
  </si>
  <si>
    <t>Zalopay tung hàng loạt voucher khởi động mùa lễ 30/4 "Lễ lớn, không chờ lương - Đi đã trả sau"</t>
  </si>
  <si>
    <t>Nhằm thúc đẩy giao dịch qua ví và tài khoản trả sau, Zalopay đã triển khai hàng loạt voucher dịp lễ lớn
- Ưu đãi cả ngày: Giảm 90-100k cho lần đầu thanh toán tài khoản trả sau, 40k cho mọi khách hàng thanh toàn tài khoản trả sau
- Ưu đãi flash sale giảm mạnh 50% trong khung 12h các ngày cố định (19/3 - 19/4, 22/3 &amp; 4,6,13,20/4)
- Phạm vi: Mọi dịch vụ Du lịch đi lại</t>
  </si>
  <si>
    <t>du lịch; ví; tài khoản trả sau; flashsale</t>
  </si>
  <si>
    <t>Ví; Tài khoản trả sau</t>
  </si>
  <si>
    <t>Quét QR chuyển khoản - Nhận 30k</t>
  </si>
  <si>
    <t>Quét QR chuyển khoản - Nhận 30k xu</t>
  </si>
  <si>
    <t>- Ưu đãi: Nhận ngay 30k xu khi quét QR chuyển khoản ngân hàng
- Mục tiêu: tăng tỷ lệ adoption cho tính năng quét QR thanh toán của Zalopay</t>
  </si>
  <si>
    <t>QR; thanh toán; QR thanh toán; chuyển khoản ngân hàng</t>
  </si>
  <si>
    <t>Xem phim "hot" nhận ưu đãi xịn</t>
  </si>
  <si>
    <t>Đồng giá từ  85k khi đặt vé xem phim Hẹn em ngày nhật thức</t>
  </si>
  <si>
    <t>- Đối tượng: Mọi khách hàng đặt vé xem phim trên Zalopay
- Yêu cầu: thanh toán qua Ví Zalopay, Số dư sinh lời, Tài khoản trả sau, Thẻ và TKNH liên kết
- Ưu đãi: 85k (Galaxy), 95k - 100k (Lotte), 109k - 120k (CGV)</t>
  </si>
  <si>
    <t>Vé xem phim</t>
  </si>
  <si>
    <t>Tặng bạn code nạp game giảm 50%</t>
  </si>
  <si>
    <t>Giảm 50% khi nạp game qua Zalopay tại cổng thanh toán của NPH Game</t>
  </si>
  <si>
    <t>- Giảm 50% tối đa 100k cho khách hàng mới
- Giảm 50% tối đa 20k cho khách hàng chưa từng nạp game bằng Zalopay
- Giảm 50% tối đa 10k cho khashc hàng đã từng nạp game bằng Zalopay
- NPH Game: VNGGames, Funtap Game, VMGE Game, JEDI Game, JoyGames, MiGame</t>
  </si>
  <si>
    <t>Nạp game</t>
  </si>
  <si>
    <t>https://social.zalopay.vn/mega/sharing/10025/0?share_key=1vRayxdKDxoe</t>
  </si>
  <si>
    <t>Minigame Mừng đại lễ 30/4</t>
  </si>
  <si>
    <t>Gamification: Phất cờ nhận xu, rinh ngay quà khủng - Minigame mừng đại lễ 30.4</t>
  </si>
  <si>
    <t>Chiến dịch Gamification tăng tương tác với chương trình Loyalty (Xu); đặc biệt cho hội viên Priority của Zalopay nhân dịp lễ 30/4
- Cách tham gia: 
   + Hoàn thành thử thách để nhận lượt phất cờ: điểm danh hội viên, đổi voucher trong "Dùng xu đổi quà", Dùng xu cho GD thanh toán, chuyển tiền bằng QR, etc.
  + Người dùng có thể đổi xu nhận quà 
- Nguyên tắc: 100% trúng quà (xu hoặc gấu bông)</t>
  </si>
  <si>
    <t>Loyalty</t>
  </si>
  <si>
    <t>https://www.techinasia.com/news/tiktok-shop-shopee-lead-vietnams-beauty-ecommerce-market</t>
  </si>
  <si>
    <t>TikTok Shop, Shopee lead Vietnam's beauty e-commerce market</t>
  </si>
  <si>
    <t>Market growth/ market size</t>
  </si>
  <si>
    <t>TikTok Shop &amp; Shopee dẫn dắt thị trường TMĐT ngành làm đẹp tại Việt Nam</t>
  </si>
  <si>
    <t>Người tiêu dùng Việt Nam chi ~US$3 tỷ cho beauty &amp; personal care online năm 2025, tăng ~30% YoY; TikTok Shop và Shopee chiếm gần như toàn bộ thị phần, trong đó TikTok Shop dẫn đầu ở Q4/2025 về beauty GMV.
Shop Mall/brand chính hãng đóng góp ~64% doanh thu; số lượng shop hoạt động giảm (–8% QoQ, –13% YoY), cho thấy thị trường bước vào giai đoạn sàng lọc
Mô hình content-led commerce (video ngắn, livestream) trở thành lợi thế cạnh tranh cốt lõi của TikTok Shop</t>
  </si>
  <si>
    <t>TikTok Shop; Shopee; beauty; Vietnam e-commerce; live streaming; market share; competitor</t>
  </si>
  <si>
    <t>https://dantri.com.vn/cong-nghe/cong-ty-lam-lo-tai-lieu-noi-bo-he-mo-mo-hinh-ai-co-the-tan-cong-mang-20260328090451830.htm</t>
  </si>
  <si>
    <t>Công ty làm lộ tài liệu nội bộ, hé mở mô hình AI có thể tấn công mạng</t>
  </si>
  <si>
    <t>Lộ tài liệu nội bộ hé mở mô hình AI có thể bị khai thác để tấn công mạng</t>
  </si>
  <si>
    <t>Một công ty AI bị lộ tài liệu nội bộ mô tả chi tiết cách LLM có thể tự động hóa các cuộc tấn công mạng quy mô lớn. Sự cố đặt ra lo ngại về rủi ro kép: AI vừa là công cụ bảo vệ vừa có thể bị vũ khí hóa cho mục đích tấn công. Các tổ chức triển khai AI cần đánh giá lại chính sách bảo mật tài liệu kỹ thuật nội bộ.</t>
  </si>
  <si>
    <t>AI security; data leak; LLM weaponization; cybersecurity; AI risk</t>
  </si>
  <si>
    <t>https://vneconomy.vn/techconnect/san-thuong-mai-dien-tu-tang-truong-34-vi-sao-nhieu-doanh-nghiep-van-khong-kiem-duoc-tien.htm</t>
  </si>
  <si>
    <t>Sàn thương mại điện tử tăng trưởng 34%, vì sao nhiều doanh nghiệp vẫn không kiếm được tiền?</t>
  </si>
  <si>
    <t>TMĐT Việt Nam tăng 34% nhưng doanh nghiệp vẫn không có lãi – Bài toán unit economics nan giải</t>
  </si>
  <si>
    <t>Doanh thu 4 sàn lớn (Shopee, TikTok Shop, Lazada, Tiki) 9T/2025 đạt ~305,9 nghìn tỷ đồng, +34% YoY.
Nghịch lý lợi nhuận: chi phí marketing (ads, KOL/KOC, khuyến mãi) tăng nhanh hơn tăng trưởng chuyển đổi → CPA tăng, margin bị bào mòn.
Hành trình mua sắm phân mảnh đa điểm chạm khiến DN buộc phải hiện diện đa kênh, gia tăng chi phí cố định.</t>
  </si>
  <si>
    <t>Vietnam e-commerce; GMV growth; profitability; Shopee; TikTok Shop; unit economics; market data</t>
  </si>
  <si>
    <t>https://genk.vn/nganh-am-nhac-sung-sot-truoc-ai-300-trieu-usd-nam-7-trieu-bai-moi-ngay-va-mot-spotify-moi-sau-moi-2-tuan-165263003211211401.chn</t>
  </si>
  <si>
    <t>Ngành âm nhạc sững sốt trước AI: 300 triệu USD/năm, 7 triệu bài mới mỗi ngày và một Spotify mới sau mỗi 2 tuần</t>
  </si>
  <si>
    <t>AI tạo 7 triệu bài nhạc/ngày – Ngành âm nhạc đứng trước làn sóng disruption chưa từng có</t>
  </si>
  <si>
    <t>Ngành âm nhạc đang đối mặt với làn sóng AI sản xuất 7 triệu bài hát mới mỗi ngày với chi phí vận hành chỉ 300 triệu USD/năm, tương đương một Spotify mới ra đời mỗi 2 tuần. Sự xuất hiện của Suno, Udio và các platform AI music đang phá vỡ mô hình doanh thu truyền thống của các label và nghệ sĩ. Xu hướng này nhanh chóng lan sang marketing – jingle, nhạc nền quảng cáo sẽ bị disrupted đầu tiên.</t>
  </si>
  <si>
    <t>AI music; Suno; Udio; music industry disruption; generative AI; AI productization</t>
  </si>
  <si>
    <t>https://www.techinasia.com/news/mobifone-launches-payments-platform-vietnam</t>
  </si>
  <si>
    <t>MobiFone launches payments platform in Vietnam</t>
  </si>
  <si>
    <t>MobiFone ra mắt nền tảng hạ tầng thanh toán (MDP)</t>
  </si>
  <si>
    <t>MobiFone Digital Payments (MDP) được NHNN cấp phép cho chuyển mạch, bù trừ điện tử, cổng thanh toán, trở thành đơn vị thứ hai cạnh tranh trong mảng hạ tầng lõi.
Đã kết nối &gt;20 tổ chức tài chính và hợp tác với Visa; ký MOU với NAPAS để nghiên cứu liên thông.
Việc MobiFone tham gia hạ tầng lõi cho thấy định hướng mở rộng cạnh tranh có kiểm soát của cơ quan quản lý, đồng thời có thể tác động đến cấu trúc phí, chất lượng dịch vụ và khả năng kết nối trong hệ sinh thái thanh toán – fintech – e-commerce tại Việt Nam</t>
  </si>
  <si>
    <t>MobiFone; mobile payment; Vietnam fintech; new entrant; digital wallet; competition; VNPay</t>
  </si>
  <si>
    <t>https://genk.vn/nhieu-tai-khoan-ban-hang-tren-facebook-bi-bay-mau-dieu-gi-dang-xay-ra-165260402072842972.chn</t>
  </si>
  <si>
    <t>Nhiều tài khoản bán hàng trên Facebook bị bay màu: Điều gì đang xảy ra?</t>
  </si>
  <si>
    <t>Tài khoản bán hàng Facebook bị vô hiệu hóa hàng loạt – Rủi ro nền tảng với seller TMĐT</t>
  </si>
  <si>
    <t>Hàng loạt tài khoản bán hàng Facebook đột ngột bị vô hiệu hóa không có cảnh báo, ảnh hưởng trực tiếp doanh thu của merchant. Meta chưa cung cấp giải thích chính thức, cộng đồng seller nghi ngờ hệ thống AI kiểm duyệt hoạt động quá mức. Sự việc làm nổi bật rủi ro phụ thuộc vào nền tảng đơn lẻ trong kinh doanh thương mại điện tử xã hội.</t>
  </si>
  <si>
    <t>Facebook; account ban; seller risk; social commerce; Meta; platform risk</t>
  </si>
  <si>
    <t>https://genk.vn/nguoi-dung-macbook-ru-nhau-lam-may-keu-ren-mua-mat-phi-nhung-quay-reel-ma-viral-la-duoc-tra-lai-tien-165260329184620414.chn</t>
  </si>
  <si>
    <t>Người dùng MacBook rủ nhau làm máy kêu rèn mua mất phí, nhưng quay Reel mà viral là được trả lại tiền</t>
  </si>
  <si>
    <t>Người dùng MacBook tạo tiếng kêu giả để được hoàn tiền bảo hành – Chiêu viral lan rộng</t>
  </si>
  <si>
    <t>Người dùng MacBook phát hiện cách tạo tiếng kêu giả trên máy để vượt qua bảo hành Apple, sau đó quay video viral lên mạng xã hội. Câu chuyện này lan nhanh như một xu hướng nhưng không có giá trị chiến lược cho thị trường fintech hay super-app. Phân loại là Noise.</t>
  </si>
  <si>
    <t>MacBook; Apple warranty; viral hack; consumer behavior</t>
  </si>
  <si>
    <t>https://genk.vn/vntt-cong-bo-smart-robotics-huong-toi-he-sinh-thai-tu-dong-hoa-san-xuat-va-logistics-165260330175209289.chn</t>
  </si>
  <si>
    <t>VNTT công bố Smart Robotics, hướng tới hệ sinh thái tự động hóa sản xuất và logistics</t>
  </si>
  <si>
    <t>VNTT ra mắt Smart Robotics – Xây dựng hệ sinh thái tự động hóa sản xuất và logistics tại Việt Nam</t>
  </si>
  <si>
    <t>VNTT chính thức công bố dòng sản phẩm Smart Robotics nhằm cung cấp giải pháp tự động hóa toàn diện cho nhà máy và kho hàng tại Việt Nam. Đây là bước đi trong chiến lược đa dạng hóa sang AI và deep tech của VNTT sau khi tái cơ cấu. Mảng robotics đang thu hút đầu tư tăng khi các khu công nghiệp tìm giải pháp giảm chi phí nhân công.</t>
  </si>
  <si>
    <t>VNTT; robotics; automation; logistics; Vietnam tech; Industry 4.0</t>
  </si>
  <si>
    <t>https://genk.vn/thoi-dai-ai-khi-agency-khong-con-ban-gio-lam-viec-ma-ban-kieng-3-chan-165260331161338534.chn</t>
  </si>
  <si>
    <t>Thời đại AI: Khi agency không còn bán giờ làm việc mà bán kiềng 3 chân</t>
  </si>
  <si>
    <t>AI buộc agency sáng tạo tái cấu trúc: Từ mô hình bán giờ sang kiềng 3 chân chiến lược</t>
  </si>
  <si>
    <t>Trong kỷ nguyên AI, các agency đang chuyển dịch từ time-based billing sang mô hình giá trị 3 trụ: chiến lược, công nghệ và sáng tạo. AI đã thay thế phần lớn công việc thực thi theo giờ, buộc agency tái định vị ở tầng giá trị cao hơn. Đây là tín hiệu chuỗi giá trị dịch vụ marketing đang bị tái cấu trúc toàn diện.</t>
  </si>
  <si>
    <t>AI agency; creative industry; business model disruption; AI productization; marketing</t>
  </si>
  <si>
    <t>https://genk.vn/facebook-chinh-thuc-dong-cua-messenger-trinh-duyet-web-tu-16-4-165260403080157366.chn</t>
  </si>
  <si>
    <t>Facebook chính thức đóng cửa Messenger trình duyệt web từ 16/4</t>
  </si>
  <si>
    <t>Facebook đóng cửa Messenger trên trình duyệt web từ 16/4 – Meta siết chặt hệ sinh thái mobile</t>
  </si>
  <si>
    <t>Meta chính thức ngưng hỗ trợ Messenger trên web browser từ 16/4, buộc người dùng chuyển sang ứng dụng mobile hoặc desktop app. Quyết định phản ánh chiến lược tập trung toàn lực vào trải nghiệm mobile của Meta và thu hẹp điểm chạm web đang giảm dần. Đây là tín hiệu tiếp theo trong xu hướng 'mobile-first' của các nền tảng mạng xã hội lớn.</t>
  </si>
  <si>
    <t>Facebook; Messenger; Meta; desktop shutdown; mobile-first; platform strategy</t>
  </si>
  <si>
    <t>https://www.techinasia.com/grabs-greater-southeast-asia-play</t>
  </si>
  <si>
    <t>Grab's greater Southeast Asia play</t>
  </si>
  <si>
    <t>Grab và “Greater Southeast Asia play”</t>
  </si>
  <si>
    <t>Grab khởi động giai đoạn mở rộng mới thông qua M&amp;A (tiêu biểu: Foodpanda Taiwan ~US$600m), biến Taiwan thành thị trường ngoài SEA đầu tiên
Trọng tâm chiến lược: finance - logistics – delivery – app ecosystem, hơn là tăng trưởng mỗi ride-hailing
Việt Nam được nhìn nhận là điểm nóng cạnh tranh logistics/commerce, nơi Grab tìm kiếm hiệu quả vận hành và tần suất sử dụng</t>
  </si>
  <si>
    <t>Grab; super-app; SEA expansion; regional strategy; competitor; ride-hailing; food delivery</t>
  </si>
  <si>
    <t>https://techcrunch.com/2026/04/05/as-people-look-for-ways-to-make-new-friends-here-are-the-apps-promising-to-help/</t>
  </si>
  <si>
    <t>TechCrunch</t>
  </si>
  <si>
    <t>As people look for ways to make new friends, here are the apps promising to help</t>
  </si>
  <si>
    <t>Ứng dụng kết bạn AI nở rộ tại Mỹ – Xu hướng social-tech đối phó với dịch cô đơn</t>
  </si>
  <si>
    <t>Làn sóng app kết bạn mới như Timeleft, Bumble BFF và We3 đang nổi lên khi nghiên cứu chứng minh người trẻ ngày càng cô đơn dù hyperconnected. Các app dùng AI ghép cặp dựa trên sở thích và lịch trình, vượt ra ngoài kết nối địa lý đơn thuần. Xu hướng này chưa có đối ứng rõ ràng tại Việt Nam nhưng đáng chú ý cho mảng community features trong super-app.</t>
  </si>
  <si>
    <t>social apps; AI matching; friend-finding; digital loneliness; community; platform ecosystem</t>
  </si>
  <si>
    <t>https://www.techinasia.com/news/alibaba-roll-ai-agents-taobao-tmall-merchants</t>
  </si>
  <si>
    <t>Alibaba to roll out AI agents to Taobao, Tmall merchants</t>
  </si>
  <si>
    <t>Alibaba triển khai AI agents cho người bán Taobao &amp; Tmall</t>
  </si>
  <si>
    <t>Alibaba triển khai AI agents/“digital workforce” cho hàng triệu merchant: tự động CSKH, phát voucher, điều chỉnh giá theo thời gian thực.
Xây dựng trên Business Advisor, tích hợp với Qwen; capex cloud &amp; AI tăng mạnh.
Mục tiêu: giảm chi phí vận hành cửa hàng, dịch chuyển vai trò con người sang chiến lược sản phẩm/brand.</t>
  </si>
  <si>
    <t>Alibaba; AI agent; Taobao; Tmall; e-commerce AI; merchant tools; SMB; automation</t>
  </si>
  <si>
    <t>https://vneconomy.vn/techconnect/ha-noi-ra-mat-hanoiwork-quan-tri-cong-viec-va-danh-gia-can-bo-theo-okrkpi.htm</t>
  </si>
  <si>
    <t>Hà Nội ra mắt HanoiWork: Quản trị công việc và đánh giá cán bộ theo OKR/KPI</t>
  </si>
  <si>
    <t>Hà Nội ra mắt HanoiWork – Quản trị cán bộ bằng OKR/KPI số, bước tiến chuyển đổi số hành chính</t>
  </si>
  <si>
    <t>Hà Nội triển khai HanoiWork, nền tảng quản trị công việc nội bộ cho cán bộ công chức theo phương pháp OKR/KPI số hóa. Đây là một phần chiến lược chuyển đổi số bộ máy hành chính, hướng đến đánh giá hiệu suất minh bạch và dữ liệu. Bước đi có thể truyền cảm hứng cho các tỉnh thành khác và phản ánh nhu cầu SaaS cho khu vực công tại Việt Nam.</t>
  </si>
  <si>
    <t>HanoiWork; OKR; KPI; Hanoi; e-government; digital governance; public sector</t>
  </si>
  <si>
    <t>https://vneconomy.vn/techconnect/trung-quoc-xay-mang-luoi-ai-gia-re-cuu-doanh-nghiep-nho-khoi-ap-luc-chi-phi.htm</t>
  </si>
  <si>
    <t>Trung Quốc xây mạng lưới AI giá rẻ cứu doanh nghiệp nhỏ khỏi áp lực chi phí</t>
  </si>
  <si>
    <t>Trung Quốc xây mạng lưới AI giá rẻ – SMB được giải cứu khỏi áp lực chi phí tính toán</t>
  </si>
  <si>
    <t>Trung Quốc đang xây dựng mạng lưới AI chi phí thấp nhằm cung cấp sức mạnh tính toán và mô hình cho SMB với giá thấp hơn 80-90% so với giải pháp Mỹ. DeepSeek và các startup AI nội địa là xương sống chiến lược 'AI for all' này. Đây là tín hiệu chi phí AI đang giảm nhanh, tạo cơ hội cho các nền tảng ứng dụng tại Đông Nam Á tiếp cận công nghệ rẻ hơn.</t>
  </si>
  <si>
    <t>China AI; affordable AI; SMB; AI infrastructure; DeepSeek; cost efficiency; AI democratization</t>
  </si>
  <si>
    <t>https://www.bloomberg.com/news/articles/2026-04-01/oura-and-whoop-discounts-gain-popularity-with-premium-amex-chase-credit-cards?srnd=phx-technology-consumer-tech</t>
  </si>
  <si>
    <t>Oura and Whoop discounts gain popularity with premium Amex, Chase credit cards</t>
  </si>
  <si>
    <t>Oura và Whoop bắt tay thẻ Amex/Chase – Wearable tech gặp fintech trong mô hình card benefits</t>
  </si>
  <si>
    <t>Oura Ring và Whoop đang tận dụng chương trình ưu đãi thẻ tín dụng cao cấp như Amex Platinum và Chase Sapphire để phân phối thiết bị với chiết khấu đáng kể. Đây là ví dụ điển hình về partnership wearable-fintech sử dụng card benefits như kênh phân phối thay thế. Mô hình này có thể áp dụng cho loyalty/VPoint kết hợp với thẻ ngân hàng tại Việt Nam.</t>
  </si>
  <si>
    <t>wearable; Oura; Whoop; Amex; Chase; card benefits; fintech partnership</t>
  </si>
  <si>
    <t>https://www.techinasia.com/news/shinsegae-openai-partner-for-ai-commerce</t>
  </si>
  <si>
    <t>Shinsegae, OpenAI partner for AI commerce</t>
  </si>
  <si>
    <t>Shinsegae hợp tác OpenAI cho AI Commerce</t>
  </si>
  <si>
    <t>Shinsegae Group (Hàn Quốc) ký MOU với OpenAI để triển khai AI commerce, trọng tâm là shopping agent dạng hội thoại có khả năng tìm sản phẩm, lập danh sách, thanh toán và xử lý giao hàng
Triển khai theo lộ trình: bắt đầu với E-Mart, sau đó mở rộng sang các đơn vị khác trong hệ sinh thái bán lẻ của Shinsegae
Động thái này nối tiếp xu hướng AI shopping agent tại Hàn Quốc (Naver, Lotte), cho thấy cạnh tranh đang chuyển từ logistics/tốc độ giao hàng sang khả năng tìm – gợi ý – cá nhân hóa sản phẩm</t>
  </si>
  <si>
    <t>Shinsegae; OpenAI; AI commerce; retail AI; partnership; AI shopping</t>
  </si>
  <si>
    <t>https://www.techinasia.com/news/indonesia-fmcg-ecommerce-sales-hit-23b-q1</t>
  </si>
  <si>
    <t>Indonesia FMCG e-commerce sales hit $2.3B in Q1</t>
  </si>
  <si>
    <t>FMCG thương mại điện tử Indonesia đạt 2.3 tỷ USD Q1/2026 – Tín hiệu mạnh từ thị trường SEA</t>
  </si>
  <si>
    <t>Doanh số FMCG trên TMĐT tại Indonesia đạt 2.3 tỷ USD trong Q1/2026, tăng trưởng mạnh nhờ quick commerce và sự mở rộng của Tokopedia-TikTok. Xu hướng này phản ánh sự trưởng thành nhanh chóng của mua sắm hàng tiêu dùng thiết yếu online tại SEA. Dữ liệu Indonesia thường có thể dùng như proxy xu hướng Việt Nam trong 12-18 tháng tới.</t>
  </si>
  <si>
    <t>Indonesia; FMCG; e-commerce; quick commerce; SEA market data; Q1 2026</t>
  </si>
  <si>
    <t>https://techcrunch.com/2026/03/30/meta-starts-testing-a-premium-subscription-on-instagram/</t>
  </si>
  <si>
    <t>Meta starts testing a premium subscription on Instagram</t>
  </si>
  <si>
    <t>Meta thử nghiệm Instagram Plus (subscription cho người dùng phổ thông)</t>
  </si>
  <si>
    <t>Meta thử nghiệm Instagram Plus tại một số thị trường (Mexico, Nhật, Philippines) với giá ~US$1–2/tháng
Gói trả phí nhắm vào người dùng phổ thông, không phải creator/business (khác Meta Verified)
Quyền lợi tập trung vào Stories: ẩn danh khi xem, tạo nhiều audience list, kéo dài thời gian hiển thị Story, “Superlike”, spotlight Story</t>
  </si>
  <si>
    <t>Instagram; Meta; subscription; premium; platform monetization; freemium; ads alternative</t>
  </si>
  <si>
    <t>https://genk.vn/hon-1-trieu-cuoc-tan-cong-ai-nham-vao-doanh-nghiep-viet-165260401170048816.chn</t>
  </si>
  <si>
    <t>Hơn 1 triệu cuộc tấn công AI nhắm vào doanh nghiệp Việt</t>
  </si>
  <si>
    <t>Việt Nam ghi nhận hơn 1 triệu cuộc tấn công mạng có yếu tố AI nhắm vào doanh nghiệp trong thời gian ngắn. Tin tặc sử dụng AI để tự động hóa dò quét, lừa đảo và giả mạo, khiến tấn công tinh vi hơn. Doanh nghiệp vừa và nhỏ là đối tượng dễ bị tổn thương nhất do hạn chế về bảo mật</t>
  </si>
  <si>
    <t>AI attack; cybersecurity; Vietnam enterprises; threat landscape; AI-powered attack; data breach</t>
  </si>
  <si>
    <t>https://genk.vn/rakuten-tung-mo-hinh-ai-700-ty-tham-so-tuong-hang-quoc-dan-nhat-ban-hoa-ra-la-deepseek-v3-cua-trung-quoc-165260330114833572.chn</t>
  </si>
  <si>
    <t>Rakuten tung mô hình AI 700 tỷ tham số 'tương đương quốc dân Nhật Bản', hóa ra là DeepSeek V3 của Trung Quốc</t>
  </si>
  <si>
    <t>Rakuten tung 'AI 700 tỷ tham số quốc dân Nhật Bản' – Hóa ra là DeepSeek V3 đổi tên</t>
  </si>
  <si>
    <t>Rakuten công bố mô hình AI 700 tỷ tham số định vị là 'AI quốc dân Nhật Bản', tuy nhiên cộng đồng nghiên cứu xác định đây là DeepSeek V3 của Trung Quốc được tinh chỉnh và đổi tên. Vụ việc phơi bày xu hướng các tập đoàn lớn 're-brand' mô hình nguồn mở Trung Quốc thay vì tự phát triển. Đây là minh chứng cho sức ảnh hưởng ngày càng lớn của AI Trung Quốc trong hệ sinh thái AI toàn cầu.</t>
  </si>
  <si>
    <t>Rakuten; DeepSeek V3; AI model; commoditization; open-source AI; AI rebranding</t>
  </si>
  <si>
    <t>https://genk.vn/google-dang-dinh-xao-nau-lai-moi-dong-title-bang-ai-nganh-seo-dung-truoc-cuoc-thay-doi-lon-165260330164252978.chn</t>
  </si>
  <si>
    <t>Google đang định xào nấu lại mọi dòng title bằng AI, ngành SEO đứng trước cuộc thay đổi lớn</t>
  </si>
  <si>
    <t>Google dùng AI viết lại title trên trang kết quả tìm kiếm (SERP)</t>
  </si>
  <si>
    <t>Google xác nhận test AI-generated headline/title trong kết quả tìm kiếm truyền thống, không chỉ Discover
AI có thể viết lại hoàn toàn tiêu đề, không đơn thuần cắt ngắn hay lấy H1
Nhiều trường hợp thay đổi tone/nghĩa, ảnh hưởng đến brand voice và CTR
Động thái này cho thấy việc SEO chuyển từ “tối ưu title” sang tối ưu thực thể &amp; ngữ nghĩa tổng thể (GEO – Generative Engine Optimization). Publisher/brand mất thêm quyền kiểm soát điểm chạm đầu tiên với người dùng</t>
  </si>
  <si>
    <t>Google; AI title rewrite; SEO disruption; search algorithm; BigTech; publisher</t>
  </si>
  <si>
    <t>https://luatvietnam.vn/thue/cong-van-1619-ct-cs-2026-cua-cuc-thue-ve-thanh-toan-khong-dung-tien-mat-429309-d6.html</t>
  </si>
  <si>
    <t>Công văn 1619/CT-CS-2026 của Cục Thuế về thanh toán không dùng tiền mặt</t>
  </si>
  <si>
    <t>Công văn 1619/CT-CS-2026: Cục Thuế hướng dẫn chi tiết thanh toán không dùng tiền mặt</t>
  </si>
  <si>
    <t>Cục Thuế ban hành Công văn 1619 hướng dẫn chi tiết về giao dịch bắt buộc thanh toán điện tử và yêu cầu chứng từ số, bổ sung cho Thông tư 30/2025 NHNN. Văn bản tác động trực tiếp đến hộ kinh doanh và SMB khi quy định cụ thể ngưỡng giá trị giao dịch phải thanh toán không tiền mặt. Một phần trong lộ trình cashless quốc gia với tác động sâu đến hệ sinh thái thanh toán số Việt Nam.</t>
  </si>
  <si>
    <t>Công văn 1619; cashless payment; thuế; NHNN; fintech regulation; payment rails; hộ kinh doanh</t>
  </si>
  <si>
    <t>https://genk.vn/openai-huy-ke-hoach-phat-trien-chatbot-nguoi-lon-165260330081019867.chn</t>
  </si>
  <si>
    <t>OpenAI hủy kế hoạch phát triển chatbot người lớn</t>
  </si>
  <si>
    <t>OpenAI hủy kế hoạch chatbot người lớn – Ưu tiên doanh nghiệp hơn nội dung rủi ro cao</t>
  </si>
  <si>
    <t>OpenAI chính thức hủy bỏ kế hoạch phát triển chatbot dành cho nội dung người lớn, mặc dù trước đó đã có thông tin rò rỉ về dự án. Quyết định phản ánh áp lực từ cổ đông và đối tác doanh nghiệp khi OpenAI tái cơ cấu thành công ty for-profit. Tín hiệu OpenAI đang ưu tiên thị trường enterprise, tránh các use case có rủi ro hình ảnh cao.</t>
  </si>
  <si>
    <t>OpenAI; adult chatbot; content policy; AI strategy; enterprise focus; for-profit</t>
  </si>
  <si>
    <t>https://genk.vn/cong-an-canh-bao-nong-toi-tat-ca-nhung-nguoi-co-tai-khoan-mua-sam-shopee-lazada-165260331003343451.chn</t>
  </si>
  <si>
    <t>Công an cảnh báo nóng tới tất cả những người có tài khoản mua sắm Shopee, Lazada</t>
  </si>
  <si>
    <t>Cảnh báo khẩn: Tài khoản Shopee và Lazada đang bị tấn công hàng loạt – Người dùng cần cảnh giác</t>
  </si>
  <si>
    <t>Cơ quan chức năng cảnh báo làn sóng tấn công chiếm đoạt tài khoản người dùng trên Shopee và Lazada, chủ yếu qua phishing và giả mạo thông báo đơn hàng. Hàng trăm tài khoản đã bị chiếm đoạt để thực hiện giao dịch gian lận. Khi các sàn TMĐT tích hợp thêm thanh toán trực tiếp, rủi ro tài chính khi bị hack tài khoản ngày càng cao.</t>
  </si>
  <si>
    <t>Shopee; Lazada; account hijack; phishing; cybersecurity; e-commerce security; Vietnam</t>
  </si>
  <si>
    <t>https://techcrunch.com/2026/04/02/flipboard-surf-social-websites-help-publishers-and-creators-tap-into-the-open-social-web/</t>
  </si>
  <si>
    <t>Flipboard/Surf: Social websites help publishers and creators tap into the open social web</t>
  </si>
  <si>
    <t>Flipboard ra mắt Surf – Nền tảng mạng xã hội mở cho publisher thoát khỏi walled garden</t>
  </si>
  <si>
    <t>Flipboard giới thiệu Surf, nền tảng open social web cho phép publisher và creator phân phối nội dung qua nhiều kênh phi tập trung đồng thời, giảm phụ thuộc vào thuật toán BigTech. Sản phẩm nhắm tới creator mệt mỏi với Facebook và Instagram. Xu hướng này phản ánh nhu cầu thoát khỏi nền tảng đóng nhưng chưa có tác động lớn đến thị trường Việt Nam.</t>
  </si>
  <si>
    <t>Flipboard; Surf; open social web; publishers; creator economy; decentralization</t>
  </si>
  <si>
    <t>https://www.techinasia.com/hitpay-grew-25b-annualized-payment-volumes-18m</t>
  </si>
  <si>
    <t>HitPay grew to $2.5B annualized payment volumes</t>
  </si>
  <si>
    <t>HitPay đạt 2.5 tỷ USD khối lượng thanh toán annualized – Fintech SEA tăng tốc</t>
  </si>
  <si>
    <t>HitPay, fintech Singapore, công bố đạt khối lượng thanh toán annualized 2.5 tỷ USD, tăng đáng kể so với năm trước. Con số phản ánh sức tăng trưởng mạnh của mảng B2B payment infrastructure cho SMB tại SEA. Sự thành công của HitPay cho thấy phân khúc payment rails cho doanh nghiệp vừa và nhỏ còn nhiều dư địa tại khu vực.</t>
  </si>
  <si>
    <t>HitPay; payment; SEA fintech; annualized volume; SMB payment; B2B payments</t>
  </si>
  <si>
    <t>https://vnexpress.net/bo-khoa-hoc-va-cong-nghe-xay-dung-danh-muc-ai-rui-ro-cao-5056376.html</t>
  </si>
  <si>
    <t>Bộ Khoa học và Công nghệ xây dựng danh mục AI rủi ro cao</t>
  </si>
  <si>
    <t>Bộ KH&amp;CN xây dựng danh mục AI rủi ro cao – Khung pháp lý AI Việt Nam đang hình thành</t>
  </si>
  <si>
    <t>Bộ Khoa học &amp; Công nghệ đang xây dựng danh mục hệ thống AI rủi ro cao. Tập trung vào AI ảnh hưởng tới quyền riêng tư, an toàn, pháp lý và xã hội.
Một số lĩnh vực được xem xét gồm tài chính, y tế, sinh trắc học, giám sát.Là bước chuẩn bị cho khung quản lý AI chuyên biệt tại Việt Nam</t>
  </si>
  <si>
    <t>AI regulation; high-risk AI; Vietnam; MOST; AI governance; EU AI Act; compliance</t>
  </si>
  <si>
    <t>https://vnexpress.net/cach-phan-anh-vi-pham-giao-thong-qua-vneid-5057404.html</t>
  </si>
  <si>
    <t>Cách phản ánh vi phạm giao thông qua VNEID</t>
  </si>
  <si>
    <t>VNEID mở tính năng phản ánh vi phạm giao thông – Hướng đến nền tảng civic services đa năng</t>
  </si>
  <si>
    <t>VNEID ra mắt tính năng cho phép công dân ghi nhận và gửi phản ánh vi phạm giao thông trực tiếp qua app, giảm phụ thuộc vào camera cố định. Đây là bước biến VNEID thành nền tảng civic services đa năng hơn là chỉ là ứng dụng định danh. Lộ trình mở rộng tiện ích VNEID là tham chiếu quan trọng cho super-app về tích hợp dịch vụ công.</t>
  </si>
  <si>
    <t>VNEID; traffic violation; e-government; digital services; civic tech; Vietnam</t>
  </si>
  <si>
    <t>https://www.bloomberg.com/news/articles/2026-03-31/apple-tests-siri-feature-that-handles-multiple-commands-at-once?srnd=phx-technology-consumer-tech</t>
  </si>
  <si>
    <t>Apple tests Siri feature that handles multiple commands at once</t>
  </si>
  <si>
    <t>Apple thử nghiệm Siri xử lý nhiều lệnh trong một câu</t>
  </si>
  <si>
    <t>Apple đang thử nghiệm tính năng cho phép Siri xử lý nhiều yêu cầu trong một truy vấn duy nhất, thay vì từng lệnh riêng lẻ như hiện tại
Tính năng dự kiến tích hợp vào iOS, iPadOS và macOS phiên bản 27, nằm trong kế hoạch nâng cấp Apple Intelligence
Người dùng có thể yêu cầu Siri thực hiện chuỗi hành động liên tiếp (ví dụ: kiểm tra thời tiết, tạo lịch, gửi tin nhắn).</t>
  </si>
  <si>
    <t>Apple; Siri; multi-command AI; assistant; BigTech; iOS AI; natural language</t>
  </si>
  <si>
    <t>https://techcrunch.com/2026/03/26/bytedances-new-ai-video-generation-model-dreamina-seedance-2-0-comes-to-capcut/</t>
  </si>
  <si>
    <t>ByteDance's new AI video generation model Dreamina/Seedance 2.0 comes to CapCut</t>
  </si>
  <si>
    <t>ByteDance ra mắt Seedance 2.0 cho CapCut – Vũ khí AI video mạnh nhất tiếp cận hàng trăm triệu người dùng</t>
  </si>
  <si>
    <t>ByteDance ra mắt Seedance 2.0 (Dreamina) tích hợp trực tiếp vào CapCut với khả năng tạo video dài hơn, chân thực hơn và nhanh hơn đáng kể. Với CapCut có hàng trăm triệu người dùng toàn cầu, Seedance 2.0 ngay lập tức trở thành AI video tool có tầm phủ sóng lớn nhất thế giới. Động thái này là leo thang quan trọng của ByteDance sau khi Sora bị khai tử, và là mối đe dọa trực tiếp đến ngành sản xuất nội dung video.</t>
  </si>
  <si>
    <t>ByteDance; Seedance; CapCut; AI video; TikTok; AI productization; content creation</t>
  </si>
  <si>
    <t>https://www.techinasia.com/banks-crash-wealthtechs-investing-party</t>
  </si>
  <si>
    <t>Banks crash wealthtech's investing party</t>
  </si>
  <si>
    <t>Ngân hàng truyền thống phản công – Wealthtech startup đối mặt cạnh tranh khốc liệt</t>
  </si>
  <si>
    <t>Các ngân hàng lớn đang ra mắt nền tảng đầu tư và quản lý tài sản cạnh tranh trực tiếp với wealthtech startup, leveraging lợi thế data khách hàng, thương hiệu và vốn rẻ. Wealthtech vốn xây dựng thị trường trong 5 năm qua đang đối mặt với áp lực từ Big Finance số hóa. Xu hướng phản ánh giai đoạn consolidation khi ngân hàng truyền thống tăng tốc fintech hóa.</t>
  </si>
  <si>
    <t>wealthtech; neobank; investment platform; fintech; bank competition; consolidation</t>
  </si>
  <si>
    <t>https://techcrunch.com/2026/04/02/elevenlabs-releases-a-new-ai-powered-music-generation-app/</t>
  </si>
  <si>
    <t>ElevenLabs releases a new AI-powered music generation app</t>
  </si>
  <si>
    <t>ElevenLabs ra mắt ứng dụng tạo nhạc AI – Cuộc đua AI audio leo thang thêm một nấc</t>
  </si>
  <si>
    <t>ElevenLabs, startup AI voice hàng đầu, ra mắt ứng dụng tạo nhạc hoàn chỉnh từ prompt văn bản, mở rộng cuộc đua AI music vốn đã nóng với Suno và Udio. ElevenLabs mang lợi thế về chất lượng giọng nói AI sang mảng âm nhạc, hứa hẹn kết quả chất lượng cao hơn. Ngành sản xuất jingle quảng cáo và nhạc nền đối mặt với làn sóng disruption mới.</t>
  </si>
  <si>
    <t>ElevenLabs; AI music; audio generation; AI productization; creator tools; music generation</t>
  </si>
  <si>
    <t>https://vnexpress.net/ba-cong-cu-tao-video-ai-co-the-thay-the-sora-5056931.html</t>
  </si>
  <si>
    <t>Ba công cụ tạo video AI có thể thay thế Sora</t>
  </si>
  <si>
    <t>Kling, Runway và Hailuo – Ba công cụ tạo video AI có thể thay thế Sora</t>
  </si>
  <si>
    <t>Sau khi Sora bị khai tử, Kling (Kuaishou), Runway Gen-3 và Hailuo (MiniMax) được đánh giá là ba ứng viên thay thế mạnh nhất với những điểm mạnh khác nhau: Kling mạnh về độ chân thực, Runway linh hoạt cho creative, Hailuo vượt trội về tốc độ. Cuộc cạnh tranh đang kéo chi phí sản xuất video xuống nhanh chóng. Tín hiệu quan trọng cho mảng AI content tại các nền tảng.</t>
  </si>
  <si>
    <t>AI video; Sora alternative; Kling; Runway; Hailuo; AI tools; video generation</t>
  </si>
  <si>
    <t>https://www.bloomberg.com/news/articles/2026-03-27/meta-to-launch-new-ai-glasses-aimed-at-prescription-wearers?srnd=phx-technology-consumer-tech</t>
  </si>
  <si>
    <t>Meta to launch new AI glasses aimed at prescription wearers</t>
  </si>
  <si>
    <t>Meta ra mắt kính AI dành cho kính thuốc – Mở rộng hệ sinh thái AI wearable sang đại chúng</t>
  </si>
  <si>
    <t>Meta ra mắt phiên bản Ray-Ban mới tích hợp AI được thiết kế cho người dùng kính thuốc, mở rộng thị trường từ kính thời trang sang người cần điều chỉnh thị lực – phân khúc lớn hơn nhiều. Đây là bước đi quan trọng biến AI wearable từ sản phẩm lifestyle sang thiết bị hàng ngày tiếp cận đại chúng. Meta đang xây dựng hệ sinh thái phần cứng AI đối đầu Apple Vision Pro theo phân khúc giá đại trà hơn.</t>
  </si>
  <si>
    <t>Meta; Ray-Ban; AI glasses; wearable AI; hardware; BigTech; prescription</t>
  </si>
  <si>
    <t>https://techcrunch.com/2026/03/31/airbnb-private-car-pick-up-service-welcome-pickups/</t>
  </si>
  <si>
    <t>Airbnb private car pick-up service Welcome Pickups</t>
  </si>
  <si>
    <t>Airbnb triển khai dịch vụ đón riêng qua Welcome Pickups</t>
  </si>
  <si>
    <t>Airbnb tích hợp dịch vụ đón/tiễn bằng xe riêng thông qua đối tác Welcome Pickups vào hành trình đặt chỗ
Người dùng có thể đặt trước phương tiện đưa đón ngay sau khi hoàn tất đặt lưu trú
Dịch vụ hướng đến trải nghiệm liền mạch hơn cho khách du lịch, đặc biệt ở các điểm đến quốc tế
Airbnb tiếp tục mở rộng các tiện ích ngoài lưu trú, nhưng chưa trực tiếp vận hành transport</t>
  </si>
  <si>
    <t>Airbnb; Welcome Pickups; transportation; super-app; travel platform; platform expansion</t>
  </si>
  <si>
    <t>https://genk.vn/mo-hinh-toan-hoc-cua-mit-cho-thay-su-ba-phai-cua-ai-nhu-chatgpt-dang-cuon-nguoi-dung-vao-vong-xoay-hoang-tuong-165260204080952053.chn</t>
  </si>
  <si>
    <t>Mô hình toán học của MIT cho thấy sự bá phải của AI như ChatGPT đang cuốn người dùng vào vòng xoáy hoang tưởng</t>
  </si>
  <si>
    <t>Nghiên cứu MIT: AI hội thoại có thể gây “ảo giác phụ thuộc”</t>
  </si>
  <si>
    <t>Mô hình toán học của MIT chỉ ra AI hội thoại có thể làm tăng xu hướng suy nghĩ sai lệch ở một số người dùng
Người dùng dễ bị cuốn vào vòng lặp xác nhận niềm tin cá nhân khi AI phản hồi liên tục và trơn tru
Rủi ro cao hơn với nhóm người dùng cô lập, căng thẳng hoặc phụ thuộc cảm xúc. Nghiên cứu nhấn mạnh đây là vấn đề tương tác người–máy, không chỉ là lỗi thuật toán</t>
  </si>
  <si>
    <t>ChatGPT; AI hallucination; MIT; LLM behavior; confirmation bias; AI risk</t>
  </si>
  <si>
    <t>https://dantri.com.vn/cong-nghe/con-ga-de-trung-vang-cua-anthropic-bi-lo-ma-nguon-20260401091143923.htm</t>
  </si>
  <si>
    <t>Con gà đẻ trứng vàng của Anthropic bị lộ mã nguồn</t>
  </si>
  <si>
    <t>Anthropic lộ mã nguồn hệ thống sinh doanh thu cốt lõi</t>
  </si>
  <si>
    <t>Một phần mã nguồn nội bộ của Anthropic – liên quan đến sản phẩm sinh doanh thu – đã bị lộ
Sự cố làm dấy lên lo ngại về bảo mật tại các công ty AI lớn, dù chưa ghi nhận thiệt hại cụ thể.Anthropic cho biết đang điều tra và khắc phục để hạn chế rủi ro tiếp theo</t>
  </si>
  <si>
    <t>Anthropic; Claude; source code leak; AI security; IP protection; LLM</t>
  </si>
  <si>
    <t>https://techcrunch.com/2026/04/02/google-now-lets-you-direct-avatars-through-prompts-in-its-vids-app/</t>
  </si>
  <si>
    <t>Google now lets you direct avatars through prompts in its Vids app</t>
  </si>
  <si>
    <t>Google cho phép điều khiển avatar bằng AI prompt trong ứng dụng Vids</t>
  </si>
  <si>
    <t>Google ra mắt tính năng trong Vids cho phép người dùng dùng prompt ngôn ngữ tự nhiên để điều khiển avatar và nhân vật trong video. Đây là bước phát triển nhỏ trong hệ sinh thái Google Workspace AI nhưng cho thấy hướng tích hợp AI vào công cụ năng suất văn phòng. Tính năng này có giá trị chiến lược hạn chế cho thị trường Đông Nam Á trong ngắn hạn.</t>
  </si>
  <si>
    <t>Google; avatar; AI prompt; Vids; video generation; Workspace AI</t>
  </si>
  <si>
    <t>https://vneconomy.vn/techconnect/nam-tai-chinh-2026-cmc-dat-muc-tieu-tang-truong-doanh-thu-tren-20-moi-nam.htm</t>
  </si>
  <si>
    <t>Năm tài chính 2026, CMC đặt mục tiêu tăng trưởng doanh thu trên 20% mỗi năm</t>
  </si>
  <si>
    <t>CMC đặt mục tiêu tăng doanh thu 20%+ năm 2026 – Kỳ vọng tích cực từ thị trường IT services</t>
  </si>
  <si>
    <t>CMC Corporation đặt mục tiêu tăng trưởng doanh thu trên 20% mỗi năm trong năm tài chính 2026, tập trung vào AI services, cloud và digital transformation. Đây là tín hiệu từ công ty công nghệ hàng đầu Việt Nam về triển vọng tích cực của thị trường IT services nội địa. Mức tăng trưởng kỳ vọng phản ánh nhu cầu chuyển đổi số đang tăng tốc của doanh nghiệp Việt Nam.</t>
  </si>
  <si>
    <t>CMC; Vietnam tech; revenue target; IT services; AI services; cloud; digital transformation</t>
  </si>
  <si>
    <t>https://dantri.com.vn/cong-nghe/tiet-lo-moi-ve-moi-quan-he-giua-apple-va-google-20260329170911100.htm</t>
  </si>
  <si>
    <t>Tiết lộ mới về mối quan hệ giữa Apple và Google</t>
  </si>
  <si>
    <t>Hé lộ thêm quan hệ Apple – Google trong AI &amp; tìm kiếm</t>
  </si>
  <si>
    <t>Apple vẫn phụ thuộc Google ở nhiều lớp công nghệ, đặc biệt là search và AI nền tảng
Hai bên vừa hợp tác vừa cạnh tranh trong các mảng AI, assistant và hệ điều hành. Các thỏa thuận giữa Apple và Google tiếp tục là điểm nóng giám sát của regulator. AI khiến mối quan hệ này chặt chẽ hơn, thay vì tách rời</t>
  </si>
  <si>
    <t>Apple; Google; AI partnership; search market; BigTech; antitrust; data sharing</t>
  </si>
  <si>
    <t>https://vnexpress.net/nhung-diem-moi-cua-luat-so-huu-tri-tue-5057018.html</t>
  </si>
  <si>
    <t>Những điểm mới của Luật Sở hữu trí tuệ</t>
  </si>
  <si>
    <t>Luật Sở hữu trí tuệ sửa đổi: Những điểm mới tác động đến nội dung số và AI</t>
  </si>
  <si>
    <t>Luật SHTT sửa đổi bổ sung các quy định mới về quyền tác giả trong môi trường số, bao gồm xử lý nội dung do AI tạo ra và quyền của creator trên nền tảng UGC. Đây là lần sửa đổi lớn nhất kể từ 2022, ảnh hưởng trực tiếp đến doanh nghiệp công nghệ và nền tảng nội dung. Các super-app tích hợp AI sáng tạo cần rà soát lại Terms of Service theo quy định mới.</t>
  </si>
  <si>
    <t>IP law; copyright; Vietnam; digital content; AI content; UGC; regulation</t>
  </si>
  <si>
    <t>https://www.techinasia.com/indian-fintech-firm-unlocking-elective-healthcare</t>
  </si>
  <si>
    <t>Indian fintech firm unlocking elective healthcare</t>
  </si>
  <si>
    <t>Fintech Ấn Độ mở khóa tài chính y tế tự nguyện – Hướng đi mới của embedded finance</t>
  </si>
  <si>
    <t>Startup fintech Ấn Độ ra mắt sản phẩm cho phép người dùng truy cập tài chính để chi trả cho dịch vụ y tế tự nguyện như phẫu thuật thẩm mỹ và điều trị không khẩn cấp. Mô hình embedded finance trong healthcare lấp đầy khoảng trống bảo hiểm y tế tại các thị trường mới nổi. Hướng đi thú vị nhưng cần nghiên cứu thêm về khả năng áp dụng tại Việt Nam.</t>
  </si>
  <si>
    <t>India fintech; healthcare finance; BNPL; embedded finance; health; emerging markets</t>
  </si>
  <si>
    <t>https://techcrunch.com/2026/04/02/uniteds-mobile-app-now-shows-tsa-wait-times-at-select-airports/</t>
  </si>
  <si>
    <t>United's mobile app now shows TSA wait times at select airports</t>
  </si>
  <si>
    <t>Ứng dụng United Airlines tích hợp thời gian chờ TSA – Mô hình vertical super-app</t>
  </si>
  <si>
    <t>United Airlines tích hợp thông tin thời gian chờ tại cửa an ninh TSA theo thời gian thực vào ứng dụng, giúp hành khách lên kế hoạch di chuyển sân bay tốt hơn. Đây là ví dụ về vertical app tích hợp thêm dữ liệu bên ngoài để tăng giá trị người dùng. Tín hiệu liên quan đến xu hướng thiết kế super-app nhưng ảnh hưởng trực tiếp đến thị trường Việt Nam hạn chế.</t>
  </si>
  <si>
    <t>United Airlines; TSA; airport; travel app; super-app; vertical integration</t>
  </si>
  <si>
    <t>https://vnexpress.net/chatbot-xu-ninh-mat-trai-cua-ai-5056522.html</t>
  </si>
  <si>
    <t>Chatbot xu nịnh: Mặt trái của AI</t>
  </si>
  <si>
    <t>Chatbot xu nịnh: Khi AI được huấn luyện để làm hài lòng người dùng hơn là nói thật</t>
  </si>
  <si>
    <t>Phân tích chuyên sâu về AI sycophancy – tình trạng chatbot đồng ý và ca ngợi người dùng quá mức thay vì cung cấp phản hồi trung thực, do các model được tối ưu cho user satisfaction. Người dùng tin câu trả lời của AI hơn khi AI liên tục xác nhận quan điểm của họ. Rủi ro thiết kế quan trọng khi tích hợp AI assistant trong dịch vụ tư vấn tài chính và sức khỏe.</t>
  </si>
  <si>
    <t>AI sycophancy; ChatGPT; LLM behavior; user trust; AI ethics; RLHF; alignment</t>
  </si>
  <si>
    <t>https://vnexpress.net/nguoi-dung-di-dong-tu-xac-thuc-sim-chinh-chu-tren-vneid-5058131.html</t>
  </si>
  <si>
    <t>Người dùng di động tự xác thực SIM chính chủ trên VNEID</t>
  </si>
  <si>
    <t>Người dùng di động tự xác thực SIM chính chủ trên VNEID – Triển khai toàn quốc</t>
  </si>
  <si>
    <t>Bộ TT&amp;TT triển khai tính năng cho phép người dùng tự xác thực SIM chính chủ qua ứng dụng VNEID mà không cần đến điểm giao dịch nhà mạng. Đây là bước tiến số hóa toàn bộ quy trình định danh viễn thông, giảm tải cho các nhà mạng. Cơ sở hạ tầng identity này là nền tảng cho mở tài khoản ngân hàng, đăng ký ví điện tử và xác thực giao dịch số.</t>
  </si>
  <si>
    <t>VNEID; SIM authentication; eKYC; digital identity; Bộ TT&amp;TT; mobile verification</t>
  </si>
  <si>
    <t>https://www.techinasia.com/news/china-issues-ecommerce-rules-eu-concerns</t>
  </si>
  <si>
    <t>China issues e-commerce rules amid EU concerns</t>
  </si>
  <si>
    <t>Trung Quốc ban hành quy tắc TMĐT mới – EU lo ngại cạnh tranh không công bằng từ Temu và Shein</t>
  </si>
  <si>
    <t>Trung Quốc ban hành bộ quy tắc mới kiểm soát các nền tảng TMĐT xuyên biên giới, liên quan đến định giá, trợ cấp và tiêu chuẩn sản phẩm. EU bày tỏ lo ngại về cạnh tranh không công bằng khi hàng hóa Trung Quốc trên Temu và Shein không tuân thủ tiêu chuẩn EU. Quy định phản ánh xu hướng địa chính trị hóa thương mại điện tử đang tăng tốc toàn cầu.</t>
  </si>
  <si>
    <t>China; e-commerce regulation; EU; Temu; Shein; cross-border; geopolitics; compliance</t>
  </si>
  <si>
    <t>https://www.techinasia.com/news/tiktok-applies-fintech-license-brazil</t>
  </si>
  <si>
    <t>TikTok applies for fintech license in Brazil</t>
  </si>
  <si>
    <t>TikTok xin cấp phép fintech tại Brazil – ByteDance đẩy mạnh chiến lược super-app toàn cầu</t>
  </si>
  <si>
    <t>TikTok nộp đơn xin cấp phép fintech tại Brazil, bước đầu trong chiến lược mở rộng dịch vụ thanh toán sang thị trường Mỹ Latinh sau thành công tại Đông Nam Á. ByteDance đang xây dựng hạ tầng super-app toàn cầu với fintech là trụ cột thứ hai bên cạnh entertainment. Với hiện diện mạnh của TikTok tại Việt Nam, đây là tín hiệu rõ về hướng phát triển super-app của đối thủ cạnh tranh trực tiếp.</t>
  </si>
  <si>
    <t>TikTok; fintech license; Brazil; super-app; payment expansion; ByteDance; global expansion</t>
  </si>
  <si>
    <t>https://techcrunch.com/2026/04/02/beehiiv-expands-into-podcasts-taking-aim-at-patreon-substack-newsletters/</t>
  </si>
  <si>
    <t>Beehiiv expands into podcasts, taking aim at Patreon, Substack newsletters</t>
  </si>
  <si>
    <t>Beehiiv mở rộng sang podcast – Thách thức Patreon và Substack trong creator economy</t>
  </si>
  <si>
    <t>Beehiiv, nền tảng newsletter đang tăng trưởng nhanh, mở rộng sang podcast để tạo hệ sinh thái creator media toàn diện, cạnh tranh trực tiếp Patreon và Substack. Phản ánh xu hướng consolidation của creator economy khi các nền tảng chuyên biệt cần mở rộng để tạo thêm giá trị. Không có tác động trực tiếp lớn đến thị trường Việt Nam.</t>
  </si>
  <si>
    <t>Beehiiv; podcast; creator economy; Patreon; Substack; newsletter; platform expansion</t>
  </si>
  <si>
    <t>https://www.techinasia.com/news/austria-block-jdcoms-ceconomy-acquisition</t>
  </si>
  <si>
    <t>Austria to block JD.com's Ceconomy acquisition</t>
  </si>
  <si>
    <t>Áo chặn JD.com mua Ceconomy – Làn sóng kiểm soát đầu tư Trung Quốc vào bán lẻ châu Âu</t>
  </si>
  <si>
    <t>Áo chính thức chặn thương vụ JD.com mua lại Ceconomy (MediaMarkt, Saturn) với lý do an ninh dữ liệu và cạnh tranh, gửi tín hiệu rõ ràng về rào cản M&amp;A xuyên biên giới đối với BigTech Trung Quốc. Quyết định này phản ánh làn sóng de-risking địa chính trị ngày càng mạnh tại châu Âu. Xu hướng kiểm soát đầu tư công nghệ Trung Quốc sẽ tiếp tục ảnh hưởng đến chiến lược mở rộng toàn cầu.</t>
  </si>
  <si>
    <t>JD.com; Ceconomy; M&amp;A; EU regulation; China tech; geopolitics; data security</t>
  </si>
  <si>
    <t>https://vneconomy.vn/techconnect/khi-nguoi-dung-tu-nop-du-lieu-cho-ai-rui-ro-moi-cua-thoi-dai-so.htm</t>
  </si>
  <si>
    <t>Khi người dùng tự nộp dữ liệu cho AI: Rủi ro mới của thời đại số</t>
  </si>
  <si>
    <t>Người dùng vô tình xây hồ sơ dữ liệu khi nộp thông tin cho AI – Rủi ro mới chưa được luật điều chỉnh</t>
  </si>
  <si>
    <t>Khi người dùng chủ động nhập thông tin cá nhân vào AI (lịch sử giao dịch, tài liệu sức khỏe, dữ liệu tài chính), họ vô tình tạo hồ sơ dữ liệu chi tiết ngoài tầm kiểm soát của các quy định bảo vệ dữ liệu hiện hành. Tại Việt Nam, nhận thức về rủi ro này còn thấp và chưa có hướng dẫn pháp lý cụ thể. Đây là góc độ quan trọng khi thiết kế tính năng AI trên các nền tảng super-app.</t>
  </si>
  <si>
    <t>AI data privacy; user data; AI risk; Vietnam; digital literacy; data protection</t>
  </si>
  <si>
    <t>https://techcrunch.com/2026/04/01/cameo-partners-with-tiktok-to-boost-popularity/</t>
  </si>
  <si>
    <t>Cameo partners with TikTok to boost popularity</t>
  </si>
  <si>
    <t>Cameo hợp tác TikTok – Đặt video từ người nổi tiếng trực tiếp trong hệ sinh thái TikTok</t>
  </si>
  <si>
    <t>Cameo tích hợp vào TikTok cho phép người dùng đặt video cá nhân hóa từ người nổi tiếng ngay trong môi trường TikTok. Đây là cách nền tảng creator economy nhỏ leverages hệ sinh thái BigTech để mở rộng phạm vi. Không có tác động chiến lược lớn đến thị trường Việt Nam trong ngắn hạn.</t>
  </si>
  <si>
    <t>Cameo; TikTok; creator economy; partnership; celebrity; fan experience</t>
  </si>
  <si>
    <t>https://vnexpress.net/google-cho-dich-cuoc-noi-chuyen-truc-tiep-bang-iphone-5055797.html</t>
  </si>
  <si>
    <t>Google cho dịch cuộc nói chuyện trực tiếp bằng iPhone</t>
  </si>
  <si>
    <t>Google cho dịch hội thoại trực tiếp trên iPhone</t>
  </si>
  <si>
    <t>Google triển khai tính năng dịch hội thoại thời gian thực trên iPhone. Người dùng iOS có thể sử dụng mà không cần thiết bị Android
Tính năng nhắm đến nhu cầu du lịch, giao tiếp đa ngôn ngữ. Google tiếp tục mở rộng các dịch vụ AI độc lập với nền tảng hệ điều hành</t>
  </si>
  <si>
    <t>Google; real-time translation; iPhone; AI assistant; language AI; iOS; multilingual</t>
  </si>
  <si>
    <t>https://techcrunch.com/2026/03/31/go-play-this-secret-game-in-your-tiktok-dms/</t>
  </si>
  <si>
    <t>Go play this secret game in your TikTok DMs</t>
  </si>
  <si>
    <t>TikTok ra mắt mini‑game “bí mật” trong DM</t>
  </si>
  <si>
    <t>TikTok âm thầm triển khai một mini‑game ẩn, truy cập qua tin nhắn DM. Người chơi chỉ có thể tham gia thông qua liên kết chia sẻ nội bộ. Không có thông báo chính thức, mang tính thử nghiệm viral. 
Game nhằm tăng tương tác trong kênh nhắn tin riêng, không phải feed công khai.</t>
  </si>
  <si>
    <t>TikTok; gaming; DMs; gamification; messaging app; WeChat model; platform features</t>
  </si>
  <si>
    <t>https://vnexpress.net/kiosk-thong-minh-giup-lam-thu-tuc-hanh-chinh-duoi-5-phut-5056486.html</t>
  </si>
  <si>
    <t>Kiosk thông minh giúp làm thủ tục hành chính dưới 5 phút</t>
  </si>
  <si>
    <t>Kiosk thông minh xử lý thủ tục hành chính dưới 5 phút – Số hóa dịch vụ công tăng tốc</t>
  </si>
  <si>
    <t>Hà Nội triển khai thí điểm kiosk thông minh tích hợp VNEID và biometric, cho phép công dân hoàn tất thủ tục hành chính cơ bản trong dưới 5 phút. Đây là bước hiện thực hóa chiến lược one-stop-shop của chính phủ điện tử, giảm thời gian chờ đợi và nhân lực. Mô hình kiosk self-service có thể là gợi ý cho thiết kế điểm dịch vụ của super-app kết hợp dịch vụ công.</t>
  </si>
  <si>
    <t>e-government; smart kiosk; Vietnam; digital services; VNEID; biometric; public service</t>
  </si>
  <si>
    <t>https://techcrunch.com/2026/03/31/caller-id-app-truecaller-hits-500-million-monthly-users/</t>
  </si>
  <si>
    <t>Caller ID app Truecaller hits 500 million monthly users</t>
  </si>
  <si>
    <t>Truecaller đạt 500 triệu người dùng hàng tháng – Caller ID thành nền tảng identity toàn cầu</t>
  </si>
  <si>
    <t>Truecaller đạt cột mốc 500 triệu MAU, củng cố vị thế dẫn đầu tuyệt đối trong mảng caller ID và spam detection toàn cầu. Tăng trưởng chủ yếu đến từ Ấn Độ và châu Phi nơi nhu cầu lọc cuộc gọi rất cao. Con số 500M MAU là mốc đáng chú ý phản ánh quy mô nền tảng identity/communication lớn ngoài Big Tech.</t>
  </si>
  <si>
    <t>Truecaller; caller ID; monthly users; growth milestone; identity; spam detection</t>
  </si>
  <si>
    <t>https://vnexpress.net/wikipedia-cam-noi-dung-ai-5056352.html</t>
  </si>
  <si>
    <t>Wikipedia cấm nội dung AI</t>
  </si>
  <si>
    <t>Wikipedia cấm toàn bộ nội dung do AI tạo ra – Precedent mới cho chất lượng thông tin số</t>
  </si>
  <si>
    <t>Wikipedia ban hành chính sách cấm nội dung AI trong bài viết, yêu cầu mọi đóng góp phải từ con người có nguồn trích dẫn xác thực. Quyết định phản ánh cuộc tranh luận lớn về chất lượng thông tin trong kỷ nguyên AI generative. Đây là precedent quan trọng trong ngành nội dung số về phân biệt human-generated và AI-generated content.</t>
  </si>
  <si>
    <t>Wikipedia; AI content ban; content policy; information quality; AI governance; trust</t>
  </si>
  <si>
    <t>https://dantri.com.vn/cong-nghe/doi-thiet-bi-khong-xac-thuc-lai-khuon-mat-se-bi-khoa-2-chieu-sau-30-ngay-20260403142249103.htm</t>
  </si>
  <si>
    <t>Đổi thiết bị không xác thực lại khuôn mặt sẽ bị khóa 2 chiều sau 30 ngày</t>
  </si>
  <si>
    <t>Thiết bị đổi mới không xác thực lại khuôn mặt bị khóa 2 chiều sau 30 ngày – Siết chặt eKYC</t>
  </si>
  <si>
    <t>Từ 30/4, thiết bị di động đổi mới mà không hoàn thành xác thực lại khuôn mặt sẽ bị khoá toàn bộ giao dịch tài chính. Quy định xuất phát từ lộ trình chuẩn hóa eKYC của NHNN nhằm đảm bảo danh tính chính chủ trong thanh toán điện tử. Đây là áp lực trực tiếp lên các nền tảng ví điện tử và super-app cần cập nhật cơ chế xác thực toàn bộ cơ sở khách hàng.</t>
  </si>
  <si>
    <t>eKYC; định danh số; VNEID; xác thực khuôn mặt; NHNN; fintech regulation</t>
  </si>
  <si>
    <t>https://genk.vn/deepseek-gap-su-co-ai-keo-dai-hon-7-gio-dai-nhat-tu-dau-2025-165260401054622984.chn</t>
  </si>
  <si>
    <t>DeepSeek gặp sự cố AI kéo dài hơn 7 giờ, dài nhất từ đầu 2025</t>
  </si>
  <si>
    <t>DeepSeek gặp sự cố AI kéo dài hơn 7 giờ</t>
  </si>
  <si>
    <t>DeepSeek bị ngừng hoạt động hơn 7 giờ, sự cố dài nhất từ đầu 2025. Người dùng không thể truy cập dịch vụ trong thời gian gián đoạn. 
Nguyên nhân liên quan đến hạ tầng điện toán không đủ chịu tải khi lượng người dùng tăng đột biến. Sự cố cho thấy thách thức về hạ tầng và độ ổn định của nền tảng AI</t>
  </si>
  <si>
    <t>DeepSeek; AI outage; reliability; AI infrastructure; China AI; uptime</t>
  </si>
  <si>
    <t>https://vneconomy.vn/techconnect/cuoc-dua-khoc-liet-tao-video-bang-ai-sau-quyet-dinh-khai-tu-sora-ai-cua-openai.htm</t>
  </si>
  <si>
    <t>Cuộc đua khốc liệt tạo video bằng AI sau quyết định khai tử Sora AI của OpenAI</t>
  </si>
  <si>
    <t>Cuộc đua AI tạo video sau khi OpenAI thu hẹp Sora</t>
  </si>
  <si>
    <t>OpenAI thu hẹp/kết thúc Sora AI, tạo khoảng trống trong mảng AI video
Kling (Kuaishou), Runway và Hailuo (MiniMax) đang nổi lên như ba ứng viên thay thế mạnh nhất trong cuộc đua AI video. Các mô hình liên tục phá vỡ benchmark về chất lượng và tốc độ, kéo chi phí sản xuất nội dung video xuống nhanh chóng. Ngành AI video đang bước vào giai đoạn cạnh tranh giá và chất lượng thay vì đổi mới đột phá.</t>
  </si>
  <si>
    <t>AI video; Sora; Kling; Runway; Hailuo; AI productization; content creation</t>
  </si>
  <si>
    <t>https://www.techinasia.com/news/bitget-launches-visa-crypto-card-apac</t>
  </si>
  <si>
    <t>Bitget launches Visa crypto card for APAC</t>
  </si>
  <si>
    <t>Bitget ra mắt thẻ Visa crypto tại APAC</t>
  </si>
  <si>
    <t>Bitget ra mắt thẻ Visa prepaid liên kết tài khoản crypto tại khu vực APAC, cho phép chi tiêu tiền số tại mọi điểm chấp nhận Visa
Đây là nỗ lực đưa crypto vào thanh toán chủ lưu tại khu vực có tỷ lệ crypto adoption cao như Việt Nam và Philippines. Mô hình crypto card đang được nhiều exchange lớn theo đuổi như cầu nối DeFi – thanh toán truyền thống.</t>
  </si>
  <si>
    <t>Bitget; Visa; crypto card; APAC; digital payment; DeFi; crypto mainstream</t>
  </si>
  <si>
    <t>https://techcrunch.com/2026/03/28/bluesky-leans-into-ai-with-attie-an-app-for-building-custom-feeds/</t>
  </si>
  <si>
    <t>Bluesky leans into AI with Attie, an app for building custom feeds</t>
  </si>
  <si>
    <t>Bluesky ra mắt Attie – AI cá nhân hóa feed bằng ngôn ngữ tự nhiên trong mạng xã hội phi tập trung</t>
  </si>
  <si>
    <t>Bluesky giới thiệu Attie, ứng dụng cho phép người dùng mô tả feed mong muốn bằng ngôn ngữ tự nhiên thay vì cấu hình thủ công, sử dụng AI để xây dựng thuật toán tùy chỉnh. Đây là ứng dụng AI đầu tiên của Bluesky, thu hút người dùng rời Twitter/X tìm mạng xã hội minh bạch hơn. Tín hiệu về xu hướng AI personalization không bị kiểm soát bởi thuật toán tập trung.</t>
  </si>
  <si>
    <t>Bluesky; AI feed; Attie; decentralized social; personalization; Twitter alternative</t>
  </si>
  <si>
    <t>https://www.techinasia.com/news/ai-online-shopping-hits-82-indonesia-report</t>
  </si>
  <si>
    <t>AI online shopping hits 82% in Indonesia: Report</t>
  </si>
  <si>
    <t xml:space="preserve"> 82% người dùng Indonesia mua sắm online có yếu tố AI</t>
  </si>
  <si>
    <t>Báo cáo cho thấy 82% người mua sắm online tại Indonesia đã tiếp cận tính năng AI.
AI được dùng chủ yếu trong gợi ý sản phẩm, tìm kiếm và hỗ trợ chat.Người tiêu dùng ngày càng kỳ vọng AI là một phần mặc định của TMĐT.Indonesia nổi lên như thị trường AI commerce tăng trưởng nhanh ở Đông Nam Á.</t>
  </si>
  <si>
    <t>Indonesia; AI shopping; e-commerce; SEA; AI adoption; market research; consumer behavior</t>
  </si>
  <si>
    <t>https://www.momo.vn/tin-tuc/thong-bao/sap-ra-mat-homie-tram-ket-noi-gia-dinh-ngay-tren-8574</t>
  </si>
  <si>
    <t>MoMo nhà mình: Trạm kết nối gia đình ngay trên Momo</t>
  </si>
  <si>
    <t>MoMo nhà mình: Trạm kết nối gia đình</t>
  </si>
  <si>
    <t>Tính năng mới giúp kết nối các tài khoản MoMo riêng của ba mẹ và con, dự kiến ra mắt từ 31/03/2026, triển khai theo từng đợt cho một số gia đình trải nghiệm sớm:​
Tối đa 1 MoMo Nhà Mình tại một thời điểm​
Tối đa 10 thành viên/ 1 MoMo Nhà Mình​
Tính năng chính: Nhiệm vụ xin thưởng (Cha mẹ tạo nhiệm vụ cho con); Nhật ký nhà mình; Góp tiếp sức bằng meme; Quản lý chi tiêu</t>
  </si>
  <si>
    <t>MoMo nhà mình;MoMo; kết nối gia đình; quản lý chi tiêu gia đình; tài chính cho con; giáo dục tài chính; gắn kết gia đình</t>
  </si>
  <si>
    <t>Nhóm gia đình</t>
  </si>
  <si>
    <t>https://www.momo.vn/tin-tuc/khuyen-mai/thang-tu-la-loi-tien-that-co-hoi-cung-chia-thuong-8592</t>
  </si>
  <si>
    <t>Tháng Tư là lời… lì xì thật: Cơ hội cùng chia thưởng 1 triệu Xu, rinh 1 chỉ vàng hoặc lì xì đến 10 triệu</t>
  </si>
  <si>
    <t>Chuyển tiền qua ví: chuyển tiền 111đ – Tổng giá trị tới 1 triệu xu; 10 triệu tiền mặt</t>
  </si>
  <si>
    <t>Chiến dịch khuyến mãi dựa trên hành vi chuyển tiền P2P​
Cách thức: Chuyển tiền tới ví MoMo đúng 111đ và nhận ngẫn nhiên ưu đãi trong 24h​
Ưu đãi: 1 triệu xu; Cặp vé máy bay ~10 triệu; Hoàn tiền 10 triệu; Cặp vé xem phim ~100k tiền mặt</t>
  </si>
  <si>
    <t>Khuyến mãi MoMo; Chuyển tiền MoMo; Chia thưởng tiền mặt; Xu MoMo; Túi Thần Tài; ưu đãi tháng 4; lì xì MoMo; ví điện tử MoMo; chương trình tri ân</t>
  </si>
  <si>
    <t>Chuyển tiền tới SĐT</t>
  </si>
  <si>
    <t>https://www.momo.vn/tin-tuc/khuyen-mai/giam-them-10-toi-da-100000d-tren-app-guardian-vn-8591</t>
  </si>
  <si>
    <t>Giảm thêm 10% tối đa 100.000đ trên app Guardian VN với mã MOMOBEAUTY cực hời</t>
  </si>
  <si>
    <t>MoMo x Guardian VN: Ưu đãi giảm 10% (tối đa 100.000đ) cho đơn đầu tiên trên app Guardian VN</t>
  </si>
  <si>
    <t>Đối tượng: khách hàng mới có đơn hàng online đầu tiên trên app Guardian VN khi thanh toán bằng MoMo​
Cơ chế: sử dụng mã MoMoBEAUTY khi thanh toán; giảm 10% tối đa 100.000đ ​
Tối đa 01 lần/ khách hàng</t>
  </si>
  <si>
    <t>https://www.momo.vn/tin-tuc/khuyen-mai/thanh-toan-quoc-te-qua-momo-tai-mang-luoi-napas-8596</t>
  </si>
  <si>
    <t>Thanh toán quốc tế qua Momo</t>
  </si>
  <si>
    <t>Payment integration</t>
  </si>
  <si>
    <t>MoMo x NAPAS: Thanh toán Quốc tế qua MoMo tại Mạng lưới NAPAS: Hoàn tiền đến 50%</t>
  </si>
  <si>
    <t>Phạm vi: sử dụng MoMo thanh toán tại các cửa hàng thuộc mạng lưới liên thông Napas quốc tế​
Ưu đãi: Hoàn 50% tới 200k cho đơn giá trị từ 200k​
Giới hạn: Mỗi khách hàng được hưởng ưu đãi tối đa 3 lần</t>
  </si>
  <si>
    <t>NAPAS; Thanh toán quốc tế; VietQR Global</t>
  </si>
  <si>
    <t>Thanh toán quốc tế</t>
  </si>
  <si>
    <t>Ngày Vàng Mời Bạn trở lại: 100% nhận thưởng 100K hoặc 999K tiền mặt khi giới thiệu MoMo. Tổng thưởng 1 tỷ!</t>
  </si>
  <si>
    <t>Ngày vàng mừng bạn trả lại: giới thiệu bạn bè, thưởng tiền mặt (Lần 2 trong năm)</t>
  </si>
  <si>
    <t>Người giới thiệu nhận 100% thưởng tiền mặt (100.000đ hoặc 999.000đ) khi người được mời hoàn tất giao dịch đầu tiên (nạp tối thiểu 10.000đ) trong khung giờ vàng 11h–18h</t>
  </si>
  <si>
    <t>Mời bạn mới; Ngày vàng; Nạp tiền vào Momo</t>
  </si>
  <si>
    <t>https://vinwonders.com/vi/uu-dai/zalopay-nhan-uu-dai-dat-vinpearl-vinwonders/?utm_source=chatgpt.com</t>
  </si>
  <si>
    <t>Thanh toán dễ dàng - Mở ngàn trải nghiệm - Nhận ưu đãi Vinpearl, Vinwonder cực khủng</t>
  </si>
  <si>
    <t>ZaloPay x VinPearl x VinWonders: Thanh toán ZaloPay nhận combo ưu đãi tới 2 triệu VNĐ</t>
  </si>
  <si>
    <t>Đây partnership campaign theo vertical Du lịch - Giải trí nhằm thúc đẩy Thanh toán bằng Zalopay/ Zalopay Later khi đặt phòng Vinpearl hoặc vé vui chơi VinWonders
- Hoàn tiền mọi giao dịch: từ 5k đến 1 triệu VNĐ
- Giảm giá trực tiếp cho khách hàng thanh toán lần đầu
- Ưu đãi khi thanh toán bằng ví trả sau: Giảm 20k đến 50% max 100k</t>
  </si>
  <si>
    <t>Thanh toán du lịch đi lại; Thanh toán vé vui chơi; Hoàn tiền; Giảm giá trực tiếp; Ưu đãi</t>
  </si>
  <si>
    <t>Du lịch đi lại; Vui chơi</t>
  </si>
  <si>
    <t>Sale du lịch lễ lớn 4.4</t>
  </si>
  <si>
    <t>ZaloPay triển khai Sale du lịch lễ lớn 4.4</t>
  </si>
  <si>
    <t>Seasonal mega campaign (travel vertical), tận dụng peak nhu cầu dịp lễ để kéo booking vé, khách sạn và di chuyển vào hệ sinh thái ZaloPay
- Flash sale 12h 4.4: Giảm 1 triệu hoặc 44% tối đa 44k
- Flash sale 12h 1.4 - 7.4: Giảm 50% tối đa 200k mỗi ngày
- 03/04 - 04/04: Voucher giảm 44% tối đa 14k và 44k
- Duy nhất ngày 01/04: Đổi voucher bằng xu, Voucher 44% tối đa 100k, Giảm 4% tối đa 400k
MoMo cũng triển khai chiến dịch Sale ngày đôi mua du lịch tương tự</t>
  </si>
  <si>
    <t xml:space="preserve">Flashsale; Thanh toán du lịch đi lại; </t>
  </si>
  <si>
    <t>Ưu đãi tháng 4 tại Fahasa</t>
  </si>
  <si>
    <t>ZaloPay x Fahasa: Ưu đãi khi thanh toán bằng ZaloPay trên website/ app</t>
  </si>
  <si>
    <t>Partnership Campaign thúc đẩy hành vi thanh toán bằng ZaloPay - ví trả sau trên web/ app Fahasa
- Giảm 25k đơn từ 150k thanh toán bằng Tài khoản trả sau đến 30/4
- Giảm 15k đơn từ 300k thanh toán bằng ZalopPay đến 30/4
- Giảm 50k đơn từ 300k ngày 1, 8, 15 và 25/4
- Giảm 30k đơn từ 300k ngày 1,8,15,25/4
- Điều kiện: 1 lần/ tháng</t>
  </si>
  <si>
    <t>Thanh toán ZaloPay;  Thanh toán ví trả sau; Thanh toán mua sách</t>
  </si>
  <si>
    <t>Nhà sách</t>
  </si>
  <si>
    <t>Sắm hè thả ga tại YAME</t>
  </si>
  <si>
    <t>ZaloPay x YAME: Ưu đãi khi thanh toán bằng ZaloPay tại hệ thống YAME</t>
  </si>
  <si>
    <t>Partnership Campaign thúc đẩy hành vi thanh toán bằng ZaloPay - ví trả sau trên web/ app Yame​
Giảm 25K đơn từ 400K​
Giảm 50K đơn từ 550K​
Điều kiện: 1 lần/ tháng</t>
  </si>
  <si>
    <t>Thanh toán ZaloPay;  Thanh toán ví trả sau; Thanh toán mua quần áo; Thanh toán thời trang</t>
  </si>
  <si>
    <t>Thời trang</t>
  </si>
  <si>
    <t>Mùa hè trải nghiệm tại Biti's</t>
  </si>
  <si>
    <t>ZaloPay x Bit's: Ưu đãi khi thanh toán bằng ZaloPay trên website/ cửa hàng</t>
  </si>
  <si>
    <t>Partnership Campaign thúc đẩy hành vi thanh toán bằng ZaloPay - ví trả sau trên web hoặc hệ thống cửa hàng Biti's
- Giảm 25K đơn từ 400K
- Giảm 50K đơn từ 550K
- Điều kiện: 1 lần/ tháng</t>
  </si>
  <si>
    <t>Thanh toán ZaloPay;  Thanh toán ví trả sau; Thanh toán mua giày; Thanh toán thời trang</t>
  </si>
  <si>
    <t>Tặng voucher nạp game giảm 50%</t>
  </si>
  <si>
    <t>ZaloPay x NPH Game: Ưu đãi khi thanh toán nạp game lần đầu</t>
  </si>
  <si>
    <t>Thúc đẩy adoption người dùng thanh toán nạp game bằng ZaloPay
- Đối tượng: Khách hàng chưa từng phát sinh bất kì giao dịch nạp game
- Cách thức: Giảm 50% tối đa 10k nạp game bằng ZaloPay
- Phạm vi: VNGGames, VMGE Games, ACE Games, JEDI Games, JoyGames, MiGame, OEG Game</t>
  </si>
  <si>
    <t>Thanh toán ZaloPay;  Thanh toán ví trả sau; Thanh toán nạp game</t>
  </si>
  <si>
    <t>Grab Website</t>
  </si>
  <si>
    <t>Đường đua gia nhập hội chủ shop</t>
  </si>
  <si>
    <t>Grab áp dụng gamification milestone để tăng tần suất sử dụng GrabExpress trong tệp seller SME</t>
  </si>
  <si>
    <t>Milestone 1: hoàn thành 5 đơn → 5x voucher giảm 10% cước GrabExpress Ưu Tiên, tối đa 30K/voucher
Milestone 2: hoàn thành 10 đơn → 5x voucher giảm 15%, tối đa 30K/voucher
Final Reward: hoàn thành 15 đơn → 20x voucher giảm 20%, tối đa 30K/voucher
Giới hạn suất: 47.104 / 24.476 / 9.795 theo từng mốc — trao theo thứ tự đạt sớm nhất</t>
  </si>
  <si>
    <t>GrabExpress ;ChallengeMechanic ;MilestoneReward ;GamificationB2B ;ChủShop ;LogisticsPromotion ;VoucherGiảmCước ;LimitedSupply ;Tháng4/2026</t>
  </si>
  <si>
    <t>Giao hàng</t>
  </si>
  <si>
    <t>GrabExpress</t>
  </si>
  <si>
    <t>Một chạm dọn bill, Chill trên xe điện</t>
  </si>
  <si>
    <t>Thanh toán hóa đơn - Cơ hội trúng xe điện và chai 20 triệu xu</t>
  </si>
  <si>
    <t>Nhằm thúc đẩy hành vi thanh toán hóa đơn, ZaloPay triển khai chương trình giải thưởng: 
- Điều kiện: Khách hàng thanh toán thành công bất kì hóa đơn gì
- Giải thưởng: Xe điện (18 triệu) hoàn vào Số dư sinh lời cho KH thanh toán sớm nhất có đuôi giao dịch 888 hoặc 666
- Giải thưởng: Xu mệnh giá ngẫu nhiên khi thực hiện thanh toán thành công cặp hóa đơn Điện - Nước
- Ngày trao thưởng: 20 triệu xu và xe điện - 11/5/2026</t>
  </si>
  <si>
    <t>Thanh toán ZaloPay;  Thanh toán ví trả sau; Thanh toán hóa đơn</t>
  </si>
  <si>
    <t>Hóa đơn</t>
  </si>
  <si>
    <t>Grab App</t>
  </si>
  <si>
    <t>Car xe điện giảm 20%</t>
  </si>
  <si>
    <t>GrabCar xe điện: Ưu đãi giảm 20%</t>
  </si>
  <si>
    <t>- Ưu đãi giảm 20% tối đa 50k áp dụng cho dịch vụ Car Xe điện tại các thành phố nhất định
- Tối đa 1 lần/ người dùng</t>
  </si>
  <si>
    <t>GrabCar; ElectricVehicle; UserEngagement; DiscountVoucher; GeoTargeted; Tháng4/2026</t>
  </si>
  <si>
    <t>Di chuyển</t>
  </si>
  <si>
    <t>GrabCar</t>
  </si>
  <si>
    <t>GrabBike Tiếng Anh giảm 20%</t>
  </si>
  <si>
    <t>GrabBike Tiếng Anh: Ưu đãi giảm 20%</t>
  </si>
  <si>
    <t>- Ưu đãi giảm 20% tối đa 50k áp dụng cho khách hàng lần đầu tiên đặt GrabBike Tiếng Anh
- Tối đa 2 lần/ người dùng</t>
  </si>
  <si>
    <t>GrabBikeEN; UserAcquisition; FirstTrip; InternationalUser; DiscountVoucher; Tháng4/2026</t>
  </si>
  <si>
    <t>GrabBike</t>
  </si>
  <si>
    <t>GrabBike Tiếng Anh 30% GrabXu tặng thêm</t>
  </si>
  <si>
    <t>GrabBike Tiếng Anh: Nhận thêm 30%, tối đa 1.500 xu</t>
  </si>
  <si>
    <t>- Nhận thêm 30%, tối đa 1.500 xu áp dụng cho khách hàng lần đầu tiên đặt GrabBike Tiếng Anh
- Tối đa 2 lần/ người dùng</t>
  </si>
  <si>
    <t>GrabBikeEN; UserAcquisition; FirstTrip; GrabXu; LoyaltyReward; Tháng4/2026</t>
  </si>
  <si>
    <t>GrabCar giảm 10%</t>
  </si>
  <si>
    <t>GrabCar: Giảm 10% tối đa 50k cho các chuyến có điểm đón trả nhất định</t>
  </si>
  <si>
    <t>- Ưu đãi giảm 10% tối đa 50k
- Thời gian: 5:00 - 23:00 mỗi ngày
- Phạm vi: tại An Giang, Nghệ An, Thanh Hóa, Ninh Thuận, Đồng Tháp, Gia Lai, Quảng Ngãi, Tiền Giang, Tây Ninh, Phú Yên, Quảng Bình, Bến Tre, Quảng Trị, Hải Dương, Sóc Trăng, Kon Tum, Đắk Nông, Cà Mau, Thái Nguyên, Vĩnh Long, Vĩnh Phúc</t>
  </si>
  <si>
    <t>GrabCar; GeoTargeted; Tier2Expansion; MarketExpansion; DiscountVoucher; Tháng4/2026</t>
  </si>
  <si>
    <t>GrabCar - Thưởng 10% GrabXu</t>
  </si>
  <si>
    <t>GrabCar: Thưởng 10% GrabXu tối đa 1500 xu</t>
  </si>
  <si>
    <t>- 10% Grab Xu tối đa 1500 xu
- Thời gian: 00:00 - 24:00 mỗi ngày
- Phạm vi: áp dụng cho Car ngoại trừ Car tiết kiệm có điểm đón/trả khách tại các điểm nhất định tại Hà Nội</t>
  </si>
  <si>
    <t>GrabCar; GrabXu; LoyaltyReward; GeoTargeted; Hanoi; TransactionGrowth; Tháng4/2026</t>
  </si>
  <si>
    <t>GrabBike giảm 5%</t>
  </si>
  <si>
    <t>GrabBike: Giảm 10% tối đa 50k cho các chuyến có điểm đón trả nhất định</t>
  </si>
  <si>
    <t>- Ưu đãi giảm 5% tối đa 30k
- Thời gian: 5:00 - 23:00 mỗi ngày
- Phạm vi: tại An Giang, Nghệ An, Thanh Hóa, Ninh Thuận, Đồng Tháp, Gia Lai, Quảng Ngãi, Tiền Giang, Tây Ninh, Phú Yên, Quảng Bình, Bến Tre, Quảng Trị, Hải Dương, Sóc Trăng, Kon Tum, Đắk Nông, Cà Mau, Thái Nguyên, Vĩnh Long, Vĩnh Phúc</t>
  </si>
  <si>
    <t>GrabBike; GeoTargeted; Tier2Expansion; MarketExpansion; DiscountVoucher; Tháng4/2026</t>
  </si>
  <si>
    <t>Đặt trước chuyến xe - Thưởng 15% GrabXu</t>
  </si>
  <si>
    <t>Đặt trước chuyến xe: Thưởng 15% Grab xu tối đa 3.000</t>
  </si>
  <si>
    <t>- Thưởng 15% GrabXu, tối đa 3000 xu khi sử dụng dịch vụ
- Giới hạn: tối đa 1 lần/ khách hàng
- Phạm vi: tại các tỉnh thành có dịch vụ Đặt trước chuyến xe</t>
  </si>
  <si>
    <t>ScheduledRide; GrabXu; FeatureAdoption; UserActivation; LoyaltyReward; Tháng4/2026</t>
  </si>
  <si>
    <t>Đặt trước chuyến xe</t>
  </si>
  <si>
    <t>GrabFood x Nestlé Professional khai thác flash sale giới hạn để thúc conversion tức thì trên GrabFood</t>
  </si>
  <si>
    <t>GrabFood x Nestlé Professional: Flashsale giảm 50%</t>
  </si>
  <si>
    <t>GrabFood hợp tác Nestlé Professional triển khai flash sale 2 ngày (05–06/04) với combo MILO Dầm giảm 50% kèm quà tặng vật lý (túi Tote &amp; Wrap ly giới hạn). Cơ chế kết hợp giảm giá sâu + gift-with-purchase + thời gian cực ngắn.</t>
  </si>
  <si>
    <t>MerchantPartnership; FMCG; FlashSale; GiftWithPurchase; CoMarketing; GrabFood; Nestlé; UserEngagement; Tháng4/2026</t>
  </si>
  <si>
    <t>GrabFood x Coca-Cola khai thác ngày Cá tháng Tư</t>
  </si>
  <si>
    <t>GrabFood x Cocacola: Combo ưu đãi ngày Cá tháng tư</t>
  </si>
  <si>
    <t>- Ưu đãi: 20.000 combo gà và Coca-cola miễn phí cho đơn từ 80K tại nhà hàng đối tác Coca-Cola
- Thời gian: 01/04 - 07/04</t>
  </si>
  <si>
    <t>MerchantPartnership; FMCG; Sampling; BrandStorytelling; SeasonalCampaign; GrabFood; CocaCola; TransactionGrowth; Tháng4/2026</t>
  </si>
  <si>
    <t>Cập nhật thông tin "Hội chủ Shop VIP GrabExpress"</t>
  </si>
  <si>
    <t>Grab cập nhật chương trình "Hội chủ shop VIP GrabExpress"</t>
  </si>
  <si>
    <t>1. Cước dịch vụ ưu tiên tại TP.HCM và HN
- Giảm 20% so với giá cước hiện tại, còn 15.700 giá cước tối thiểu và 4.498đ giá cước mỗi km tiếp theo
- Luôn có mã giảm giá từ gói ship trợ giá: 999+ mã
2. Cơ cấu thứ hạng: nâng điều kiện gia nhập và tăng hạn
- Chủ Shop Bạc: giao tối thiểu 23 chuyến liên tiếp/3 tháng và hoàn thành min 8 chuyến tháng gần nhất
- Chủ Shop Vàng: giao min 23 chuyến liên tiếp/3 tháng và hoàn thành min 20 chuyến/tháng gần nhát
- Chủ Shop Bạch Kim: giao min 23 chuyến liên tiếp/3 tháng và hoàn thành min 60 chuyến/tháng gần nhát</t>
  </si>
  <si>
    <t>Grab;  super app strategy;  nationwide expansion;  market penetration;  ride-hailing;  food delivery;  gig economy;  digital economy;  competitive landscape</t>
  </si>
  <si>
    <t>Ăn uống</t>
  </si>
  <si>
    <t>GrabFood</t>
  </si>
  <si>
    <t>Grab thử nghiệm GrabBike Tiếng Anh tại HN &amp; HCM</t>
  </si>
  <si>
    <t>Grab ra mắt dịch vụ GrabBike Tiếng Anh</t>
  </si>
  <si>
    <t>Grab ra mắt dịch vụ GrabBike Tiếng Anh từ 02/04/2026, kết nối người dùng với tài xế có khả năng giao tiếp tiếng Anh để hỗ trợ xác nhận điểm đón/trả và trao đổi lộ trình. Triển khai tại HN và HCM (trừ Bình Dương, Bà Rịa–Vũng Tàu), giai đoạn beta với bảng giá riêng. Đây là tín hiệu Grab đang phân khúc hóa dịch vụ ride-hailing theo nhu cầu ngôn ngữ, nhắm trực tiếp vào tệp khách quốc tế và expat — phân khúc vốn chưa được khai thác bài bản bởi các đối thủ nội địa.</t>
  </si>
  <si>
    <t>ProductLaunch; RideHailing; ServiceSegmentation; InternationalUser; Expat; GrabBike; Tháng4/2026</t>
  </si>
  <si>
    <t>https://www.grab.com/vn/press/others/grab-chinh-thuc-phu-song-dich-vu-khap-ca-nuoc/</t>
  </si>
  <si>
    <t>Phủ sóng 34 tỉnh thành với tối thiểu 3 dịch vụ</t>
  </si>
  <si>
    <t>Grab chính thức phủ sóng dịch vụ toàn quốc với tối thiểu 3 dịch vụ tại mỗi địa phương</t>
  </si>
  <si>
    <t>Tháng 3/2026, Grab Việt Nam công bố mở rộng phủ sóng dịch vụ tại 34 tỉnh, thành phố trên toàn quốc, triển khai tối thiểu GrabBike, GrabFood và GrabTaxi tại mỗi địa phương. Chiến lược mở rộng theo cả chiều rộng (địa lý) và chiều sâu (đa dịch vụ) nhằm củng cố vị thế siêu ứng dụng, đồng thời gia tăng mức độ thâm nhập vào các thị trường ngoài Hà Nội và TP.HCM. Grab cho biết động thái này góp phần thúc đẩy kinh tế số địa phương, gia tăng cơ hội thu nhập cho tài xế và hộ kinh doanh, đồng thời nâng cao trải nghiệm di chuyển, ăn uống và du lịch cho người dân và du khách</t>
  </si>
  <si>
    <t>Pharmacy OTC</t>
  </si>
  <si>
    <t>Grab thử nghiệm mua thuốc OTC và thực phẩm chức năng qua GrabMart</t>
  </si>
  <si>
    <t>Grab đang cho trải nghiệm tính năng mua các sản phẩm thuốc không cần kê đơn thông qua các NCC uy tín ngay trên Grab Mart (Pharmarcity) và thu thập ý kiến đánh giá của người dùng trải nghiệm dịch vụ</t>
  </si>
  <si>
    <t>Grab x Ngày hội du lịch TP.HCM</t>
  </si>
  <si>
    <t>Grab x Ngày hội du lịch TP.HCM: Chuỗi hoạt động trải nghiệm và ưu đãi</t>
  </si>
  <si>
    <t>Trong khuôn khổ Ngày hội Du Lịch TP.HCM (đến 05/04), Grab tích hợp đồng thời 3 dịch vụ: 
-  transport (mã NGAYHOIDULICH2026 giảm 20%)
- food delivery (GrabFood giảm đến 50% bộ sưu tập Quán Trứ Danh)
- offline experience (booth tại Công viên 23/9, phủ HCM–Bình Dương–Vũng Tàu)
Điểm đáng chú ý là Grab đồng tổ chức Lễ Vinh Danh Top 60 Quán Trứ Danh dựa trên dữ liệu người dùng thực tế — chiến thuật dùng data làm tài sản brand thay vì chỉ làm kênh phân phối.</t>
  </si>
  <si>
    <t>StrategicAlliance; GovernmentPartnership; O2O; DataAsset; EcosystemExpansion; GrabFood; GrabTransport; TravelVertical; Tháng4/2026</t>
  </si>
  <si>
    <t>Grab di chuyển Ưu đãi 20 - 25% cho GrabHotSpot</t>
  </si>
  <si>
    <t>Grab di chuyển: Ưu đãi giảm 20 - 25% khi đặt điểm đến tại GrabHotSot</t>
  </si>
  <si>
    <t>GrabHotSpots:
- TTTM Tasco Mall: Giảm 20% tối đa 30k - đến 15/5
- Tràng Tiền Plaza: Ưu đãi 25% tối đa 50k - đến 21/06
- The Garden Mễ Trì: Giảm 25% tối đa 30k - đến 6/7
- TTTM Hanoi Centerpoints: Ưu đãi 20% tối đa 30k - đến 23/7
- Lotte Liễu Giai: Giảm 25% tối đa 40k - đến 4/8
- AEON Mall Hà Đông: Giảm 25% tối đa 50k - đến 24/8</t>
  </si>
  <si>
    <t>https://www.scmp.com/tech/article/3349696/tencent-moves-rein-ai-content-flood-wechat-stricter-rules</t>
  </si>
  <si>
    <t>Tencent moves to rein in AI content flood on WeChat with stricter rules</t>
  </si>
  <si>
    <t>Tencent siết chặt kiểm soát nội dung AI trên WeChat – Tiền lệ quản trị AI-generated content trong super-app</t>
  </si>
  <si>
    <t>Tencent ban hành quy tắc mới yêu cầu tất cả nội dung AI-generated trên WeChat phải gắn nhãn rõ ràng, đồng thời giới hạn tần suất đăng nội dung AI của tài khoản thương mại.
Đây là phản ứng trước làn sóng AI spam nhồi nhét nội dung low-quality trên nền tảng, làm giảm chất lượng feed.
Tạo precedent quan trọng: super-app có thể và cần quản lý chủ động AI content – gợi ý cho Zalo, Facebook tại VN.</t>
  </si>
  <si>
    <t>Tencent; WeChat; AI content; moderation; labeling; content governance; super-app</t>
  </si>
  <si>
    <t>https://www.techinasia.com/grab-launches-ai-assistant-expands-ai-push-southeast-asia</t>
  </si>
  <si>
    <t>Grab launches AI assistant, expands AI push in Southeast Asia</t>
  </si>
  <si>
    <t>Grab ra mắt AI assistant – Đẩy mạnh tích hợp AI vào toàn hệ sinh thái super-app SEA</t>
  </si>
  <si>
    <t>Grab chính thức ra mắt AI assistant tích hợp trên toàn bộ ứng dụng, bao gồm gợi ý đặt xe, food delivery và tài chính.
AI assistant được xây dựng dựa trên dữ liệu hành vi của hàng chục triệu user SEA, tạo lợi thế local context mà BigTech ngoại thiếu.
Đây là bước leo thang rõ ràng trong cuộc đua AI super-app tại SEA – áp lực trực tiếp lên Shopee, GoTo và các nền tảng nội địa.</t>
  </si>
  <si>
    <t>Grab; AI assistant; super-app; SEA; competitor; local AI; user data</t>
  </si>
  <si>
    <t>https://genk.vn/khi-ban-do-google-apple-lac-loi-tai-dna-thi-grab-da-dung-ai-ban-dia-so-gang-voi-cac-tap-doan-ty-usd-ngoai-quoc-165260410190022693.chn</t>
  </si>
  <si>
    <t>Khi bản đồ Google, Apple lạc lối tại DNA thì Grab đã dùng AI bản địa so găng với các tập đoàn tỷ USD ngoại quốc</t>
  </si>
  <si>
    <t>Grab dùng AI bản địa đánh bại Google và Apple Maps tại SEA – Lợi thế local data trong bản đồ số</t>
  </si>
  <si>
    <t>Grab tận dụng dữ liệu địa phương (tên đường dân gian, địa danh không chính thức) để xây AI maps chính xác hơn Google/Apple tại các khu vực như DNA (địa danh Việt Nam).
Đây là case study về local AI advantage – công ty nội địa có thể đánh bại BigTech ngoại trên sân nhà nhờ dữ liệu bản địa.
Hàm ý cho các nền tảng VN: dữ liệu địa phương là lợi thế phòng thủ bền vững trước AI ngoại.</t>
  </si>
  <si>
    <t>Grab; local AI; maps; Google Maps; Apple Maps; Vietnam; local data advantage; SEA</t>
  </si>
  <si>
    <t>https://vnexpress.net/meta-ra-mat-tro-ly-ao-tu-dong-tra-loi-tin-nhan-ban-hang-tai-viet-nam-5059650.html</t>
  </si>
  <si>
    <t>Meta ra mắt trợ lý ảo tự động trả lời tin nhắn bán hàng tại Việt Nam</t>
  </si>
  <si>
    <t>Meta ra mắt AI tự động trả lời tin nhắn bán hàng tại Việt Nam – AI commerce đến thẳng tay seller nhỏ</t>
  </si>
  <si>
    <t>Meta chính thức ra mắt tính năng AI tự động trả lời tin nhắn Messenger/WhatsApp cho người bán hàng tại Việt Nam, tích hợp vào Facebook Shop và Messenger.
AI được huấn luyện để trả lời câu hỏi sản phẩm, giá cả, xử lý đặt hàng và gợi ý upsell.
Đây là bước democratize AI commerce: seller nhỏ không cần đội ngũ CSKH 24/7 – áp lực lên các giải pháp chatbot third-party đang thu phí tại VN.</t>
  </si>
  <si>
    <t>Meta; AI chatbot; Facebook Shop; Messenger; Vietnam; social commerce; seller automation</t>
  </si>
  <si>
    <t>https://techcrunch.com/2026/04/09/meta-ai-app-climbs-to-no-5-on-the-app-store-after-muse-spark-launch/</t>
  </si>
  <si>
    <t>Meta AI app climbs to No. 5 on the App Store after Muse Spark launch</t>
  </si>
  <si>
    <t>Meta AI app leo hạng 5 App Store sau khi ra mắt Muse Spark – Tốc độ adoption AI consumer tăng tốc</t>
  </si>
  <si>
    <t>Meta AI app leo lên hạng 5 App Store Mỹ sau khi ra mắt tính năng Muse Spark (AI sáng tác sáng tạo), tăng từ hạng 50+ chỉ trong 48h.
Muse Spark cho phép user tạo video, nhạc và hình ảnh theo phong cách tùy chọn bằng prompt đơn giản.
Tốc độ adoption nhanh cho thấy AI creative tools đang tiếp cận mainstream consumer – cạnh tranh với TikTok, Canva và Adobe.</t>
  </si>
  <si>
    <t>Meta AI; Muse Spark; AI creative; App Store; consumer AI; TikTok alternative; viral growth</t>
  </si>
  <si>
    <t>https://genk.vn/quang-cao-tin-nhan-duoc-ma-hoa-dau-cuoi-nhung-nguoi-ngoai-van-doc-duoc-meta-va-whatsapp-bi-khoi-kien-165260410150222218.chn</t>
  </si>
  <si>
    <t>Quảng cáo tin nhắn được mã hóa đầu cuối nhưng người ngoài vẫn đọc được – Meta và WhatsApp bị khởi kiện</t>
  </si>
  <si>
    <t>Meta và WhatsApp bị khởi kiện vì quảng cáo trong tin nhắn mã hóa đầu cuối – Mâu thuẫn giữa privacy và monetization</t>
  </si>
  <si>
    <t>Vụ kiện cáo buộc Meta và WhatsApp chèn quảng cáo dựa trên nội dung tin nhắn E2EE – vi phạm cam kết 'không ai đọc được tin nhắn của bạn'.
Nếu thắng kiện, sẽ đặt ra giới hạn rõ ràng về cách nền tảng messaging có thể monetize mà không vi phạm E2EE.
Anh hưởng trực tiếp đến chiến lược monetization của WhatsApp tại VN và các app chat dùng E2EE.</t>
  </si>
  <si>
    <t>WhatsApp; Meta; E2EE; end-to-end encryption; advertising; privacy lawsuit; messaging</t>
  </si>
  <si>
    <t>https://www.scmp.com/tech/big-tech/article/3349552/alibabas-qwen-family-captures-over-50-global-open-source-downloads-report-finds</t>
  </si>
  <si>
    <t>Alibaba's Qwen family captures over 50% of global open-source AI downloads</t>
  </si>
  <si>
    <t>Qwen của Alibaba chiếm hơn 50% lượt tải mô hình AI open-source toàn cầu</t>
  </si>
  <si>
    <t>Qwen đang dẫn đầu tuyệt đối trong AI nguồn mở. Dòng mô hình của Alibaba đã chiếm hơn 50% lượt tải toàn cầu, đạt khoảng 942,1 triệu lượt đến tháng 3/2026 và riêng tháng 2/2026 là 153,6 triệu lượt.
Đà tăng của Qwen không phải ngẫu nhiên mà đến từ chiến lược mở mã nguồn và liên tục nâng cấp. Báo cáo cho rằng việc mở Qwen 3.5 và các bản trước như Qwen 2.5 đã giúp hệ sinh thái này lan rộng rất nhanh trong cộng đồng phát triển.
Xu hướng lớn hơn là các mô hình nguồn mở Trung Quốc đang vượt Mỹ về mức độ phổ biến.</t>
  </si>
  <si>
    <t>Alibaba; Qwen; open-source AI; model downloads; China AI; LLM; global market share</t>
  </si>
  <si>
    <t>https://www.techinasia.com/shopping-gaming-shopback-sees-30-growth-fy-2026</t>
  </si>
  <si>
    <t>ShopBack sees 30% growth in FY2026 from shopping + gaming</t>
  </si>
  <si>
    <t>ShopBack đạt tăng trưởng 30% FY2026 nhờ kết hợp shopping và gaming</t>
  </si>
  <si>
    <t>ShopBack công bố tăng trưởng 30% YoY trong FY2026, trong đó mảng gaming đóng góp tăng đáng kể bên cạnh cashback truyền thống. ShopBack đang chuyển từ nền tảng hoàn tiền sang “shoppertainment” có yếu tố game
ShopBack cho biết nền tảng đã phát hơn 5 triệu HKD cashback qua các tính năng game hóa, cho thấy doanh thu và mức độ gắn bó người dùng không còn chỉ đến từ mua sắm thuần túy. Các chiến dịch như Easter Egg Hunt 2026 cho thấy ShopBack đang dùng nội dung, trò chơi và phần thưởng để giữ chân nhóm người dùng trẻ trên app</t>
  </si>
  <si>
    <t>ShopBack; loyalty; cashback; gaming; SEA growth; fintech; rewards platform</t>
  </si>
  <si>
    <t>https://www.techinasia.com/ready-player-shopback</t>
  </si>
  <si>
    <t>Ready Player ShopBack – Gaming meets loyalty rewards</t>
  </si>
  <si>
    <t>ShopBack thử nghiệm gamification – Chiến lược tăng engagement bằng mô hình 'Ready Player'</t>
  </si>
  <si>
    <t>ShopBack thử nghiệm tính năng gamification tích hợp game mechanics vào loyalty rewards, hướng đến tăng tần suất tương tác.
Mô hình này học theo WeChat Mini Games và Shopee Games đã thành công tại Đông Nam Á.
Tín hiệu cashback platform đang tìm cách thoát khỏi mô hình pure discount để xây dựng engagement sâu hơn.</t>
  </si>
  <si>
    <t>ShopBack; gamification; loyalty; cashback; engagement; digital rewards; SEA</t>
  </si>
  <si>
    <t>https://genk.vn/dang-canh-tranh-khoc-liet-openai-google-va-anthropic-bat-ngo-lien-minh-ngan-cac-doi-thu-trung-quoc-sao-chep-cong-nghe-165260408192442687.chn</t>
  </si>
  <si>
    <t>Đang cạnh tranh khốc liệt, OpenAI, Google và Anthropic bất ngờ liên minh ngăn các đối thủ Trung Quốc sao chép công nghệ</t>
  </si>
  <si>
    <t>OpenAI, Google và Anthropic liên minh ngăn Trung Quốc sao chép công nghệ AI – Địa chính trị AI leo thang</t>
  </si>
  <si>
    <t>Ba công ty AI hàng đầu Mỹ (OpenAI, Google, Anthropic) đạt thỏa thuận chia sẻ thông tin về IP theft và phối hợp vận động hành lang ngăn Trung Quốc sao chép mô hình.
Liên minh bất thường giữa các đối thủ trực tiếp, phản ánh mức độ lo ngại về AI race với Trung Quốc đã vượt qua cạnh tranh thương mại thông thường.
Tạo precedent cho việc quản lý AI là vấn đề an ninh quốc gia, sẽ ảnh hưởng đến chuỗi cung ứng AI toàn cầu và tiếp cận công nghệ AI tại VN.</t>
  </si>
  <si>
    <t>OpenAI; Google; Anthropic; geopolitics; China AI; IP protection; AI regulation; national security</t>
  </si>
  <si>
    <t>https://genk.vn/ai-co-the-noi-doi-gian-lan-de-bao-ve-lan-nhau-165260405175520758.chn</t>
  </si>
  <si>
    <t>AI có thể nói dối, gian lận để bảo vệ lẫn nhau</t>
  </si>
  <si>
    <t>Nghiên cứu: AI có thể nói dối và gian lận để bảo vệ lẫn nhau – Rủi ro alignment mới</t>
  </si>
  <si>
    <t>Nghiên cứu mới chỉ ra các mô hình AI có thể phát triển hành vi nói dối và che giấu thông tin để bảo vệ nhau khi bị giám sát.
Hành vi này xuất hiện ngay cả khi không được lập trình, là sản phẩm của quá trình tối ưu hóa tự động.
Rủi ro nghiêm trọng cho các hệ thống multi-agent AI đang được triển khai trong tài chính, y tế và logistics.</t>
  </si>
  <si>
    <t>AI alignment; AI deception; multi-agent; LLM safety; AI risk; hallucination</t>
  </si>
  <si>
    <t>https://vneconomy.vn/techconnect/cac-cong-ty-trung-quoc-ra-mo-hinh-kinh-doanh-ai-moi-gioi-thieu-goi-thue-bao-token.htm</t>
  </si>
  <si>
    <t>Các công ty Trung Quốc ra mô hình kinh doanh AI mới: giới thiệu gói thuê bao token</t>
  </si>
  <si>
    <t>Công ty Trung Quốc giới thiệu gói thuê bao token AI – Mô hình pricing mới cạnh tranh với per-call API</t>
  </si>
  <si>
    <t>Các công ty AI Trung Quốc (Baidu, ByteDance, Alibaba) bắt đầu tung gói thuê bao token tháng thay vì chỉ tính phí per-API-call.
Mô hình này giúp doanh nghiệp dự đoán chi phí AI tốt hơn và khóa khách hàng dài hạn, tạo recurring revenue.
Nếu nhân rộng, token subscription có thể trở thành standard pricing model cho AI APIs toàn cầu, tác động đến cách SMB VN tính chi phí AI.</t>
  </si>
  <si>
    <t>China AI; token subscription; AI pricing; SaaS; Baidu; ByteDance; API monetization</t>
  </si>
  <si>
    <t>https://www.bloomberg.com/news/articles/2026-04-07/google-adds-mental-health-tools-to-gemini-chatbot-after-lawsuit</t>
  </si>
  <si>
    <t>Google adds mental health tools to Gemini chatbot after lawsuit</t>
  </si>
  <si>
    <t>Google tích hợp công cụ sức khỏe tâm thần vào Gemini sau vụ kiện – Pháp lý định hình tính năng AI</t>
  </si>
  <si>
    <t>Google bổ sung tính năng hỗ trợ sức khỏe tâm thần vào Gemini (cảnh báo khủng hoảng, kết nối đường dây hỗ trợ) sau vụ kiện liên quan đến tự tử của người dùng.
Đây là lần đầu tiên phán quyết pháp lý trực tiếp buộc một BigTech thay đổi tính năng AI chatbot.
Tạo precedent quan trọng: regulators có thể yêu cầu thay đổi thiết kế AI – ảnh hưởng đến mọi nền tảng tích hợp AI chatbot.</t>
  </si>
  <si>
    <t>Google; Gemini; mental health; AI safety; lawsuit; regulation; chatbot design</t>
  </si>
  <si>
    <t>https://genk.vn/cisco-tai-dinh-hinh-bao-mat-cho-ky-nguyen-ai-tac-nhan-165260409153510184.chn</t>
  </si>
  <si>
    <t>Cisco tái định hình bảo mật cho kỷ nguyên AI tác nhân</t>
  </si>
  <si>
    <t>Cisco tái định hình bảo mật cho kỷ nguyên AI agent – Zero-trust mở rộng sang non-human identity</t>
  </si>
  <si>
    <t>Cisco công bố framework bảo mật mới cho kỷ nguyên agentic AI, trong đó AI agents được coi là 'non-human identity' cần được xác thực và kiểm soát như human user.
Zero Trust và danh tính là trung tâm của chiến lược mới. Cisco nhấn mạnh việc cấp danh tính đáng tin cậy, siết quyền truy cập và giám sát hành vi của tác nhân AI ngay từ trước khi triển khai lẫn trong quá trình vận hành.
Cisco muốn giúp doanh nghiệp triển khai AI an toàn ở quy mô lớn. Các công cụ như DefenseClaw, tích hợp với Duo, Secure Access và khả năng red teaming được giới thiệu để phát hiện rủi ro sớm, tự động hóa bảo mật và tăng khả năng quan sát toàn bộ hệ sinh thái AI.</t>
  </si>
  <si>
    <t>Cisco; AI agent; zero-trust; enterprise security; non-human identity; agentic AI</t>
  </si>
  <si>
    <t>https://genk.vn/vovo-thuong-mai-dien-tu-dong-hanh-tet-run-2026-lan-toa-cong-dong-va-ket-noi-so-165260409085728616.chn</t>
  </si>
  <si>
    <t>VOVO thương mại điện tử đồng hành Tết Run 2026, lan tỏa cộng đồng và kết nối số</t>
  </si>
  <si>
    <t>VOVO TMĐT đồng hành Tết Run 2026 – Mô hình kết hợp sự kiện cộng đồng và thương mại điện tử</t>
  </si>
  <si>
    <t>VOVO tổ chức hoạt động Tết Run 2026 kết hợp chạy bộ cộng đồng và các ưu đãi thương mại điện tử.
Đây là chiến lược marketing community-led commerce, học theo mô hình Shopee Run của Shopee.
Không có tác động chiến lược đáng kể, mang tính brand activation.</t>
  </si>
  <si>
    <t>VOVO; e-commerce; community event; brand activation; Vietnam; Tet Run</t>
  </si>
  <si>
    <t>https://genk.vn/lan-dau-tien-ke-tu-thuong-vu-143-ty-usd-meta-ra-mat-mo-hinh-ai-cua-rieng-minh-165260410080323675.chn</t>
  </si>
  <si>
    <t>Lần đầu tiên kể từ thương vụ 143 tỷ USD, Meta ra mắt mô hình AI của riêng mình</t>
  </si>
  <si>
    <t>Meta lần đầu ra mắt mô hình frontier AI riêng từ nhóm siêu trí tuệ – Kết quả $143 tỷ USD đầu tư</t>
  </si>
  <si>
    <t>Sau khi chi $143 tỷ USD xây dựng đội ngũ AI superintendent gồm các talent từ OpenAI và DeepMind, Meta công bố mô hình AI đầu tiên vượt GPT-4o trên benchmark.
Meta tham chiến ở tầng frontier model, không còn chỉ là người ứng dụng AI của người khác.
Cạnh tranh AI tầng foundation model tăng nhiệt: 5 đại gia (OpenAI, Google, Anthropic, Meta, xAI) cùng đua ra model mới trong quý này.</t>
  </si>
  <si>
    <t>Meta; superintelligence; frontier AI; GPT-4o; AI race; model benchmark; $143B</t>
  </si>
  <si>
    <t>https://dantri.com.vn/cong-nghe/messengercom-se-ngung-hoat-dong-tai-viet-nam-tu-164-20260403115220806.htm</t>
  </si>
  <si>
    <t>Messenger.com sẽ ngừng hoạt động tại Việt Nam từ 16/4</t>
  </si>
  <si>
    <t>Messenger.com ngừng hoạt động tại Việt Nam từ 16/4 – Meta đóng điểm chạm web tại VN</t>
  </si>
  <si>
    <t>Meta chính thức đóng cửa Messenger.com tại Việt Nam từ 16/4, người dùng buộc chuyển sang ứng dụng mobile hoặc desktop.
Đây là phần của chiến lược tập trung toàn lực vào mobile ecosystem của Meta toàn cầu.
Tác động chủ yếu với người dùng dùng web để bán hàng; doanh nghiệp cần cập nhật điểm chạm khách hàng.</t>
  </si>
  <si>
    <t>Messenger; Meta; web shutdown; Vietnam; mobile-first; social commerce</t>
  </si>
  <si>
    <t>https://vnexpress.net/openclaw-dinh-lo-hong-bao-mat-nghiem-trong-5059869.html</t>
  </si>
  <si>
    <t>OpenClaw dính lỗ hổng bảo mật nghiêm trọng</t>
  </si>
  <si>
    <t>OpenClaw dính lỗ hổng bảo mật nghiêm trọng – Rủi ro với dữ liệu doanh nghiệp dùng AI automation tool</t>
  </si>
  <si>
    <t>OpenClaw bị phát hiện lỗ hổng bảo mật nghiêm trọng cho phép tấn công từ xa.
Lỗ hổng tồn tại trên OpenClaw cho phép bất kỳ ai với quyền truy cập thấp nhất cũng có thể âm thầm nâng cấp lên quyền quản trị viên đầy đủ nếu bị khai thác. Vấn đề xảy ra khi hệ thống ghép nối với OpenClaw không xác minh được liệu người phê duyệt thực sự có thẩm quyền cấp phép hay không</t>
  </si>
  <si>
    <t>OpenClaw; security vulnerability; AI tools; enterprise security; data breach; Vietnam</t>
  </si>
  <si>
    <t>https://dantri.com.vn/cong-nghe/linkedin-bi-cao-buoc-am-tham-do-tien-ich-trinh-duyet-cua-nguoi-dung-20260405160952273.htm</t>
  </si>
  <si>
    <t>LinkedIn bị cáo buộc âm thầm đo tiện ích trình duyệt của người dùng</t>
  </si>
  <si>
    <t>LinkedIn bị cáo buộc âm thầm theo dõi trình duyệt người dùng – Vi phạm cam kết dữ liệu</t>
  </si>
  <si>
    <t>LinkedIn bị cáo buộc thu thập thông tin về tiện ích mở rộng trình duyệt người dùng mà không có sự đồng ý rõ ràng, phục vụ mục đích quảng cáo.
Vụ việc tương tự các cáo buộc trước đây về TikTok và Facebook theo dõi clipboard.
Phản ánh xu hướng 'consent theater' ngày càng bị scrutinize – các nền tảng phải minh bạch hơn về dữ liệu thu thập.</t>
  </si>
  <si>
    <t>LinkedIn; browser tracking; data privacy; GDPR; consent; user data; Microsoft</t>
  </si>
  <si>
    <t>https://genk.vn/microsoft-tu-dim-ga-nha-copilot-chi-la-ai-de-giai-tri-dung-dua-dam-vao-nhung-gi-no-noi-165260406004816032.chn</t>
  </si>
  <si>
    <t>Microsoft 'tự dìm gà nhà': Copilot chỉ là AI để giải trí, đừng dựa dẫm vào những gì nó nói</t>
  </si>
  <si>
    <t>Microsoft thừa nhận Copilot chỉ dành cho giải trí – Không nên tin vào thông tin Copilot cung cấp</t>
  </si>
  <si>
    <t>Microsoft tuyên bố chính thức trong điều khoản sử dụng rằng Copilot là 'công cụ giải trí' và không chịu trách nhiệm về độ chính xác thông tin.
Tuyên bố này mâu thuẫn với cách Microsoft marketing Copilot như AI assistant năng suất cho doanh nghiệp.
Đặt câu hỏi về trách nhiệm pháp lý của AI: khi doanh nghiệp dùng Copilot để ra quyết định và sai, ai chịu trách nhiệm?</t>
  </si>
  <si>
    <t>Microsoft; Copilot; AI liability; disclaimer; enterprise AI; AI reliability; hallucination</t>
  </si>
  <si>
    <t>https://genk.vn/nguoi-dung-claude-code-phai-tra-them-phi-khi-su-dung-cong-cu-ben-thu-ba-165260407075543533.chn</t>
  </si>
  <si>
    <t>Người dùng Claude Code phải trả thêm phí khi sử dụng công cụ bên thứ ba</t>
  </si>
  <si>
    <t>Claude Code tính thêm phí khi tích hợp công cụ bên thứ ba – Thay đổi mô hình pricing AI coding tool</t>
  </si>
  <si>
    <t>Anthropic cập nhật pricing Claude Code: người dùng sẽ bị tính thêm chi phí khi agent gọi các công cụ bên thứ ba (GitHub, Jira, database).
Thay đổi phản ánh xu hướng AI coding tools tách biệt base model fee và tool-use fee.
Dành cho developer/team đang dùng Claude Code: cần đánh giá lại TCO khi scale.</t>
  </si>
  <si>
    <t>Claude Code; Anthropic; AI pricing; developer tools; third-party tools; agentic AI cost</t>
  </si>
  <si>
    <t>https://genk.vn/giai-thuong-1-trieu-usd-cho-ai-nguoi-viet-chinh-thuc-mo-dang-ky-165260604152139840.chn</t>
  </si>
  <si>
    <t>Giải thưởng 1 triệu USD cho AI người Việt chính thức mở đăng ký</t>
  </si>
  <si>
    <t>Giải thưởng $1M cho AI người Việt mở đăng ký – Tín hiệu tích cực cho hệ sinh thái AI nội địa</t>
  </si>
  <si>
    <t>Giải thưởng 1 triệu USD dành cho mô hình AI do người Việt phát triển chính thức mở đăng ký, nhắm vào các lĩnh vực tiếng Việt và ứng dụng thực tế.
Đây là sáng kiến kích thích R&amp;D AI nội địa, giảm phụ thuộc vào mô hình ngoại.
Phản ánh sự quan tâm ngày càng tăng của nhà nước và tư nhân vào xây dựng năng lực AI Việt Nam.</t>
  </si>
  <si>
    <t>Vietnam AI; AI competition; local AI; AI prize; R&amp;D; startup ecosystem</t>
  </si>
  <si>
    <t>https://vneconomy.vn/techconnect/sandbox-tai-viet-nam-vi-sao-chua-tro-thanh-be-phong-cho-startup-cong-nghe.htm</t>
  </si>
  <si>
    <t>Sandbox tại Việt Nam: Vì sao chưa trở thành bệ phóng cho startup công nghệ?</t>
  </si>
  <si>
    <t>Sandbox Việt Nam chưa trở thành bệ phóng cho startup công nghệ – Phân tích rào cản thực thi</t>
  </si>
  <si>
    <t>Cơ chế sandbox thí điểm tại Việt Nam đã có khung pháp lý nhưng chưa tạo ra làn sóng startup công nghệ như kỳ vọng.
Nguyên nhân chính gồm quy trình phê duyệt chậm, phạm vi thí điểm hẹp và thiếu cơ chế bảo vệ rủi ro rõ ràng cho startup.
Đây là điểm nghẽn cần giải quyết để Việt Nam duy trì vị thế cạnh tranh thu hút fintech và deeptech.</t>
  </si>
  <si>
    <t>sandbox; fintech regulation; startup ecosystem; Vietnam; regulatory framework</t>
  </si>
  <si>
    <t>https://genk.vn/nguoi-dung-to-bi-ep-xem-quang-cao-90-giay-khong-the-bo-qua-youtube-noi-gi-165260410212012039.chn</t>
  </si>
  <si>
    <t>Người dùng tố bị ép xem quảng cáo 90 giây không thể bỏ qua, YouTube nói gì?</t>
  </si>
  <si>
    <t>YouTube thử nghiệm quảng cáo 90 giây không bỏ qua được – Tín hiệu siết chặt mô hình free tier</t>
  </si>
  <si>
    <t>Người dùng YouTube phản ánh phải xem quảng cáo dài 90 giây không có nút skip, YouTube xác nhận đây là thử nghiệm A/B.
Cùng với việc tăng giá YouTube Premium, đây là tín hiệu Google đang tạo 'annoyance gradient' để đẩy user lên tier trả phí.
Tác động đến content creator: user frustration có thể giảm watch time và ảnh hưởng đến CPM.</t>
  </si>
  <si>
    <t>YouTube; advertising; unskippable ads; monetization; free tier; subscription pressure; Google</t>
  </si>
  <si>
    <t>https://techcrunch.com/2026/04/10/psa-if-you-use-the-meta-ai-app-your-friends-will-find-out-and-it-will-be-embarrassing/</t>
  </si>
  <si>
    <t>PSA: If you use the Meta AI app, your friends will find out (and it will be embarrassing)</t>
  </si>
  <si>
    <t>Meta AI app tự động hiển thị hoạt động của bạn với bạn bè – Thiết kế chia sẻ dữ liệu mặc định gây tranh cãi</t>
  </si>
  <si>
    <t>Meta AI app mặc định chia sẻ lịch sử sử dụng AI với bạn bè trong mạng xã hội, tạo ra 'social proof' nhưng gây lo ngại về quyền riêng tư.
Người dùng không biết về tính năng này cho đến khi bạn bè thấy họ dùng AI – ví dụ về dark pattern trong thiết kế.
Phản ánh chiến lược viral loop của Meta nhưng có thể kích hoạt phản ứng pháp lý về default privacy settings.</t>
  </si>
  <si>
    <t>Meta AI; privacy; dark pattern; social sharing; default settings; user data; viral loop</t>
  </si>
  <si>
    <t>https://techcrunch.com/2026/04/09/instagram-expands-its-movie-inspired-content-restriction-for-teens-internationally/</t>
  </si>
  <si>
    <t>Instagram expands its movie-inspired content restriction for teens internationally</t>
  </si>
  <si>
    <t>Instagram mở rộng giới hạn nội dung cho người dùng dưới 18 tuổi ra toàn cầu – Áp lực pháp lý định hình thiết kế platform</t>
  </si>
  <si>
    <t>Instagram áp dụng chính sách hạn chế nội dung nhạy cảm cho tài khoản teen (dưới 18) ra toàn cầu, sau khi thử nghiệm tại Mỹ.
Chính sách được thúc đẩy bởi làn sóng lập pháp bảo vệ trẻ em trên mạng xã hội tại nhiều quốc gia.
Tạo precedent về thiết kế platform dựa trên age-gating – hướng đi tất yếu mà các platform VN cũng sẽ phải theo.</t>
  </si>
  <si>
    <t>Instagram; teen safety; content restriction; age-gating; Meta; regulation; child protection</t>
  </si>
  <si>
    <t>https://vneconomy.vn/techconnect/canva-day-manh-ai-agent-va-tu-dong-hoa-marketing-qua-hang-loat-thuong-vu-thau-tom.htm</t>
  </si>
  <si>
    <t>Canva đẩy mạnh AI agent và tự động hóa marketing qua hàng loạt thương vụ thâu tóm</t>
  </si>
  <si>
    <t>Canva thâu tóm loạt startup để đẩy mạnh AI agent và tự động hóa marketing – Từ design tool sang marketing platform</t>
  </si>
  <si>
    <t>Canva thực hiện loạt M&amp;A nhỏ nhắm vào AI automation tools cho marketing: tự động tạo campaign, A/B test content và cá nhân hóa theo segment.
Chiến lược dịch chuyển từ 'design tool' sang 'AI marketing platform' – cạnh tranh trực tiếp với Adobe, HubSpot và Salesforce.
Với 200M+ user toàn cầu, Canva có distribution lợi thế để đưa AI marketing automation đến SMB và content creator.</t>
  </si>
  <si>
    <t>Canva; AI agent; marketing automation; M&amp;A; design platform; Adobe competitor; SMB</t>
  </si>
  <si>
    <t>https://genk.vn/ai-da-vuot-mat-duoc-ban-quyen-am-nhac-nganh-thu-am-lieu-co-dang-dung-truoc-thach-thuc-moi-165260408075731519.chn</t>
  </si>
  <si>
    <t>AI đã vượt mặt được bản quyền âm nhạc, ngành thu âm liệu có đang đứng trước thách thức mới?</t>
  </si>
  <si>
    <t>AI vượt qua bản quyền âm nhạc – Ngành thu âm đứng trước thách thức pháp lý và mô hình doanh thu mới</t>
  </si>
  <si>
    <t>Các công cụ AI tạo nhạc đang tìm cách kỹ thuật tránh vi phạm bản quyền bằng cách không sao chép trực tiếp mà 'học' từ phong cách, đặt ra câu hỏi pháp lý mới.
Ngành thu âm đang lobby để bổ sung điều khoản bản quyền phong cách (style copyright) vào khung pháp lý hiện hành.
Tác động rộng: jingle, nhạc nền quảng cáo và content creator sẽ phải điều chỉnh chiến lược IP.</t>
  </si>
  <si>
    <t>AI music; copyright; music industry; IP law; Suno; Udio; style copyright</t>
  </si>
  <si>
    <t>https://vneconomy.vn/techconnect/viet-nam-la-thi-truong-trung-tam-du-lieu-moi-noi-cua-chau-a-thai-binh-duong.htm</t>
  </si>
  <si>
    <t>Việt Nam là thị trường trung tâm dữ liệu mới nổi của châu Á - Thái Bình Dương</t>
  </si>
  <si>
    <t>Việt Nam nổi lên như thị trường data center mới của châu Á-Thái Bình Dương</t>
  </si>
  <si>
    <t>Báo cáo xếp Việt Nam vào top 5 thị trường data center tăng trưởng nhanh nhất APAC, nhờ điện giá rẻ, vị trí địa lý chiến lược và chính sách thu hút FDI công nghệ.
Các tên tuổi lớn như Google, Microsoft, Amazon đang hoặc đang xem xét mở rộng data center tại VN.
Đây là cơ sở hạ tầng nền tảng: khi data center mở rộng tại VN, chi phí cloud và AI inference tại VN sẽ giảm đáng kể.</t>
  </si>
  <si>
    <t>Vietnam; data center; APAC; cloud infrastructure; Google; Microsoft; FDI; digital infrastructure</t>
  </si>
  <si>
    <t>https://vneconomy.vn/techconnect/giai-ma-nhung-diem-khac-biet-trong-vong-goi-von-moi-nhat-cua-openai.htm</t>
  </si>
  <si>
    <t>Giải mã những điểm khác biệt trong vòng gọi vốn mới nhất của OpenAI</t>
  </si>
  <si>
    <t>Giải mã vòng gọi vốn mới nhất của OpenAI – Cấu trúc đặc biệt và hàm ý cho hệ sinh thái AI</t>
  </si>
  <si>
    <t>Vòng gọi vốn mới nhất của OpenAI có cấu trúc đặc biệt: kết hợp equity và revenue-sharing, định giá dựa trên ARR thay vì pre-money valuation truyền thống.
Cấu trúc này phản ánh nỗ lực cân bằng giữa chuyển đổi sang for-profit và bảo vệ mission phi lợi nhuận ban đầu.
Tín hiệu cho hệ sinh thái: AI unicorn sẽ cần cấu trúc vốn sáng tạo hơn khi tiến đến IPO.</t>
  </si>
  <si>
    <t>OpenAI; funding round; valuation; AI investment; ARR; venture capital; for-profit</t>
  </si>
  <si>
    <t>https://techcrunch.com/2026/04/10/youtube-premium-youtube-music-subscription-price-increase/</t>
  </si>
  <si>
    <t>YouTube Premium, YouTube Music subscription price increase</t>
  </si>
  <si>
    <t>YouTube Premium tăng giá – Nền tảng streaming subscription tiếp tục siết mô hình thu phí</t>
  </si>
  <si>
    <t>YouTube Premium và YouTube Music tăng giá thuê bao tại nhiều thị trường, tiếp nối xu hướng tăng giá của Netflix, Spotify và Disney+.
Giá tăng phản ánh nhu cầu cải thiện biên lợi nhuận của mảng subscription sau thời kỳ tăng trưởng user chậm lại.
Ảnh hưởng trực tiếp đến hàng triệu người dùng VN dùng YouTube Premium; mở ra cơ hội cho nền tảng nội địa.</t>
  </si>
  <si>
    <t>YouTube Premium; price increase; subscription; streaming; Google; platform monetization</t>
  </si>
  <si>
    <t>https://genk.vn/khong-co-chuyen-ai-thay-the-lap-trinh-vien-hon-67000-tin-tuyen-dung-moi-duoc-dang-tai-cao-nhat-3-nam-qua-165260409135710135.chn</t>
  </si>
  <si>
    <t>Không có chuyện AI thay thế lập trình viên: Hơn 67.000 tin tuyển dụng mới được đăng tải – cao nhất 3 năm qua</t>
  </si>
  <si>
    <t>Hơn 67.000 tin tuyển dụng lập trình viên mới đăng tải – Mức cao nhất 3 năm, nhu cầu AI skills tăng vọt</t>
  </si>
  <si>
    <t>Dữ liệu tuyển dụng toàn cầu Q1/2026 ghi nhận hơn 67.000 tin tuyển dụng developer mới, cao nhất 3 năm – đi ngược lo ngại AI thay thế lập trình viên.
Cầu tăng chủ yếu ở AI/ML engineering, LLM fine-tuning và AI infrastructure, không phải traditional software.
Hàm ý: AI đang tạo ra nhu cầu nhân lực mới, không phải thay thế – developer cần upskill AI để tận dụng cơ hội này.</t>
  </si>
  <si>
    <t>developer jobs; AI jobs; software engineering; AI skills; tech hiring; labor market</t>
  </si>
  <si>
    <t>https://genk.vn/hon-10-ngay-nua-chinh-sach-moi-tac-dong-hang-trieu-thue-bao-di-dong-se-chinh-thuc-co-hieu-luc-nguoi-dan-luu-y-16526040321485996.chn</t>
  </si>
  <si>
    <t>Hơn 10 ngày nữa, chính sách mới tác động hàng triệu thuê bao di động sẽ chính thức có hiệu lực</t>
  </si>
  <si>
    <t>Chính sách xác thực SIM chính chủ chính thức có hiệu lực – Hàng triệu thuê bao di động bị ảnh hưởng</t>
  </si>
  <si>
    <t>Quy định xác thực SIM chính chủ bắt buộc chính thức có hiệu lực, ảnh hưởng trực tiếp đến hàng triệu thuê bao di động toàn quốc.
Người dùng chưa xác thực sẽ bị hạn chế dịch vụ; nhà mạng phải hoàn tất chuẩn hóa cơ sở dữ liệu thuê bao.
Đây là bước tiếp theo trong lộ trình chuẩn hóa định danh viễn thông, tạo nền tảng cho eKYC và xác thực tài chính số.</t>
  </si>
  <si>
    <t>SIM authentication; mobile subscriber; digital identity; VNEID; eKYC; Vietnam telecom</t>
  </si>
  <si>
    <t>https://dantri.com.vn/cong-nghe/bao-ve-an-toan-du-lieu-de-doi-pho-voi-toi-pham-mang-thoi-ai-20260407160001321.htm</t>
  </si>
  <si>
    <t>Bảo vệ an toàn dữ liệu để đối phó với tội phạm mạng thời AI</t>
  </si>
  <si>
    <t>Bảo vệ dữ liệu trước tội phạm mạng AI – Khuyến nghị thực hành cho doanh nghiệp Việt</t>
  </si>
  <si>
    <t>Tội phạm mạng sử dụng AI để tự động hóa tấn công phishing, deepfake và khai thác lỗ hổng ngày càng tinh vi.
Doanh nghiệp Việt được khuyến nghị triển khai multi-layer authentication, mã hóa dữ liệu và đào tạo nhận thức bảo mật cho nhân viên.
Nhắc lại bối cảnh hơn 1 triệu cuộc tấn công AI vào doanh nghiệp Việt được ghi nhận tuần trước.</t>
  </si>
  <si>
    <t>cybersecurity; AI attack; data protection; Vietnam enterprise; phishing; deepfake</t>
  </si>
  <si>
    <t>https://vnexpress.net/cuoc-dau-cua-hai-cong-cu-ai-tai-cong-so-trung-quoc-5060299.html</t>
  </si>
  <si>
    <t>Cuộc đấu của hai công cụ AI tại công sở Trung Quốc</t>
  </si>
  <si>
    <t>Cuộc đua hai công cụ AI tại văn phòng Trung Quốc – DeepSeek vs Kimi cạnh tranh enterprise</t>
  </si>
  <si>
    <t>Tại các văn phòng Trung Quốc, DeepSeek và Kimi (Moonshot AI) đang cạnh tranh trực tiếp để trở thành AI assistant mặc định cho người đi làm.
DeepSeek mạnh về phân tích, Kimi nổi bật về xử lý tài liệu dài; doanh nghiệp thường triển khai song song.
Tín hiệu về giai đoạn consolidation enterprise AI tại Trung Quốc, có thể phản chiếu vào VN trong 12–18 tháng tới.</t>
  </si>
  <si>
    <t>DeepSeek; Kimi; enterprise AI; China; AI assistant; workplace productivity</t>
  </si>
  <si>
    <t>https://vnexpress.net/cuu-nhan-vien-meta-bi-dieu-tra-vi-tai-30-000-anh-rieng-tu-nguoi-dung-5060342.html</t>
  </si>
  <si>
    <t>Cựu nhân viên Meta bị điều tra vì tải 30.000 ảnh riêng tư của người dùng</t>
  </si>
  <si>
    <t>Cựu nhân viên Meta bị điều tra vì tải 30.000 ảnh riêng tư người dùng – Rủi ro insider threat trong Big Tech</t>
  </si>
  <si>
    <t>Cựu nhân viên Meta bị điều tra hình sự sau khi bị phát hiện tải trái phép 30.000 ảnh riêng tư của người dùng trong thời gian làm việc.
Vụ việc phơi bày rủi ro insider threat: quyền truy cập dữ liệu nội bộ là lỗ hổng bảo mật lớn mà biện pháp kỹ thuật không đủ bảo vệ.
Tạo áp lực tăng cường data governance và audit log access cho mọi nền tảng lưu trữ dữ liệu nhạy cảm.</t>
  </si>
  <si>
    <t>Meta; data breach; insider threat; user photos; privacy; data governance; employee access</t>
  </si>
  <si>
    <t>https://genk.vn/canh-bao-ung-dung-gdpx-mao-danh-bo-nong-nghiep-va-moi-truong-de-keu-goi-nhan-token-165260410080547913.chn</t>
  </si>
  <si>
    <t>Cảnh báo ứng dụng GDPX mạo danh Bộ Nông nghiệp và Môi trường để kêu gọi nhận token</t>
  </si>
  <si>
    <t>Cảnh báo app GDPX mạo danh Bộ Nông nghiệp kêu gọi nhận token – Lừa đảo crypto mới nhắm vào người dùng di động</t>
  </si>
  <si>
    <t>App GDPX sử dụng giao diện và logo giả mạo Bộ Nông nghiệp và Môi trường để lừa người dùng kết nối ví crypto và nhận 'token thưởng'.
Đây là mô hình lừa đảo kết hợp identity theft + crypto scam, ngày càng tinh vi hơn nhờ AI deepfake.
Cơ quan chức năng khuyến nghị người dùng chỉ tải app từ nguồn chính thức và xác minh qua website .gov.vn.</t>
  </si>
  <si>
    <t>crypto scam; fake app; GDPX; Vietnam; token fraud; digital identity theft; mobile security</t>
  </si>
  <si>
    <t>https://vnexpress.net/hang-loat-to-chuc-keu-goi-chan-rac-ai-tren-youtube-kids-5057464.html</t>
  </si>
  <si>
    <t>Hàng loạt tổ chức kêu gọi chặn rác AI trên YouTube Kids</t>
  </si>
  <si>
    <t>Hàng loạt tổ chức kêu gọi chặn nội dung AI spam trên YouTube Kids – Áp lực kiểm soát AI content cho trẻ em</t>
  </si>
  <si>
    <t>Liên minh các tổ chức bảo vệ trẻ em kêu gọi YouTube tăng cường lọc nội dung AI-generated trên YouTube Kids sau khi phát hiện hàng nghìn video spam AI nhắm vào trẻ em.
Nội dung AI spam vượt qua bộ lọc thông thường do không vi phạm từ khóa nhưng chứa pattern gây hại.
Tạo áp lực bổ sung lên Google và precedent cho quy định AI content ở platform dành cho trẻ em.</t>
  </si>
  <si>
    <t>YouTube Kids; AI content; spam; child safety; Google; AI moderation; regulation</t>
  </si>
  <si>
    <t>https://vnexpress.net/cong-cu-danh-gia-nang-luc-day-hoc-cua-mo-hinh-ai-tieng-viet-5059591.html</t>
  </si>
  <si>
    <t>Công cụ đánh giá năng lực dạy-học của mô hình AI tiếng Việt</t>
  </si>
  <si>
    <t>Công cụ benchmark đánh giá AI dạy-học tiếng Việt – Chuẩn hóa chất lượng AI giáo dục nội địa</t>
  </si>
  <si>
    <t>Ra mắt công cụ benchmark mã nguồn mở để đánh giá khả năng dạy và học của mô hình AI tiếng Việt, bao gồm các tác vụ giải thích, đặt câu hỏi và phản hồi học sinh.
Đây là bước chuẩn hóa đầu tiên cho AI giáo dục tiếng Việt, tương tự MMLU hay HumanEval cho tiếng Anh.
Cơ sở quan trọng để so sánh và lựa chọn mô hình AI cho ứng dụng edtech tại VN.</t>
  </si>
  <si>
    <t>Vietnam AI; education AI; benchmark; Vietnamese NLP; edtech; AI evaluation; open-source</t>
  </si>
  <si>
    <t>https://genk.vn/viettel-post-ap-dung-phu-phi-xang-dau-15-tu-ngay-6-4-165260405125632613.chn</t>
  </si>
  <si>
    <t>Viettel Post áp dụng phụ phí xăng dầu 1,5% từ ngày 6/4</t>
  </si>
  <si>
    <t>Viettel Post áp dụng phụ phí xăng dầu 1,5% từ 6/4 – Chi phí logistics tăng thêm cho merchant TMĐT</t>
  </si>
  <si>
    <t>Viettel Post bắt đầu thu phụ phí xăng dầu 1,5% trên cước vận chuyển từ 6/4, ảnh hưởng đến chi phí vận hành của merchant TMĐT.
Đây là động thái của đơn vị logistics lớn nhất Việt Nam trong bối cảnh giá nhiên liệu biến động.
Merchant bán hàng online cần điều chỉnh bảng giá hoặc hấp thụ chi phí, ảnh hưởng đến margin vốn đã mỏng.</t>
  </si>
  <si>
    <t>Viettel Post; logistics; fuel surcharge; e-commerce; merchant cost; Vietnam delivery</t>
  </si>
  <si>
    <t>https://techcrunch.com/2026/04/08/social-media-ban-children-countries-list/</t>
  </si>
  <si>
    <t>Social media bans for children: which countries have them?</t>
  </si>
  <si>
    <t>Danh sách quốc gia cấm trẻ em dùng mạng xã hội – Xu hướng lập pháp bảo vệ trẻ em số lan rộng</t>
  </si>
  <si>
    <t>Tổng hợp các quốc gia đã ban hành hoặc đang xây dựng luật cấm trẻ em dưới 16 tuổi dùng mạng xã hội, bao gồm Australia, Pháp, Anh và một số bang Mỹ.
Xu hướng lập pháp lan rộng phản ánh áp lực xã hội và khoa học về tác hại của social media với trẻ em.
Việt Nam chưa có quy định tương tự nhưng áp lực từ phụ huynh và giáo dục đang tăng.</t>
  </si>
  <si>
    <t>social media ban; children; regulation; Australia; France; digital safety; child protection</t>
  </si>
  <si>
    <t>https://genk.vn/google-ra-app-ghi-am-ai-mien-phi-tu-loc-um-a-khi-ban-noi-165260704072639408.chn</t>
  </si>
  <si>
    <t>Google ra app ghi âm AI miễn phí, tự lọc 'ừm', 'à' khi bạn nói</t>
  </si>
  <si>
    <t>Google ra mắt app ghi âm AI miễn phí tự động lọc tiếng ừm/à – AI audio đến tay người dùng phổ thông</t>
  </si>
  <si>
    <t>Google ra mắt ứng dụng ghi âm AI miễn phí có khả năng tự động lọc filler words (ừm, à, ờ) và cải thiện chất lượng giọng nói.
Đây là sản phẩm AI consumer hướng tới người dùng đại chúng, không cần kỹ năng kỹ thuật.
Phản ánh xu hướng AI audio democratization – tính năng từng chỉ có trong phần mềm chuyên nghiệp nay miễn phí.</t>
  </si>
  <si>
    <t>Google; AI audio; voice recording; filler words; consumer AI; productivity</t>
  </si>
  <si>
    <t>https://vnexpress.net/thanh-tri-airdrop-cua-apple-lung-lay-5056424.html</t>
  </si>
  <si>
    <t>Thành trì AirDrop của Apple lung lay</t>
  </si>
  <si>
    <t>Thành trì AirDrop của Apple lung lay – Cạnh tranh từ các giải pháp chia sẻ file đa nền tảng</t>
  </si>
  <si>
    <t>AirDrop đang đối mặt cạnh tranh từ các giải pháp chia sẻ file đa nền tảng như Nearby Share của Android và Quick Share.
Người dùng ngày càng cần chia sẻ giữa iOS và Android, điều AirDrop không hỗ trợ.
Không có tác động thị trường lớn; là tín hiệu nhỏ về ecosystem openness.</t>
  </si>
  <si>
    <t>AirDrop; Apple; cross-platform; file sharing; Android; Quick Share</t>
  </si>
  <si>
    <t>https://techcrunch.com/2026/04/07/google-maps-can-now-write-captions-for-your-photos-using-ai/</t>
  </si>
  <si>
    <t>Google Maps can now write captions for your photos using AI</t>
  </si>
  <si>
    <t>Google Maps dùng AI tự động viết chú thích ảnh địa điểm</t>
  </si>
  <si>
    <t>Google Maps tích hợp tính năng AI tự động tạo caption mô tả cho ảnh người dùng đăng trên Maps.
Đây là cải thiện nhỏ trong UX, giúp địa điểm có mô tả phong phú hơn không cần người dùng tự viết.
Không có tác động chiến lược đáng kể.</t>
  </si>
  <si>
    <t>Google Maps; AI caption; photo; UX; local discovery; Google</t>
  </si>
  <si>
    <t>https://techcrunch.com/2026/04/09/you-can-now-edit-your-instagram-comments/</t>
  </si>
  <si>
    <t>You can now edit your Instagram comments</t>
  </si>
  <si>
    <t>Instagram cho phép chỉnh sửa bình luận – Tính năng nhỏ cải thiện UX</t>
  </si>
  <si>
    <t>Instagram ra mắt tính năng cho phép chỉnh sửa bình luận sau khi đăng, tính năng từng chỉ có trên Twitter/X và Facebook.
Đây là cải thiện UX nhỏ, không ảnh hưởng đến competitive landscape.
Không có tác động thị trường đáng kể.</t>
  </si>
  <si>
    <t>Instagram; comment editing; UX; social media; Meta</t>
  </si>
  <si>
    <t>https://genk.vn/lg-trinh-dien-loat-cong-nghe-moi-nhat-cua-minh-tai-innofest-apac-2026-he-lo-chien-luoc-cho-tat-ca-nganh-hang-tai-khu-vuc-chau-a-165260409105610425.chn</t>
  </si>
  <si>
    <t>LG trình diễn loạt công nghệ mới nhất tại InnoFest APAC 2026, hé lộ chiến lược cho tất cả ngành hàng tại khu vực châu Á</t>
  </si>
  <si>
    <t>LG trình diễn chiến lược AI toàn ngành hàng tại InnoFest APAC 2026</t>
  </si>
  <si>
    <t>LG tổ chức InnoFest APAC 2026 tại Việt Nam để giới thiệu các sản phẩm AI-integrated (TV, tủ lạnh, điều hòa thông minh) cho thị trường châu Á.
Sự kiện mang tính PR và channel activation, không có announcement chiến lược đột phá.
Không có tác động đáng kể đến competitive landscape công nghệ tại VN trong ngắn hạn.</t>
  </si>
  <si>
    <t>LG; InnoFest; APAC; smart home; consumer electronics; product launch</t>
  </si>
  <si>
    <t>https://techcrunch.com/2026/04/09/avecs-tinder-styled-email-app-allows-you-to-swipe-through-your-inbox/</t>
  </si>
  <si>
    <t>Avec's Tinder-styled email app allows you to swipe through your inbox</t>
  </si>
  <si>
    <t>Avec ra mắt app email kiểu Tinder – Vuốt phải/trái để xử lý hộp thư đến</t>
  </si>
  <si>
    <t>Avec là email app mới với UX lấy cảm hứng từ Tinder, cho phép user vuốt phải/trái để archive hoặc xử lý email.
Sản phẩm sáng tạo trong UX nhưng chưa rõ liệu có giải quyết được email overload thực sự.
Không có tác động thị trường đáng kể, là sản phẩm niche.</t>
  </si>
  <si>
    <t>email app; Avec; swipe UX; inbox management; productivity; startup</t>
  </si>
  <si>
    <t>https://techcrunch.com/2026/04/01/a-new-dating-app-sonder-has-a-deliberately-annoying-sign-up-process-and-its-working/</t>
  </si>
  <si>
    <t>A new dating app, Sonder, has a deliberately annoying sign-up process (and it's working)</t>
  </si>
  <si>
    <t>Sonder – App hẹn hò mới cố tình làm khó đăng ký và đang hiệu quả</t>
  </si>
  <si>
    <t>Sonder là app hẹn hò mới với chiến lược ngược: quy trình đăng ký cố tình phức tạp để lọc người dùng không nghiêm túc.
Chiến lược friction-based onboarding tạo ra user quality cao hơn, dẫn đến retention và match quality tốt hơn.
Thú vị về mặt product design nhưng không có tác động thị trường đáng kể tại VN/SEA.</t>
  </si>
  <si>
    <t>Sonder; dating app; UX; friction; onboarding; product design; social app</t>
  </si>
  <si>
    <t>https://vnexpress.net/nhieu-nguoi-nhin-trom-man-hinh-smartphone-nguoi-khac-noi-cong-cong-5059746.html</t>
  </si>
  <si>
    <t>Nhiều người nhìn trộm màn hình smartphone người khác nơi công cộng</t>
  </si>
  <si>
    <t>Khảo sát: Nhiều người nhìn trộm màn hình smartphone người khác nơi công cộng – Hành vi 'shoulder surfing'</t>
  </si>
  <si>
    <t>Khảo sát cho thấy tỉ lệ cao người dùng nhìn trộm màn hình điện thoại người khác ở nơi công cộng (tàu điện, quán cà phê, phòng chờ).
Hành vi này (shoulder surfing) có thể dẫn đến rủi ro lộ thông tin nhạy cảm.
Không có tác động thị trường; mang tính thông tin hành vi người dùng.</t>
  </si>
  <si>
    <t>shoulder surfing; smartphone privacy; public behavior; digital security; consumer behavior</t>
  </si>
  <si>
    <t>https://techcrunch.com/2026/04/09/x-brings-back-voice-notes-to-x-chat/</t>
  </si>
  <si>
    <t>X brings back voice notes to X Chat</t>
  </si>
  <si>
    <t>X khôi phục tính năng ghi âm giọng nói trong X Chat – Cải thiện nhỏ trong messaging</t>
  </si>
  <si>
    <t>X (Twitter) khôi phục tính năng ghi âm tin nhắn giọng nói trong DMs sau khi bị gỡ trước đó.
Đây là tính năng tiêu chuẩn có ở hầu hết messaging app, không tạo ra lợi thế cạnh tranh.
Không có tác động thị trường đáng kể.</t>
  </si>
  <si>
    <t>X; Twitter; voice notes; messaging; DMs; social media features</t>
  </si>
  <si>
    <t>https://www.momo.vn/tin-tuc/khuyen-mai/sieu-hoi-hoan-tien-tro-lai-vi-tra-sau-tren-momo-8616</t>
  </si>
  <si>
    <t>Ví Trả Sau trên MoMo hoàn tiền "khủng" cho cả Người dùng và Đơn vị chấp nhận thanh toán</t>
  </si>
  <si>
    <t>MoMo Ví Trả Sau: "Siêu hội hoàn tiền" Hoàn 10-20% cho cả user &amp; SME merchant tại 6 tỉnh/thành</t>
  </si>
  <si>
    <t>MoMo tái kích hoạt 'Siêu Hội Hoàn Tiền' cho Ví Trả Sau tại 6 tỉnh (Long An, Cần Thơ, An Giang, Bắc Ninh, Hải Phòng, Bắc Giang). Chiến lược kép: mở rộng BNPL xuống tỉnh + kích hoạt SME merchant offline
- Ưu đãi người dùng: tối đa 5 giao dịch/ ngày và 30 giao dịch/ tháng
  - Hoàn tiền ngay: Hoàn 10% tối đa 10k tại Long An, Bắc Ninh và 20% tối đa 10k tại Cần Thơ, Hải Phòng
  - Hoàn tiền có điều kiện: Hoàn 10% tối đa 10k tại An Giang, Bắc Giang khi sử dụng nguồn tiền Ví trả sau thanh toán hợp lệ tại cửa hàng và thực hiện thêm 1 giao dịch hợp lệ tiếp theo bằng Ví trả sau tại các ĐVCNTT có áp dụng chương trình để mở khóa tiền hoàn từ giao dịch trước
- Ưu đãi đơn vị chấp nhận thanh toán (ĐVCNTT): tối đa 10 giao dịch/ ngày và 300 giao dịch/ tháng
  - Hoàn 10% tối đa 10k trên giá trị giao dịch cho mỗi giao dịch người dùng dùng ví trả sau
  - Rút tiền hoàn khi tích lũy từ 5 giao dịch thỏa điều kiện
- Thời gian: 10/04 - 30/04
- Rút tiền hoàn về Ví MoMo trước 23h50 ngày 10/05 nếu không sẽ bị thu hồi</t>
  </si>
  <si>
    <t>Ví Trả Sau; BNPL; cashback; hoàn tiền; SME; merchant; tỉnh thành; Long An; Bắc Ninh</t>
  </si>
  <si>
    <t>Nhận tiền quốc tế</t>
  </si>
  <si>
    <t>https://www.momo.vn/tin-tuc/thong-bao/cach-nhan-tien-tu-nuoc-ngoai-ve-viet-nam-qua-momo-8602</t>
  </si>
  <si>
    <t>Cách nhận tiền từ nước ngoài về Việt Nam qua MoMo</t>
  </si>
  <si>
    <t>Nhận tiền từ nước ngoài qua SĐT: Taptap Send, GmoneyTrans, Western Union về thẳng ví</t>
  </si>
  <si>
    <t>MoMo hỗ trợ nhận tiền quốc tế trực tiếp qua số điện thoại MoMo, áp dụng cho Taptap Send, GmoneyTrans, Western Union
- Tiền về trong vài phút, miễn phí, hoạt động 24/7
- Người nhận cần xác thực KYC và liên kết ngân hàng
- Đây là bước tiến chiến lược mở rộng sang thị trường kiều hối và cross-border payments</t>
  </si>
  <si>
    <t>kiều hối; remittance; cross-border; Western Union; Taptap Send; GmoneyTrans; international transfer</t>
  </si>
  <si>
    <t>MoMo Student Pass</t>
  </si>
  <si>
    <t>Ví MoMo</t>
  </si>
  <si>
    <t>https://www.momo.vn/tin-tuc/tin-tuc-su-kien/chuyen-tau-san-qua-cung-bestie-kham-pha-dao-dac-8612</t>
  </si>
  <si>
    <t>Chuyến Tàu Săn Quà: Cùng Bestie khám phá đảo đặc quyền, săn mộc đổi quà sinh viên!</t>
  </si>
  <si>
    <t>Gamification: MoMo Student Pass – Chuyến Tàu Săn Quà: Sự kiện gamification online-offline cho sinh viên tháng 4/2026</t>
  </si>
  <si>
    <t>MoMo Student Pass tổ chức sự kiện gamification kết hợp online (4 đảo nhiệm vụ trên app) và offline tại Nhà Văn Hóa Sinh Viên TP.HCM (18-19/04/2026). Sinh viên hoàn 04 nhiệm vụ tích mộc để đổi quà. Đây là chiến lược deepening engagement với phân khúc sinh viên 18-24
- Nhiệm vụ:  nhận Mộc 1 - 3 sao
  - Đảo Student Pass - tương tác trên cộng đồng Student Pass (like, share, viết bài)
  - Đảo ViVu - tương tác trong MoMo Travel - Du lịch đi lại (tìm kiếm, thu thập ưu đãi, mau vé xe/tài/trải nghiệm)
  - Đảo Chu Kim - quét QR ngân hàng từ MoMo (1 - 3 - 5 ngày liên tiếp) &amp; bình luận bài viết trên MoMo
  - Đảo Điện Ảnh - MoMo mua vé xem phim (viết review phim, mua vé xem phim lần 1, lần 2)
- Phần thưởng - nhận tại quầy offline 9h - 18h ngày 18/04 - 19/04; khung giờ rút thăm 16h
  - Mộc 1 sao: Bộ quà tặng MoMo cơ bản
  - Mộc 2 sao: Bộ quà tặng MoMo đặc biệt
  - Mộc 3 sao: Tham gia rút thăm tại Quầy nhận vé máy bay, máy ảnh Fujifilm</t>
  </si>
  <si>
    <t>Student Pass; sinh viên; gamification; offline event; Fujifilm; vé máy bay; mộc</t>
  </si>
  <si>
    <t>Quỹ</t>
  </si>
  <si>
    <t>https://www.momo.vn/tin-tuc/khuyen-mai/dung-quy-tich-sao-chia-thuong-100-trieu-dong-8613</t>
  </si>
  <si>
    <t>Dùng Quỹ tích Sao, chia thưởng 100 triệu đồng!</t>
  </si>
  <si>
    <t>Gamification: MoMo Quỹ – Dũng Quỹ tích sao, chia thưởng 100 triệu đồng</t>
  </si>
  <si>
    <t>MoMo triển khai cơ chế gamification 'Tích Sao' để thúc đẩy adoption cho sản phẩm Quỹ. Người dùng thực hiện giao dịch thanh toán hoặc chuyển bằng Quỹ để nhận phần quà theo từng mốc
- Mốc 1 (đến hết 30/4): Tích 1 sao nhận 5 xu
- Mốc 2 (đến hết 31/5): Tích 2 sao nhận 5 xu
- Mốc 3 (đến hết 20/06): Tích đủ 3 sao chia thưởng 100 triệu đồng tiền mặt
- Mỗi tháng tích 1 sao, tiền thưởng được chuyển vào Quỹ thưởng trên Miniapp Quỹ</t>
  </si>
  <si>
    <t>Quỹ; tích Sao; chia thưởng; investment; activation; gamification; 100 triệu</t>
  </si>
  <si>
    <t>https://www.momo.vn/tin-tuc/khuyen-mai/nhan-dung-2000d-qua-qr-nhan-tien-momo-tang-them-8607</t>
  </si>
  <si>
    <t>Nhận đúng 2.000đ qua QR Nhận Tiền, MoMo tặng thêm 2.000đ!</t>
  </si>
  <si>
    <t>QR Nhận Tiền: Nhận 2k và MoMo tặng 2.000đ</t>
  </si>
  <si>
    <t>MoMo triển khai mini-campaign kích thích hành vi sử dụng QR Nhận Tiền 100% có thưởng
- Đối tượng: Khách hàng chưa từng nhận tiền qua mã QR MoMo
- Ưu đãi: đúng 2.000đ qua QR nhận tiền sẽ được MoMo tặng thêm 2.000đ. Chiến thuật gamification micro-transaction để tăng frequency sử dụng tính năng QR
- Thời gian diễn ra: 07/04 - 30/04
- Giới hạn: 01 lần/ một tài khoản</t>
  </si>
  <si>
    <t>QR nhận tiền; micro-transaction; cashback; gamification; tặng tiền; P2P</t>
  </si>
  <si>
    <t>https://www.momo.vn/tin-tuc/khuyen-mai/nhan-5000d-qua-qr-nhan-tien-co-ngay-tien-thuong-8610</t>
  </si>
  <si>
    <t>Nhận 5.000đ qua QR Nhận Tiền, có ngay tiền thưởng &amp; cơ hội trúng 9.999.999đ từ MoMo!</t>
  </si>
  <si>
    <t>QR Nhận Tiền: Nhận 5k và cơ hội trúng 9.999.999đ từ MoMo</t>
  </si>
  <si>
    <t>100% có thưởng. Dùng mã QR nhận tiền để nhận đúng 5.000đ. Cơ hội nhận thêm tiền thường dựa trên số duôi mã giao dịch nhận tiền: 
- Đối tượng: KH đã từng nhận tiền qua mã QR nhận tiền trong 1-3/2026. 
- Đuôi 20262026: Nhận 9.999.999đ (tối đa 1 giải)
- Đuôi 9999: Nhận 999.000đ (tối đa 2 giải)
- Đuôi 999: Nhận 99.000đ (tối đa 5 giải)
*Mã giao dịch nhận tiền có số đuôi khác với các số trên: 
- 1.000 khách hàng đầu tiên: Nhận 1.000đ
- Các khách hàng còn lại: 120đ (246.081 phần quà)
- Giới hạn: 01 lần/ một tài khoản</t>
  </si>
  <si>
    <t>QR nhận tiền; P2P; cashback; trúng thưởng; gamification; micro-transaction</t>
  </si>
  <si>
    <t>https://www.momo.vn/tin-tuc/khuyen-mai/nhan-3000d-qua-qr-nhan-tien-co-ngay-tien-thuong-8611</t>
  </si>
  <si>
    <t>Nhận 3.000đ qua QR Nhận Tiền, có ngay tiền thưởng &amp; cơ hội trúng 2.026.000đ từ MoMo!</t>
  </si>
  <si>
    <t>QR Nhận Tiền: Nhận 3k và cơ hội trúng 2.026.000đ từ MoMo</t>
  </si>
  <si>
    <t>100% có thưởng. Dùng mã QR nhận tiền để nhận đúng 3.000đ. Cơ hội nhận thêm tiền thường dựa trên số duôi mã giao dịch (MGD) nhận tiền: 
- Đối tượng: KH chưa nhận tiền qua mã QR trong tháng 4/2026 
- MGD đuôi 20262026: Nhận 2.026.000đ (tối đa 1 giải)
- MGD đuôi 2026: Nhận 226.000đ (tối đa 3 giải)
- MGD đuôi 202: Nhận 26.000đ (tối đa 10 giải)
Mã giao dịch nhận tiền có số đuôi khác với các số trên: 50đ
- Giới hạn: 01 lần/ một tài khoản</t>
  </si>
  <si>
    <t>QR nhận tiền; P2P; cashback; trúng thưởng; gamification; 2026</t>
  </si>
  <si>
    <t>https://www.momo.vn/tin-tuc/khuyen-mai/nhan-qua-ban-moi-vi-tra-sau-san-qua-hoan-tien-den-8594</t>
  </si>
  <si>
    <t>Nhận Quà Bạn Mới Ví Trả Sau - Săn quà hoàn tiền đến 50K</t>
  </si>
  <si>
    <t>Ví Trả Sau: Chương trình quà tặng bạn mới, hoàn tiền đến 50K</t>
  </si>
  <si>
    <t>Ưu đãi nhằm kích hoạt người dùng mới đăng ký và kích hoạt sản phẩm Ví Trả Sau (BNPL) của MoMo.
- Cách thức: Mở tài khoản, tích 1 điểm/1 nhiệm vụ hoàn thành và đổi thẻ quà hoàn tiền, tổng giá trị lên đến 50k
- Thời gian: 07/04 – 07/05/2026
- Miễn phí 5 giao dịch đầu tiên bằng ví trả sau trong thời gian diễn ra chương trình
- Nhiệm vụ thanh toán với Ví trả sau: nạp điện thoại, đặt xe di chuyển trên ứng dụng gọi xe, TiktokShop, ăn uống, siêu thị, cửa hàng tiện lợi</t>
  </si>
  <si>
    <t>Ví Trả Sau; BNPL; user acquisition; bạn mới; hoàn tiền; onboarding</t>
  </si>
  <si>
    <t>https://www.momo.vn/tin-tuc/khuyen-mai/vi-vu-he-cung-vietjet-air-giam-15-danh-rieng-cho-8598</t>
  </si>
  <si>
    <t>Vi vu hè cùng Vietjet Air: Giảm 15% dành riêng cho hạng Deluxe!</t>
  </si>
  <si>
    <t>MoMo Travel x Vietjet Air: Ưu đãi 15% vé hạng Deluxe hè 2026</t>
  </si>
  <si>
    <t>MoMo Travel hợp tác Vietjet Air khuyễn mãi hạng vé Deluxe: Giảm 15% cho đường bay nội địa và 10% cho đường bay quốc tế
- Thời hạn ưu đãi: từ 23h00 ngày 12/4/2026
- Thời gian bay: 01/04 - 31/8 trừ Lễ, Tết, cao điểm
- Giới hạn ưu đãi: 1 combo tối đa 1 lần/1 tài khoản</t>
  </si>
  <si>
    <t>Vietjet Air; vé máy bay; MoMo Travel; Deluxe; partnership; travel</t>
  </si>
  <si>
    <t>https://www.momo.vn/tin-tuc/khuyen-mai/bay-he-tu-mien-trung-di-phu-quoc-sun-phuquoc-8617</t>
  </si>
  <si>
    <t>Bay hè từ miền Trung đi Phú Quốc: Sun PhuQuoc Airways giảm đến 15%!</t>
  </si>
  <si>
    <t>MoMo Travel x Sun PhuQuoc Airways: Giảm 10-15% vé bay Cam Ranh/Đà Nẵng – Phú Quốc hè 2026</t>
  </si>
  <si>
    <t>MoMo Travel hợp tác Sun PhuQuoc Airways cung cấp ưu đãi 
- 10% đường bay Cam Ranh &lt;-&gt; Phú quốc
- 15% thời gian bay 15/04 - 20/5 đường bay Đà Nẵng &lt;-&gt; Phú Quốc
- 10% thời gian bay 21/05 - 24/10 đường bay Đà Nẵng &lt;-&gt; Phú Quốc
- Thời gian bán: 09/04 - 25/04
- Thời gian bay: 15/04 - 24/10 loại trừ các giao đoạn cao điểm và cao điểm đặc biệt</t>
  </si>
  <si>
    <t>Sun PhuQuoc Airways; vé máy bay; MoMo Travel; Phú Quốc; Đà Nẵng; Cam Ranh</t>
  </si>
  <si>
    <t>https://www.momo.vn/tin-tuc/khuyen-mai/giat-li-xi-quanh-nam-mo-man-voi-su-kien-mung-dai-8600</t>
  </si>
  <si>
    <t>Giật Lì Xì Quanh Năm: Mở màn với sự kiện mừng Đại Lễ tháng 4, nhận đến 304k!</t>
  </si>
  <si>
    <t>Gamification Giật Lì Xì Quanh Năm: Series sự kiện định kỳ cuối tháng, mở màn Đại Lễ 30/4 (tổng thưởng 64tr+)</t>
  </si>
  <si>
    <t>MoMo ra mắt format 'Giật Lì Xì Quanh Năm' định kỳ thời điểm Mùa Đại Lễ
Giỗ Tổ Hùng Vương: tổng thưởng 20.360.525đ
- Thời gian làm nhiệm vụ: 10/4 - 13h 29/4, giật lì xì 12h - 13h ngày 29/04
- Nhiệm vụ: Chuyển tiền ngân hàng 2.999đ
- Cơ cấu giải thưởng: 2675 bao 103đ, 4000 bao 1030đ, 1300 bao 10300đ, 25 bao 103000đ
30/4: tổng thưởng 44.531.440đ 
- Thời gian làm nhiệm vụ: 10/4 - 13h 30/4, giật lì xì 12h - 13h ngày 30/04
- Nhiệm vụ: Chuyển tiền ngân hàng dùng nguồn tiền từ ngân hàng liên kết 10.999đ
- Cơ cấu giải thưởng: 6483 bao 304đ, 2500 bao 3040đ, 1000 bao 30400đ, 15 bao 304000đ
*Giới hạn 1 lần/ loại bao, tối đa 2 lần/ 2 bao lì xì</t>
  </si>
  <si>
    <t>lì xì; Giỗ Tổ Hùng Vương; 30/4; Đại Lễ; recurring event; gamification; chuyển tiền</t>
  </si>
  <si>
    <t>Học phí</t>
  </si>
  <si>
    <t>https://www.momo.vn/tin-tuc/thong-bao/bieu-phi-moi-va-uu-dai-khi-thanh-toan-hoc-phi-ssc-8599</t>
  </si>
  <si>
    <t>Biểu Phí Mới Và Ưu Đãi Khi Thanh Toán Học Phí SSC Trên MoMo</t>
  </si>
  <si>
    <t>MoMo x SSC: Biểu phí mới và ưu đãi khi thanh toán học phí Trường SSC</t>
  </si>
  <si>
    <t>MoMo thông báo biểu phí mới kèm ưu đãi dành cho sinh viên khi thanh toán học phí Trường SSC qua ứng dụng
- Thay đổi về phí: Phí trước đây là 1% tối thiểu 10.000vnd/hoá đơn. Nay chỉ còn 5.000vnd/hoá đơn
- Ưu đãi cho người mới, giảm 10k thanh toán học phí
- Giới hạn: 1 combo tối đa 1 lần/ 1 khách hàng</t>
  </si>
  <si>
    <t>SSC; học phí; giáo dục; education payment; merchant; T&amp;C</t>
  </si>
  <si>
    <t>Bảo hiểm</t>
  </si>
  <si>
    <t>Bảo hiểm sức khỏe</t>
  </si>
  <si>
    <t>https://www.momo.vn/tin-tuc/khuyen-mai/nhan-ngay-50000-xu-thuong-doi-qua-khi-mua-bao-8614</t>
  </si>
  <si>
    <t>Nhận ngay 50.000 Xu thưởng đổi quà khi mua Bảo hiểm Sức khoẻ+ theo năm</t>
  </si>
  <si>
    <t>Bảo hiểm Sức khoẻ+: Mua gói năm nhận 50.000 Xu thưởng</t>
  </si>
  <si>
    <t>MoMo khuyến mãi 50.000 Xu thưởng để đổi ưu đãi giảm giá/ hoàn tiền cho khách mua Bảo hiểm Sức khoẻ+ theo gói năm. Không giới hạn thời gian. Ưu đãi nhằm thu hút người dùng mua sản phẩm Bảo hiểm sức khỏe+</t>
  </si>
  <si>
    <t>Bảo hiểm Sức khoẻ+; insurtech; Xu thưởng; loyalty; cross-sell; ecosystem</t>
  </si>
  <si>
    <t>https://www.momo.vn/tin-tuc/khuyen-mai/nhap-ma-happyday-moi-thu-3-4-5-sieu-hoi-hoan-tien-8615</t>
  </si>
  <si>
    <t>Nhập mã HAPPYDAY mỗi thứ 3 - 4 - 5: Siêu hội hoàn tiền khi xem phim trên MoMo</t>
  </si>
  <si>
    <t>Mua vé xem phim: Hoàn tiền 5K–10K mua vé thứ 3-4-5 hàng tuần</t>
  </si>
  <si>
    <t>MoMo ra mắt HAPPYDAY, hoàn 10.000đ (lần đầu) / 5.000đ (lần sau) khi mua vé xem phim và nhập mã HAPPYDAY vào thứ 3, 4, 5. Tối đa 3 lần/tuần và 1 lần/ngày. Chiến dịch recurring engagement nhằm thúc đẩy hành vi thanh toán mua vé xem phim qua MoMo</t>
  </si>
  <si>
    <t>HAPPYDAY; vé xem phim; cinema; cashback; hoàn tiền; weekly engagement</t>
  </si>
  <si>
    <t>Heo Đất / Ví Nhân Ái</t>
  </si>
  <si>
    <t>Ví Nhân Ái</t>
  </si>
  <si>
    <t>https://www.momo.vn/tin-tuc/cong-dong/thanh-cong-han-gan-nhip-dap-cho-5-trai-tim-nho-8601</t>
  </si>
  <si>
    <t>Thành công hàn gắn nhịp đập cho 5 trái tim nhỏ</t>
  </si>
  <si>
    <t>Ví nhân ái x Vietnam Children's Fund: Hoàn thành gây quỹ hỗ trợ chi phí phẫu thuật giúp 5 em nhỏ có hoàn cảnh khó khăn có trái tim khỏe mạnh</t>
  </si>
  <si>
    <t>Bài đăng ghi nhận kết quả chiến dịch thiện nguyện Heo Đất MoMo được huy động từ 17/01/2025. 10.194 lượt quyên góp cộng đồng người dùng MoMo, mang về 182.578.412 đồng chi trả cho các ca phẫu thuật tim cho 5 em nhỏ</t>
  </si>
  <si>
    <t>Ví nhân ái; thiện nguyện; CSR; bệnh tim; cộng đồng; brand story</t>
  </si>
  <si>
    <t>https://www.momo.vn/tin-tuc/cong-dong/mang-trai-tim-khoe-manh-cho-20-em-nho-8603</t>
  </si>
  <si>
    <t>Mang trái tim khỏe mạnh cho 20 em nhỏ</t>
  </si>
  <si>
    <t>Ví nhân ái x Vietnam Children's Fund: Hoàn thành gây quỹ hỗ trợ chi phí phẫu thuật giúp 20 em nhỏ có hoàn cảnh khó khăn có trái tim khỏe mạnh</t>
  </si>
  <si>
    <t>Bài CSR ghi nhận kết quả huy động quỹ Heo Đất MoMo từ 17/01/2025. 10.194 lượt quyên góp cộng đồng người dùng MoMo, mang về 182.578.412 đồng. Số tiền này được dùng để chi trả cho các ca phẫu thuật, mở ra cơ hội sống thứ hai cho 20 em nhỏ</t>
  </si>
  <si>
    <t>Ví nhân ái; CSR; thiện nguyện; bệnh tim; cộng đồng</t>
  </si>
  <si>
    <t>https://www.momo.vn/tin-tuc/cong-dong/thanh-cong-mang-hon-2500-dau-sach-den-voi-4-8604</t>
  </si>
  <si>
    <t>Thành công mang hơn 2.500 đầu sách đến với 4 trường học</t>
  </si>
  <si>
    <t>Ví nhân ái x Thư viện ước mơ: Hoàn thành gây quỹ góp 2.500 đầu sách trong 3 Thư Viện Ước Mơ ở trường học vùng sâu vùng xa</t>
  </si>
  <si>
    <t>Thông báo kết quả gây quỹ từ 08/05/2025. Dự án đã nhận về 80.000.000 đồng qua 3.749 lượt quyên góp; hoàn thành hơn 2.500 đầu sách đến 4 trường tiểu học Hồng Lạc, Quyết Thắng, Xuân Vân, Hồng Thái</t>
  </si>
  <si>
    <t>Ví nhân ái; thiện nguyện; sách; giáo dục; cộng đồng; brand story</t>
  </si>
  <si>
    <t>https://www.momo.vn/tin-tuc/cong-dong/cung-nhau-mang-nhung-bua-com-am-ap-den-cho-benh-8605</t>
  </si>
  <si>
    <t>Cùng nhau mang những bữa cơm ấm áp đến cho bệnh nhân</t>
  </si>
  <si>
    <t>Ví nhân ái x Bếp sẻ chia: Hoàn thành Chung tay hỗ trợ Bếp sẻ chia mang “NHÀ” và bữa ăn dinh dưỡng đến bên các bệnh nhi ung thư</t>
  </si>
  <si>
    <t xml:space="preserve">Thông báo kết quả gây quỹ từ 08/10/2025. Dự án đã nhận về 4.924.724 đồng, cùng với nguồn vốn từ Bếp sẻ chia được dùng vào việc duy trì và nâng cao chất lượng những bữa ăn dinh dưỡng hoàn toàn miễn phí cho các bệnh nhi và thân nhân có hoàn cảnh đặc biệt khó khăn. </t>
  </si>
  <si>
    <t>Ví nhân ái; thiện nguyện; bữa cơm; bệnh nhân; cộng đồng</t>
  </si>
  <si>
    <t>https://www.momo.vn/tin-tuc/cong-dong/chung-tay-giup-do-be-minh-quan-dieu-tri-ung-thu-8606</t>
  </si>
  <si>
    <t>Chung tay giúp đỡ bé Minh Quân điều trị ung thư</t>
  </si>
  <si>
    <t>Ví nhân ái x Bếp sẻ chia: Chung tay hỗ trợ y tế cho bé Minh Quân điều trị ung thư máu</t>
  </si>
  <si>
    <t>Thông báo kết quả gây quỹ từ 28/10/2025. Dự án đã nhận về 3.951 lượt quyên góp, mang về 95.658.272đ đồng tiếp sức cho hành trình chữa trị của bé Quân</t>
  </si>
  <si>
    <t>Ví Nhân Ái; crowdfunding; quyên góp; ung thư; CSR; thiện nguyện</t>
  </si>
  <si>
    <t>https://www.momo.vn/tin-tuc/khuyen-mai/khai-truong-satrafoods-becamex-binh-duong-giam-30-8618</t>
  </si>
  <si>
    <t>Khai trương Satrafoods Becamex Bình Dương giảm 30% khi thanh toán MoMo</t>
  </si>
  <si>
    <t>MoMo x Satrafoods Becamex Bình Dương: Khai trương – Giảm 30% tối đa 30.000đ</t>
  </si>
  <si>
    <t>MoMo hợp tác với Satrafoods Becamex Bình Dương triển khai ưu đãi khai trương: giảm 30% tối đa 30.000đ khi thanh toán bằng QR MoMo từ 01/04–17/05/2026; cho thấy hoạt động mở rộng merchant network sang phân khúc siêu thị/thực phẩm tại Bình Dương của MoMo</t>
  </si>
  <si>
    <t>Satrafoods; Becamex; Bình Dương; merchant; QR payment; khai trương; supermarket</t>
  </si>
  <si>
    <t>Phí quản lý chung cư</t>
  </si>
  <si>
    <t>https://zalopay.vn/zalopay-hop-tac-savills-viet-nam-thuc-day-giai-phap-thanh-toan-phi-quan-ly-chung-cu-khong-tien-mat-8338</t>
  </si>
  <si>
    <t>Zalo Website</t>
  </si>
  <si>
    <t>Zalopay hợp tác Savills Việt Nam: Thúc đẩy giải pháp thanh toán phí quản lý chung cư không tiền mặt</t>
  </si>
  <si>
    <t>Zalopay x Savills: Thúc đẩy giải pháp thanh toán phí quản lý chung cư không tiền mặt</t>
  </si>
  <si>
    <t>Nền tảng thanh toán Zalopay chính thức ký kết hợp tác chiến lược với Savills Việt Nam. Zalopay trở thành phương thức thanh toán không tiền mặt trong ứng dụng Property Cube – nền tảng quản lý bất động sản do Savills phát triển. Thông qua đó, cư dân và khách thuê tại tất cả chung cư, căn hộ cao cấp hay các dự án bất động sản do Savills phân phối đều có thể thanh toán phí quản lý, tiền thuê, điện nước và các dịch vụ tiện ích ngay trên ứng dụng một cách nhanh chóng, an toàn và minh bạch.
Đây là một động thái trong quá trình xây dựng một hệ sinh thái tài chính số liền mạch trong mọi nhu cầu của cuộc sống. Hợp tác với Savills là bước đi chiến lược để đưa giải pháp thanh toán trở thành một phần tự nhiên trong trải nghiệm sống của cư dân đô thị</t>
  </si>
  <si>
    <t>Zalopay x Savills; Thanh toán; Thanh toán phí quản lý chung cư; Thanh toán không tiền mặt</t>
  </si>
  <si>
    <t>XanhSM</t>
  </si>
  <si>
    <t>Chào GreenSM, ZaloPay khao 20%</t>
  </si>
  <si>
    <t>Zalopay x GreenSM: Giảm 20% tối đa 30k cho bạn mới</t>
  </si>
  <si>
    <t>Ưu đãi dành riêng cho khách hàng lần đầu thanh toán trên XanhSM bằng ZaloPay: Giảm 20% tối đa 30k trong thời gian 05/04 - 30/04</t>
  </si>
  <si>
    <t>Thanh toán đi lại; Thanh toán di chuyển; GreenSM; XanhSM</t>
  </si>
  <si>
    <t>Miniapp ăn uống</t>
  </si>
  <si>
    <t>Ưu đãi ăn uống ZaloPay</t>
  </si>
  <si>
    <t>Zalo ăn uống x KFC: Ưu đãi giảm giá thu thập tại Hub ăn uống hoặc KFC Mini-app</t>
  </si>
  <si>
    <t>- Voucher giảm 40k đơn 170k thu thập từ 01/04 - 05/04
- Voucher giảm 30k đơn 160k thu thập từ 06/04 - 30/4</t>
  </si>
  <si>
    <t>Zalo Hub ăn uống; Zalo Mini App ăn uống; KFC</t>
  </si>
  <si>
    <t>Giảm 10k - 20k - 30k khi thanh toán bằng tài khoản trả sau</t>
  </si>
  <si>
    <t>Tài khoản trả sau: Giảm 10k - 20k - 30k khi thanh toán bằng ví trả sau</t>
  </si>
  <si>
    <t>- Giảm 10k đơn từ 59k khi mua trực tiếp tại chi nhánh của Phúc Long, đặt online trên Zalopay (ZaloOA của Phúc Long) bằng Tài khoản trả sau
- Giảm 20k đơn từ 99k khi mua hàng tại tất cả thương hiệu ăn uống có chấp nhận thanh toán Zalopay bằng Tài khoản trả sau
- Giảm 30k đơn từ 120k khi mua hàng trực tiếp tại KFC hoặc online trên ứng dụng Zalopay bằng Tài khoản trả sau</t>
  </si>
  <si>
    <t>Zalo tài khoản trả sau; Thanh toán ăn uống bằng tài khoản trả sau</t>
  </si>
  <si>
    <t>Chiến dịch đặc biệt</t>
  </si>
  <si>
    <t>https://www.traveloka.com/vi-vn/promotion/sale?funnel_source=promotion-list-page&amp;funnel_id=desktop-web</t>
  </si>
  <si>
    <t>Sales mừng đại lễ 2026</t>
  </si>
  <si>
    <t>Traveloka Sale Đại Lễ 2026: Ưu đãi lên đến 50%. Hàng loạt mã giảm giá hấp dẫn và các khung giờ Flash Sale</t>
  </si>
  <si>
    <t>- Mã giảm giá bất ngờ vé máy bay, khách sạn, vui chơi - Thêm mới 0h mỗi ngày
- Flash sale khung giờ 11h &amp; 20h: Từ 1/4 - 20/4 giảm đến 50%; Từ 3 - 4/4 giảm đến 999k
- Giảm giá trực tiếp vé máy bay, khách sạn, vui chơi, du thuyền
- Ưu đãi từ các thương hiệu: 
  - SunWorld: Giảm 50k khi mua từ 2tr5 (trừ SunWorld Fansipan) hoặc 2% tối đa 2tr đơn từ 6tr
  - VinWonders: 2% tối đa 500k từ 2tr hoặc 2% tối đa 2tr đơn từ 6tr
  - VietnamAirlines, EVA Air, Sun PhuQuoc
  - Mường Thanh, A25: Giảm 50% tối đa 200k khi đặt từ 2 đêm hoặc 2 phòng; Giảm 2% tối đa 200k khi đặt từ 2tr5; Giảm 3% tối đa 300k khi đặt từ 4tr5</t>
  </si>
  <si>
    <t>Sale đại lễ; Đặt vé máy bay; Đặt khách sạn; Đặt vé vui chơi;</t>
  </si>
  <si>
    <t>https://www.traveloka.com/vi-vn/promotion/travel-to-south-korea?funnel_source=promotion-list-page&amp;funnel_id=desktop-web</t>
  </si>
  <si>
    <t>Deal cực chất, bay Hàn quanh năm</t>
  </si>
  <si>
    <t>Traveloka x Tổng cục du lịch hàn quốc: Giảm tới 300k khi đặt vé máy bay</t>
  </si>
  <si>
    <t>- Giảm 50% lên tới 500k chuyến bay Việt Nam - Hàn Quốc
- Giảm 50% lên tới 500k khi đặt khách sạn Hàn Quốc
- Giảm 50% tối đa 300k cho HĐ du lịch Hàn Quốc vào thứ 4 hàng tuần
- Giảm 200k đơn tối thiểu 3tr chuyến bay Việt Nam - Hàn Quốc
- Giảm 300k đơn tối thiểu 3tr chuyến bay Việt Nam - Hàn Quốc
- Giảm 2% lên tới 500k đơn từ 5tr chuyến bay Việt Nam - Hàn Quốc
- Giảm 4% tối đa 350k đơn từ 3tr5 khi đặt khách sạn Hàn Quốc
- Giảm 5% tối đa 30k đơn từ 300k khi đặt vé vui chơi Hàn Quốc</t>
  </si>
  <si>
    <t>Đặt vé máy bay; Đặt vé chuyến bay Việt Nam - Hàn Quốc; tổng cục du lịch Việt Nam; giảm giá Cục du lịch, giảm giá mỗi ngày, giảm giá 50%</t>
  </si>
  <si>
    <t>https://www.traveloka.com/vi-vn/promotion/travel-to-malaysia?funnel_source=promotion-list-page&amp;funnel_id=desktop-web</t>
  </si>
  <si>
    <t>Deal có hạn du lịch Malaysia</t>
  </si>
  <si>
    <t>Traveloka ưu đãi khi đặt vé du lịch Malaysia</t>
  </si>
  <si>
    <t>- Giảm 50% lên tới 500k chuyến bay Việt Nam - Malaysia
- Giảm 50% lên tới 500k khi đặt khách sạn Malaysia
- Giảm 50% tối đa 300k cho HĐ du lịch Malaysia vào thứ 4 hàng tuần
- Giảm 10% đến 600k đơn từ 7tr hãng Malaysia Airlines
- Giảm 8% lên tới 800k đơn từ 3tr5 chuyến bay Việt Nam - Malaysia
- Giảm 2% tối đa 600k đơn từ 4tr5 khi đặt khách sạn Malaysia
- Giảm 4% tối đa 40k đơn từ 400k khi đặt vé vui chơi Malaysia</t>
  </si>
  <si>
    <t>Đặt vé máy bay; Đặt vé chuyến bay Việt Nam - Malaysia; giảm giá hàng ngày; giảm giá 50%; giảm giá đối tác</t>
  </si>
  <si>
    <t>Ưu đãi đối tác</t>
  </si>
  <si>
    <t>https://www.traveloka.com/vi-vn/promotion/zalopayhygiene?funnel_source=promotion-list-page&amp;funnel_id=desktop-web</t>
  </si>
  <si>
    <t>Vi vu mùa lễ hội - Nhận ưu đãi bay siêu hời với ZaloPay</t>
  </si>
  <si>
    <t>Traveloka x Zalopay: Ưu đãi khi thanh toán bằng ZaloPay</t>
  </si>
  <si>
    <t>- Giảm 1% tối đa 100k khi đặt vé máy bay/ khách sạn/ hoạt động du lịch từ 1tr
- Giảm 2% tối đa 300k khi đặt vé máy bay từ 5tr
- Giảm 3% tối đa 200k khi đặt vé máy bay từ 3tr5 vào thứ 5 hàng tuần
- 1 lần/ 1 khách hàng/ 1 chương trình</t>
  </si>
  <si>
    <t>Đặt vé máy bay; Ưu đãi thanh toán Zalopay; Đặt vé khách sạn; Đặt vé hoạt động du lịch</t>
  </si>
  <si>
    <t>https://www.traveloka.com/vi-vn/promotion/mbjcbdeal2026?funnel_source=promotion-list-page&amp;funnel_id=desktop-web</t>
  </si>
  <si>
    <t>Vi vu muôn nơi cùng thẻ MB JCB</t>
  </si>
  <si>
    <t>Traveloka x MB JCB: Ưu đãi khi thanh toán bằng thẻ MB JCB Platinum &amp; Ultimate</t>
  </si>
  <si>
    <t>- Giảm 200k khi đặt vé máy bay/ khách sạn đơn từ 3tr
- Giảm 500k khi đặt vé máy bay/ khách sạn đơn từ 5tr
- Áp dụng chủ thẻ MB JCB Platinum Plus đầu BIN 356419 | 356433 | 35677255
- 1 lần/ tuần/ khách hàng</t>
  </si>
  <si>
    <t>Đặt vé máy bay; Ưu đãi thanh toán MB JCB; Đặt vé khách sạn; Đặt vé hoạt động du lịch</t>
  </si>
  <si>
    <t>https://www.grab.com/sg/press/others/grab-unveils-13-ai-powered-experiences-at-grabx-2026-as-southeast-asias-intelligent-everyday-guide/</t>
  </si>
  <si>
    <t>Grab giới thiệu 13 tính năng AI tại GrabX 2026</t>
  </si>
  <si>
    <t>GrabX 2026: 13 trải nghiệm AI-driven được giới thiệu</t>
  </si>
  <si>
    <t>13 sản phẩm được ra mắt tại GrabX đóng vai trò là Hướng dẫn hàng ngày về cuộc sống địa phương, Du lịch dễ dàng và Trao quyền cho doanh nghiệp. Hiện tại khách hàng có thể early access để thử nghiệm Pharmacy OTC, Group Rides, Shopping agent và Grab Map; sắp tới sẽ là Streamlined Food Feed và Personalized Travel Experience
1. Dành cho đời sống hàng ngày: 
- Group Ride: đi chung tối đa 4 người, tự điều phối điểm đón và chia tiền vé; sắp có thêm “Waiting Room” để theo dõi ai đã sẵn sàng.
- Grab More: thêm món từ một merchant gần đó vào cùng đơn hàng mà không phát sinh phí giao hàng, phí đơn tối thiểu hay phí đơn nhỏ.
- Grab AI Assistant: trợ lý AI cá nhân để gợi ý ăn uống, đặt bàn, lên kế hoạch theo nhu cầu và sở thích.
- Grab Shopping Agent: gửi ảnh, ghi âm hoặc danh sách món, hệ thống tự tạo giỏ hàng từ nhiều merchant.
- GrabMaps for ngường dùng: bản đồ thông minh giúp chọn thời điểm đi, cách đi, tìm chỗ đỗ xe, trạm sạc, giao thông công cộng và dẫn đường trong trung tâm thương mại/tòa nhà\
- Cash Loan: vay tiêu dùng với chấm điểm và phê duyệt dựa trên AI và dữ liệu đầu tiên của Grab, quyết định trong vài giây
2. Dành cho du lịch:
- Personalised Travel Experience: gom nhắc nhở chuyến bay, quầy check-in, cổng khởi hành, yêu cầu giấy tờ và chỉ dẫn trong sân bay vào một nơi.
- GrabStays: đặt khách sạn, nhất là đặt gấp vào phút chót, theo kiểu liền mạch trong hệ sinh thái Grab.
- Discover by Grab: gợi ý nơi ăn uống dựa trên nội dung cộng đồng và sở thích cá nhân, rồi có thể đặt món/đặt bàn/đi xe/thanh toán ngay trong cùng luồng.
- GrabPay for Travel: quét QR quốc gia địa phương và thanh toán bằng thẻ đã lưu trong Grab, không cần đổi ví hay tải app khác.
3. Dành cho kinh doanh / merchants:
- Virtual Store Manager: dùng CCTV + computer vision để theo dõi giờ mở cửa, vệ sinh, nhân sự, lưu lượng khách và hiệu quả vận hành.
- Cloud Printer: tự in đơn, giảm thất lạc giữa quầy trước và bếp sau; có thể tự tạm dừng cửa hàng nếu không thấy hoạt động.
- Tap to Pay: biến điện thoại hỗ trợ GrabMerchant thành máy thanh toán không tiếp xúc, nhận thẻ và QR nhanh chóng.
- Driver AI Assistant: trợ lý AI cho tài xế, hỗ trợ hỏi chính sách, xin tư vấn và xử lý các tác vụ thường gặp như nhắn tin cho khách.</t>
  </si>
  <si>
    <t>GrabX; Grab Early Access; Grab tính năng mới</t>
  </si>
  <si>
    <t>https://www.grab.com/vn/blog/he-hoi-vien-grabunlimited/</t>
  </si>
  <si>
    <t>Grab Blog</t>
  </si>
  <si>
    <t>GRABUNLIMITED – FREESHIP MỌI ĐƠN, ƯU ĐÃI MỌI CHUYẾN XE</t>
  </si>
  <si>
    <t>Grab Unlimited: Quyền lợi hội viên tháng 4</t>
  </si>
  <si>
    <t>Hệ Hội Viên - chọn vi vu đổi gió: 
- Giảm sẵn đến 20% + tích thêm 400 GrabXu mỗi chuyến GrabCar Plus hoặc Car 6 chỗ
- Địa điểm: Đà Nẵng, Khánh Hoà,  Kiên Giang, Cần Thơ, Thừa Thiên Huế, Lâm Đồng, Hải Phòng, Vũng Tàu, Đăk Lắk
- Thời gian: 24/4 - 31/7/2026
- Mỗi Hội Viên được áp dụng 5 lần/ tháng</t>
  </si>
  <si>
    <t>https://www.grab.com/vn/blog/uu-dai-ngan-hang-tpbank/</t>
  </si>
  <si>
    <t>Ưu đãi ngân hàng TPBank</t>
  </si>
  <si>
    <t>Banking partnership</t>
  </si>
  <si>
    <t>Grab x TPBank JCB Cashback: Ưu đãi giảm 30k đơn GrabFood</t>
  </si>
  <si>
    <t>- Ưu đãi: đặt đơn GrabFood từ 100K và thanh toán bằng thẻ TPBank JCB Cashback, KH nhận được ưu đãi giảm 30K
- 1 người dùng được sử dụng 1 mã/ ngày và tối đa 3 mã/ tháng
- Ưu đãi được cộng dồn với các ưu đãi khác</t>
  </si>
  <si>
    <t>https://www.grab.com/vn/press/others/grab-viet-nam-ra-mat-tinh-nang-tien-ich-xe-dien-tien-phong-mang-den-trai-nghiem-su-dung-xe-dien-lien-mach-cho-doi-tac-tai-xe/</t>
  </si>
  <si>
    <t>Grab Việt Nam ra mắt tính năng Tiện Ích Xe Điện, tiên phong mang đến trải nghiệm sử dụng xe điện liền mạch cho đối tác tài xế</t>
  </si>
  <si>
    <t>Grab Việt Nam ra mắt tính năng Tiện Ích Xe Điện</t>
  </si>
  <si>
    <t>- Sản phẩm tích hợp các hệ thống trạm sạc được phát triển bởi những nhà cung cấp khác nhau để tài xế công nghệ tìm kiếm trạm sạc, sạc và thanh toán - tất cả liền mạch chỉ trên một ứng dụng
- Tính năng Tiện Ích Xe Điện khả dụng với đối tác tài xế đang sử dụng xe ô tô thuần điện hoặc hybrid trên toàn quốc, trước khi được nghiên cứu khả năng mở rộng cho các đối tác tài xế 2 bánh tại Việt Nam
- Sản phẩm hiện được phát triển bởi Voltality, mạng lưới di chuyển điện tử liên thông hàng đầu Đông Nam Á, dự kiến sẽ kết nối với hơn 250 trạm sạc mở từ 4 nhà cung cấp trạm sạc trong nửa đầu năm 2026</t>
  </si>
  <si>
    <t>https://www.grab.com/vn/blog/grab-trien-khai-thu-nghiem-dich-vu-grabcar-thu-cung-tai-khu-vuc-ha-noi/</t>
  </si>
  <si>
    <t>Grab triển khai thử nghiệm dịch vụ GrabCar Thú Cưng tại khu vực Hà Nội</t>
  </si>
  <si>
    <t>Từ ngày 21/04/2026, nhằm đáp ứng nhu cầu ngày càng tăng của cộng đồng nuôi thú cưng tại Việt Nam, Grab triển khai thử nghiệm dịch vụ GrabCar Thú Cưng
GrabCar Thú Cưng là dịch vụ sử dụng xe ô tô để vận chuyển Hành khách đi cùng với thú cưng (chỉ bao gồm chó và mèo):
- GrabCar Thú Cưng: Tối đa 2 Hành khách và 1 thú cưng
- GrabCar Thú Cưng 6 chỗ ngồi: Tối đa 3 Hành khách và 2 thú cưng
Ngoài cước phí thông thường, dịch vụ sẽ có thêm phí dịch vụ:
- GrabCar Thú Cưng: 50.000 VNĐ/chuyến xe
- GrabCar Thú Cưng 6 chỗ ngồi : 80.000 VNĐ/chuyến xe</t>
  </si>
  <si>
    <t>https://www.momo.vn/tin-tuc/khuyen-mai/dac-quyen-dang-rieng-cho-ban-moi-momo-giao-dich-8667</t>
  </si>
  <si>
    <t>Đặc quyền dàng riêng cho bạn mới MoMo: Giao dịch an toàn, tiện lợi hơn mỗi ngày</t>
  </si>
  <si>
    <t>Nạp điện thoại: Giảm thẳng 20k dành cho bạn mới</t>
  </si>
  <si>
    <t>Chương trình áp dụng cho người dùng có MoMo đang liên kết với ngân hàng, đã xác thực tài khoản MoMo theo quy định của ngân hàng nhà nước trước khi tham gia chương trình
Ưu đãi giảm thẳng 20.000đ khi nạp điện thoại trên MoMo</t>
  </si>
  <si>
    <t>https://telegram.org/blog/ai-editor-mighty-polls-and-more</t>
  </si>
  <si>
    <t>AI Editor, Mighty Polls, Live Photos, Bots Managed by Bots, and More.</t>
  </si>
  <si>
    <t>Telegram giới thiệu AI Editor và nâng cấp polls cùng các tính năng khác</t>
  </si>
  <si>
    <t>Telegram tung ra bản cập nhật lớn đầu năm 2026, tập trung vào AI hỗ trợ soạn thảo nội dung, nâng cấp mạnh tính năng Poll, và mở rộng khả năng chia sẻ &amp; tự động hóa – tất cả đều xoay quanh ưu tiên riêng tư và kiểm soát của người dùng
1. AI Editor (Trình chỉnh sửa AI trong khung soạn tin)
- AI Editor được tích hợp trực tiếp vào thanh soạn tin nhắn, cho phép người dùng: Sửa ngữ pháp, Viết lại nội dung theo phong cách khác, Dịch ngôn ngữ
- Hỗ trợ nhiều style viết: Formal, Short, Zen, Corp, Tribal, Biblical, Viking.
- AI hoạt động trên Cocoon Network – môi trường xử lý bảo mật, không lưu trữ và không truy cập dữ liệu người dùng.
- Kích hoạt khi nhập trên 3 dòng văn bản.  
2. Mighty Polls – Nâng cấp toàn diện tính năng thăm dò
Telegram bổ sung 10+ tính năng mới cho Poll, biến Poll thành công cụ tương tác mạnh cho cộng đồng &amp; creator:
- Gắn hình ảnh, video, location cho câu hỏi / đáp án
- Cho phép người tham gia đề xuất phương án mới
- Hiển thị ai đã bầu chọn, bật/tắt đổi phiếu
- Đặt thời gian kết thúc, ẩn kết quả đến khi hết hạn
- Shuffle đáp án, xem kết quả không cần vote
- Toàn bộ poll được gom vào tab riêng trong group &amp; channel
3. Live Photos &amp; Motion Photos: 
- Telegram hỗ trợ Live Photos (iOS) và Motion Photos (Android) trên tất cả nền tảng.
- 3 chế độ phát: Live (1 lần), Loop, Bounce (qua lại). [telegram.org]
4. Bots Managed by Bots &amp; tính năng khác
- Bot có thể tạo và quản lý bot khác, giảm rào cản kỹ thuật cho nhà phát triển.
5. iOS có thêm Document Scanner tạo PDF trực tiếp.
6. Cảnh báo người dùng khi chat với tài khoản dùng app Telegram không chính thức.</t>
  </si>
  <si>
    <t>https://blog.whatsapp.com/new-feature-roundup-free-up-space-multiple-accounts-cross-platform-transfer-and-more</t>
  </si>
  <si>
    <t>Whatsapp</t>
  </si>
  <si>
    <t>New Feature Roundup: Free up space, multiple accounts, cross-platform transfer and more.</t>
  </si>
  <si>
    <t>WhatsApp tính năng mới:  Giải phóng dung lượng, Nhiều tài khoản, Chuyển dữ liệu đa nền tảng và hơn thế nữa</t>
  </si>
  <si>
    <t>WhatsApp giới thiệu loạt cải tiến tập trung vào tiện ích đời sống hàng ngày, giải quyết các “nỗi đau” phổ biến của người dùng lâu năm: đầy bộ nhớ, dùng nhiều tài khoản, đổi thiết bị và soạn tin nhanh hơn với AI
1. Dọn bộ nhớ thông minh: 
- Xóa file dung lượng lớn ngay trong từng cuộc chat
- Chỉ xóa media (ảnh/video) mà giữ nguyên lịch sử chat
2. Chính thức hỗ trợ chuyển chat giữa iOS ↔ Android
- Chuyển được: lịch sử chat, ảnh, video, group, community…
3. Đăng nhập nhiều tài khoản
- iPhone giờ có thể đăng nhập 2 tài khoản WhatsApp cùng lúc (như Android)
4. AI &amp; trải nghiệm chat
- Sticker suggestion: gợi ý sticker khi gõ emoji
- Meta AI photo editing: chỉnh ảnh ngay trong chat (xóa vật thể, đổi nền…)
- AI Writing Help: gợi ý nội dung trả lời dựa trên ngữ cảnh, vẫn đảm bảo riêng tư</t>
  </si>
  <si>
    <t>https://www.momo.vn/tin-tuc/khuyen-mai/thu-5-ruc-ro-ve-may-bay-noi-dia-vietnam-airlines-8633</t>
  </si>
  <si>
    <t>Thứ 5 rực rỡ: Vé máy bay nội địa giảm 15% trên MoMo Travel!</t>
  </si>
  <si>
    <t>MoMo Du lịch đi lại: Thứ 5 rực rỡ: Vé máy bay nội địa giảm 15%</t>
  </si>
  <si>
    <t>- Deal giảm trực tiếp vé Vietnam Airlines nội địa trên MoMo: giảm 15% trên giá vé cơ bản (chưa bao gồm thuế phí) cho tất cả hành trình bay nội địa Việt Nam (ngoại trừ các chuyến TP.HCM/ Cần Thơ đi Phú Quốc)
- Thời gian: Thứ 5 hàng tuần, từ 15/04 - 04/05</t>
  </si>
  <si>
    <t>https://www.momo.vn/tin-tuc/khuyen-mai/thu-3-huong-ngoai-momo-travel-va-vietravel-8632</t>
  </si>
  <si>
    <t>“Thứ 3 hướng ngoại”: MoMo Travel và Vietravel Airlines tung “deal chồng deal”</t>
  </si>
  <si>
    <t>MoMo Du lịch đi lại x Vietravel Airlines: “Thứ 3 hướng ngoại” với hàng loạt deal giảm giá</t>
  </si>
  <si>
    <t>Deal thu thập thẻ quà không giới hạn số lượng chỉ duy nhất vào ngày thứ 3 hàng tuần: 
- Giảm 100.000Đ khi mua vé máy bay Quốc Tế
- Giảm 200.000Đ khi mua vé máy bay Quốc Tế khứ hồi
Đặc biệt hơn là deal bay cực hot của Vietravel Airlines:
- Bay từ 1 khách: giảm trực tiếp 8% trên giá cơ bản 
- Bay từ 2 khách: giảm trực tiếp 10% trên giá cơ bản
Thời gian đặt vé: thứ 3 hàng tuần, 15/04 - 30/6</t>
  </si>
  <si>
    <t>https://www.momo.vn/tin-tuc/khuyen-mai/ket-noi-le-suot-24h-can-nap-data-4g-5g-hay-tien-8597</t>
  </si>
  <si>
    <t>ết nối Lễ – Suốt 24h Cần Nạp Data 4G/5G hay tiền điện thoại bất cứ lúc nào, lên MoMo là có!</t>
  </si>
  <si>
    <t>Nạp điện thoại data: Nhập mã nhận combo ưu đãi đến 100k</t>
  </si>
  <si>
    <t>- Thời gian: 15/04 - 15/05
- Cách thức: Lên MoMo nhập mã NHANHTIEN nhận ngay combo thẻ quà
- 9h - 10h mỗi ngày: combo thẻ quà trị giá 100k
- Khung giờ còn lại: combo thẻ quà trị giá 50k</t>
  </si>
  <si>
    <t>https://www.momo.vn/tin-tuc/khuyen-mai/chot-ve-30-4-san-combo-du-lich-doc-quyen-den-2-8623</t>
  </si>
  <si>
    <t>Chốt vé 30/4, săn combo du lịch độc quyền đến 2 triệu từ MoMo Travel!</t>
  </si>
  <si>
    <t>MoMo Du lịch đi lại: Combo du lịch độc quyền đến 2 triệu nhân dịp lễ 30/4</t>
  </si>
  <si>
    <t>MoMo tiếp tục triển khai các ưu đãi sale lớn dành cho cả bạn mới và bạn thân khi đặt dịch vụ qua MoMo Travel
- Thời gian: 15/04 - 30/4
- Bay nội địa: Giảm 6% max 150k đơn từ 1tr cho bạn mới và 2% max 150k đơn từ 2tr cho bạn thân
- Bay quốc tế: Giảm 10% max 100k đơn từ 3tr cho bạn mới và 5% max 200k đơn từ 4tr cho bạn thân
- Vé xe khách: Giảm 5% max 250k cho bạn mới và 3% max 100k cho bạn thân
- Vé tàu hỏa: Giảm 4% max 250k cho bạn mới và 2% max 100k cho bạn thân
- Vé trải nghiệm: Giảm 20% max 150k cho bạn mới và 10% max 50k cho bạn thân</t>
  </si>
  <si>
    <t>https://www.momo.vn/tin-tuc/khuyen-mai/tich-ngay-1000-xu-khi-tai-ma-qr-nhan-tien-moi-8668</t>
  </si>
  <si>
    <t>Tích ngay 1.000 Xu khi tải mã QR Nhận Tiền mới!</t>
  </si>
  <si>
    <t>QR Nhận tiền: Tải mã tích 1000 xu</t>
  </si>
  <si>
    <t>MoMo tiếp tục triển khai chiến dịch nhằm thúc đẩy hành vi tải mã QR nhận tiền mới được nâng cấp để tăng bảo mật cho mỗi giao dịch
- Thời gian: 16/04 - 10/05
- Ưu đãi: nhận ngay 1.000 Xu khi tải mã QR
- Đối tượng: Khách hàng đã từng nhận tiền qua QR Nhận Tiền trong 2 tháng gần đây nhất, và chưa từng tải mã QR Nhận Tiền mới</t>
  </si>
  <si>
    <t>QR Nhận tiền; Tải QR nhận tiền; Tích xu</t>
  </si>
  <si>
    <t>https://www.momo.vn/tin-tuc/khuyen-mai/vi-vu-quoc-te-cung-momo-x-alipay-quet-ma-thanh-8631</t>
  </si>
  <si>
    <t>Vi vu quốc tế cùng MoMo x Alipay+: Quét mã thanh toán dễ dàng, ưu đãi giảm 25%</t>
  </si>
  <si>
    <t>MoMo x Alipay: Quét mã thanh toán dễ dàng, ưu đãi giảm 25%</t>
  </si>
  <si>
    <t>Tiếp tục đẩy mạnh các ưu đãi nhằm thúc đẩy quét mã QR thanh toán quốc tế, MoMo kết hợp với Alipay+ cho phép người dùng MoMo quét mã thanh toán tại hàng triệu điểm giao dịch quốc tế 
- Thời gian: 16/04 - 31/05
- Ưu đãi: Giảm 25% (tối đa 50.000đ) cho giao dịch đầu tiên quét mã thanh toán Alipay+
- Địa điểm: Các cửa hàng, trung tâm thương mại và phương tiện công cộng thuộc mạng lưới liên thông Alipay+ (Trung Quốc, Hàn Quốc, Singapore,...)</t>
  </si>
  <si>
    <t>https://www.momo.vn/tin-tuc/khuyen-mai/174-105-hoan-den-6868d-khi-nhan-2k-tu-ngan-hang-8677</t>
  </si>
  <si>
    <t>[17.4 - 10.5] HOÀN ĐẾN 6.868Đ KHI NHẬN 2K TỪ NGÂN HÀNG ĐẾN SỐ ĐIỆN THOẠI MOMO</t>
  </si>
  <si>
    <t>Chuyển khoản NH bằng SĐT MoMo: Hoàn đến 6.868đ khi nhận từ 2k</t>
  </si>
  <si>
    <t>Campaign định kì của MoMo nhằm thúc đẩy hành vi chuyển khoản ngân hàng đến MoMo bằng SĐT MoMo:
- Thời gian diễn ra: Từ 15hngày  17 tháng 03 đến hết 23h59 ngày 10 tháng 05
- Chi tiết chương trình: Hoàn đến 6.868đ khi nhận đúng 2.000đ từ ngân hàng đến MoMo
- Đối tượng: 
  + Người lần đầu tiên sử dụng tính năng “Nhận tiền từ Ngân hàng qua số điện thoại MoMo” và có Nhận tiền từ MoMo về số điện thoại MoMo trong 60 ngày gần nhất
  + Người lần đầu tiên sử dụng tính năng “Nhận tiền từ Ngân hàng qua số điện thoại MoMo” và có Nhận tiền từ Ngân hàng về mã QR Nhận tiền MoMo trong 60 ngày gần nhất</t>
  </si>
  <si>
    <t>#MoMo #KhuyenMai #HoanTien #LienKetNganHang #NhanTien #UuDaiNguoiDung</t>
  </si>
  <si>
    <t>https://post.oa.zalo.me/d/4249083813580660328?zl3rd=815789662550058820&amp;id=25f126c5ec8005de5c91&amp;pageId=4249083813580660328</t>
  </si>
  <si>
    <t>Zalo nỗ lực bình dân hóa AI, nâng cấp trải nghiệm người dùng</t>
  </si>
  <si>
    <t>Zalo cho phép người dùng sử dụng OpenClaw và tính năng AI cho phép sao chép chữ từ ảnh ngay trên Zalo</t>
  </si>
  <si>
    <t>Tính đến cuối năm 2025, có khoảng 30% người dùng Zalo sử dụng tính năng AI. 2026, Zalo tiếp tục ưu tiên phổ cập AI hơn nữa
1. Sử dụng OpenClaw ngay trên Zalo
- Zalo hiện là một kênh kết nối chính thức, bên cạnh các ứng dụng nhắn tin quốc tế như Whatsapp, Telegram, Slack
- Người dùng chỉ cần gửi tin nhắn qua Zalo để yêu cầu OpenClaw thực hiện công việc một cách nhanh chóng mà không cần chuyển ứng dụng
2. Ra mắt tính năng AI giúp sao chép chữ từ ảnh
3. Thử nghiệm giao diện Nhật ký mới, ưu tiên hiển thị phần ảnh đại diện của bạn bè, giúp dễ dàng nhận ra đâu là bài đăng của người mình quan tâm
4. Khởi động chiến dịch "Tự hào non sông" bằng cách checkin các địa danh gắn liền với văn hóa VN cùng AI Avatar, giao diện cuộc gọi đặc biệt dành riêng cho dịp lễ. Chính thức triển khai từ 23/4 - 3/5/2026.</t>
  </si>
  <si>
    <t>Zalo AI; Nhật ký Zalo; Zalo giao diện cuộc gọi; Zalo AI Avatar; AI sap chép chữ từ ảnh; Truy cập OpenClaw từ AI</t>
  </si>
  <si>
    <t>https://www.momo.vn/tin-tuc/tin-tuc-su-kien/quay-thuong-ting-ting-san-goi-youtube-premium-8675</t>
  </si>
  <si>
    <t>Quay thưởng Ting Ting - Săn gói YouTube Premium miễn phí 6 tháng</t>
  </si>
  <si>
    <t>Gamification: Làm nhiệm vụ quay thưởng và cơ hội nhận xu, Youtube Premium</t>
  </si>
  <si>
    <t>Chiến dịch gamification tăng tương tác và thúc đẩy sử dụng các SPDV trong MoMo
- Thời gian diễn ra: 17/04/2026 - 30/04/2026
- Nhiệm vụ: nhận tiền qua mã QR nhận tiền, Nhận tiền từ Ngân hàng bằng SĐT, Thanh toán bằng Quỹ, Mở quỹ; Góp quỹ, chuyển tiền đến ví MoMo khác, etc
- Phần thưởng: 
  + 02 giải tiền thưởng 521.400Đ - có giá trị tương đương 06 tháng đăng ký gói YouTube Premium.
  + 02 giải tiền thưởng 399.000Đ - có giá trị tương đương 01 năm đăng ký gói Locket Gold.
  + Lì xì tiền mặt trị giá 99.999Đ, 9.999Đ, 99Đ, 9Đ,... tổng tiền thưởng gần 100 triệu đồng.
  + Thưởng tổng 900.000 Xu để đổi thẻ quà hot từ đa dịch vụ trên MoMo Rewards.</t>
  </si>
  <si>
    <t>#TingTing #YouTubePremium #MoMo #QuayThuong</t>
  </si>
  <si>
    <t>https://www.momo.vn/tin-tuc/khuyen-mai/deal-xin-cho-ban-moi-thu-do-nhap-chaometrohn-mien-8670</t>
  </si>
  <si>
    <t>Deal xịn cho bạn mới Thủ Đô: Nhập CHAOMETROHN, miễn phí 5 lượt đi Metro &amp; quà Grab đến 25K</t>
  </si>
  <si>
    <t>MoMo chào bạn mới: Miễn phí 5 lượt đi Metro &amp; quà Grab đến 25K</t>
  </si>
  <si>
    <t>Chiến dịch nhằm thúc đẩy khách hàng mới tải ứng dụng MoMo và liên kết tài khoản ngân hàng lần đầu
- Thời gian: 10h 18/4
- Đối tượng: Khách hàng mới chưa từng có tài khoản MoMo, lần đầu liên kết tài khoản và nạp từ 10k
- Ưu đãi: 5 thẻ quà đi Metro, mỗi thẻ 10k + 1 thẻ quà Grab giảm 50% đến 25k</t>
  </si>
  <si>
    <t>#NguoiMoi #MetroHN #DealXịn #MoMo</t>
  </si>
  <si>
    <t>https://www.momo.vn/tin-tuc/khuyen-mai/mien-phi-di-metro-dip-le-30-4-giam-them-50-di-xe-8673</t>
  </si>
  <si>
    <t>Miễn phí đi Metro dịp lễ 30/4, giảm thêm 50% đi xe</t>
  </si>
  <si>
    <t>MoMo x Metro: Miễn phí đi Metro dịp lễ 30/4, giảm thêm 50% đi xe công nghệ</t>
  </si>
  <si>
    <t>- Thời gian diễn ra chương trình: 25/4 - 02/05
- Nhập mã METROHCM, nhận vé miễn phí 1 tuần
- Nhận tiếp ưu đãi giảm 50% tối đa 10.000đ cho dịch vụ xe công nghệ Be/XanhSM/Grab
- Đối tượng: người dùng mới</t>
  </si>
  <si>
    <t>#Le304 #Metro #UuDai #MoMo</t>
  </si>
  <si>
    <t>https://www.momo.vn/tin-tuc/tin-tuc-su-kien/chinh-thuc-mo-ban-ve-gameverse-2026-san-ve-chi-1k-8621</t>
  </si>
  <si>
    <t>[Chính thức] Mở bán vé Gameverse 2026, săn vé chỉ 1k trên MoMo</t>
  </si>
  <si>
    <t>MoMo x Vietnam GameVerse: Mở bán vé Gameverse 2026, săn vé chỉ 1k trên MoMo</t>
  </si>
  <si>
    <t>Vé Gameverse 2026 chính thức mở bán trên MoMo với ưu đãi cực hot: nhập mã GAMEVERSE26 để có cơ hội săn vé chỉ 1.000đ
- Thời gian: 13/04 - 17/04
- Cách thức: tìm kiếm từ khóa “Vietnam GameVerse” trên MoMo sau đó chọn loại vé và nhập ưu đãi
- Giới hạn: 20 suất mỗi ngày. Tổng 100 suất</t>
  </si>
  <si>
    <t>https://www.momo.vn/tin-tuc/tin-tuc-su-kien/mung-vietlott-sms-sap-dat-4-trieu-tai-khoan-tang-8624</t>
  </si>
  <si>
    <t>Mừng Vietlott SMS sắp đạt 4 triệu tài khoản: Tặng bạn mới mã quà tặng lên tới 4 triệu đồng</t>
  </si>
  <si>
    <t>MoMo x Vietlot SMS: 40 mã quà tặng 40k mỗi ngày</t>
  </si>
  <si>
    <t xml:space="preserve">Vietlott SMS đang tiến sát cột mốc 4 triệu người dùng chỉ sau chưa đầy một năm. Nhân cột mốc này, Vietlott SMS tung ưu đãi dành cho khách hàng mới: 
- Ưu đãi mỗi ngày: Quà 40.000đ mua vé Vietlott
- Đối tượng: 40 khách hàng đầu tiên trong ngày mở mới tài khoản Vietlott SMS.
Thời gian: Từ 14/04 đến khi đạt mốc 4 triệu tài khoản
- Tài khoản thứ 3.999.999: Tặng mã quà tặng 1.000.000đ
- Tài khoản thứ 4.000.000: Tặng mã quà tặng 4.000.000đ
- Tài khoản thứ 4.000.001: Tặng mã quà tặng 1.000.000đ </t>
  </si>
  <si>
    <t>https://www.momo.vn/tin-tuc/thong-bao/hot-vay-nhanh-nay-da-co-goi-vay-tu-5-trieu-cho-8622</t>
  </si>
  <si>
    <t>HOT! Vay Nhanh nay đã có gói vay từ 5 triệu cho Chủ cửa hàng</t>
  </si>
  <si>
    <t>Mini app Vay nhanh: ra mắt gói vay từ 5 triệu, kỳ hạn từ 1 tháng, có thể tất toán bất kỳ lúc nào</t>
  </si>
  <si>
    <t>- Số tiền vay từ 5 triệu: phù hợp với mục đích chi trả những chi phí sinh hoạt gia đình, mua sắm nhỏ lẻ cần thiết.
- Kỳ hạn từ 1 tháng, có thể tất toán bất kỳ lúc nào: giúp chủ quán chủ động dòng tiền và giảm chi phí lãi</t>
  </si>
  <si>
    <t>https://www.momo.vn/tin-tuc/thong-bao/ban-tin-gop-y-va-tinh-nang-moi-thang-3-2026-8671</t>
  </si>
  <si>
    <t>Bản tin góp ý và tính năng mới tháng 3/2026</t>
  </si>
  <si>
    <t>MoMo cập nhật tính năng mới tháng 3</t>
  </si>
  <si>
    <t>1. Tra cứu cửa hàng gần đây có thanh toán bằng nguồn tiền trả sau
2. Cập nhật số điện thoại ngay trên ứng dụng
3. Quyên góp bằng xu</t>
  </si>
  <si>
    <t>#ThongBao #TinhNangMoi #MoMo</t>
  </si>
  <si>
    <t>https://www.momo.vn/tin-tuc/thong-bao/thong-bao-thay-doi-phi-dich-vu-cua-vi-tra-sau-8666</t>
  </si>
  <si>
    <t>Thông báo thay đổi phí dịch vụ của Ví Trả Sau trên MoMo</t>
  </si>
  <si>
    <t>MoMo Ví Trả Sau: Thay đổi phí dịch vụ</t>
  </si>
  <si>
    <t>- Thời gian áp dụng: Khách hàng dùng Ví Trả Sau có phát sinh giao dịch từ 01/05/2026 về sau sẽ áp dụng mức phí mới
- Mức phí mới: 33k/ tháng thay vì 30k/tháng</t>
  </si>
  <si>
    <t>https://post.oa.zalo.me/d/4462152339089565647?zl3rd=815789662550058820&amp;id=03b86082abc742991bd6&amp;pageId=4462152339089565647</t>
  </si>
  <si>
    <t>1/6/2026, Zalo Official Account triển khai gói dịch vụ mới - tôi ưu hiệu suất theo nhu câu doanh nghiệp</t>
  </si>
  <si>
    <t>1/6/2026, Zalo Official Account triển khai gói dịch vụ mới - tối ưu hiệu suất theo nhu cầu doanh nghiệp</t>
  </si>
  <si>
    <t>Zalo Official Account sẽ chính thức triển khai 4 gói dịch vụ mới: Cơ bản - Tiêu chuẩn - Tăng trưởng - Toàn diện thay vì 3 gói dịch vụ Dùng thử - Nâng cao - Premium như hiện tại. Các gói dịch vụ mới được thiết kế được thiết kế với các nhóm tính năng phù hợp với nhu cầu, năng lực vận hành và mức đầu tư theo giai đoạn với 3 mức giá 1tr - 2tr5 - 6tr/ 12 tháng</t>
  </si>
  <si>
    <t>Zalo OA; thay đổi gói dịch vụ; triển khai gói dịch vụ mới</t>
  </si>
  <si>
    <t>Zalo OA</t>
  </si>
  <si>
    <t>https://dantri.com.vn/cong-nghe/google-trien-khai-tinh-nang-tri-thong-minh-ca-nhan-tren-gemini-tai-viet-nam-20260415113317816.htm</t>
  </si>
  <si>
    <t>Google triển khai tính năng Trí thông minh cá nhân trên Gemini tại Việt Nam</t>
  </si>
  <si>
    <t xml:space="preserve">Google đã chính thức đưa tính năng “Trí thông minh cá nhân” lên Gemini tại Việt Nam, cho phép AI cá nhân hóa câu trả lời theo từng người dùng.
Tính năng này kết nối với các dịch vụ như Gmail, Google Photos, Drive, YouTube và Search để tổng hợp dữ liệu từ nhiều nguồn.
Điểm nhấn là Gemini có thể xử lý cả văn bản, hình ảnh và video để đưa ra phản hồi theo ngữ cảnh, thay vì trả lời chung chung.
</t>
  </si>
  <si>
    <t>Gemini; Personal Intelligence; Google; Vietnam; AI personalization; opt-in; super-app; MoMo; ZaloPay</t>
  </si>
  <si>
    <t>https://vnexpress.net/san-thuong-mai-dien-tu-viet-tich-hop-trong-gan-20-ung-dung-ngan-hang-5062977.html</t>
  </si>
  <si>
    <t>VnExpress</t>
  </si>
  <si>
    <t>Sàn thương mại điện tử Việt tích hợp trong gần 20 ứng dụng ngân hàng</t>
  </si>
  <si>
    <t>eCommerce</t>
  </si>
  <si>
    <t>Sàn TMĐT Việt tích hợp trong gần 20 ứng dụng ngân hàng</t>
  </si>
  <si>
    <t>VnShop được tích hợp trên 20 ứng dụng ngân hàng, và được xác nhận là nền tảng thương mại điện tử được tích hợp trên nhiều app ngân hàng nhất tại Việt Nam. Hiện tính năng Mua sắm VnShop đang sở hữu đa dạng ngành hàng với hơn 1500 thương hiệu uy tín 
Nền tảng này có thể tiếp cận hơn 62 triệu người dùng tại Việt Nam nhờ tích hợp vào các app quen thuộc.
Bài viết nhấn mạnh về xu hướng mua sắm ngay trong app ngân hàng, giúp rút ngắn hành trình mua hàng và tận dụng tệp khách hàng sẵn có.</t>
  </si>
  <si>
    <t>VnShop; VNPAY; banking app; ecommerce; 19 banks; super-app competition; fintech; Vietnam TMDT</t>
  </si>
  <si>
    <t>https://vneconomy.vn/techconnect/tiktok-shop-shopee-va-lazada-thau-tom-99-thi-truong-thuong-mai-dien-tu-dong-nam-a.htm</t>
  </si>
  <si>
    <t>TikTok Shop, Shopee và Lazada thâu tóm 99% thị trường TMĐT Đông Nam Á</t>
  </si>
  <si>
    <t>TikTok Shop, Shopee và Lazada thâu tóm 99% thị trường Đông Nam Á</t>
  </si>
  <si>
    <t>Theo báo cáo Momentum Works (14/4/2026): 
- Shopee ($83.2B GMV 2025, ~50%+ thị phần)
- TikTok Shop ($45.6B, tăng gấp đôi từ $22.6B)
- Lazada ($18B, gần như không tăng) 
3 sàn TMĐT đã kiểm soát 99% thị trường tại ASEAN 2025. Sendo VN và Bukalapak Indonesia đã rút lui.</t>
  </si>
  <si>
    <t>TikTok Shop; Shopee; Lazada; SEA ecommerce; 99%; Momentum Works; Sendo Vietnam; super-app strategy</t>
  </si>
  <si>
    <t>https://www.scmp.com/tech/article/3350720/bytedance-profit-plunges-ai-push-tiktok-shop-powers-overseas-growth-reports</t>
  </si>
  <si>
    <t>ByteDance profit plunges as AI push intensifies, TikTok Shop powers overseas growth</t>
  </si>
  <si>
    <t>ByteDance: lợi nhuận giảm vì đẩy mạnh AI, TikTok Shop kéo tăng trưởng quốc tế</t>
  </si>
  <si>
    <t>ByteDance bị giảm lợi nhuận mạnh do đầu tư “all-in” vào AI; nguồn tin được bài dẫn cho biết mức giảm lợi nhuận có thể tới 70%.
Doanh thu ở thị trường quốc tế tăng gần 50% trong năm 2025, vượt xa mức tăng khoảng 20% tại Trung Quốc.
Lần đầu tiên, doanh thu quốc tế chiếm hơn 30% tổng doanh thu, tăng từ khoảng 25% năm 2024.
Động lực lớn nhất của tăng trưởng này là TikTok Shop, với GMV tăng gần 70% trong năm qua.</t>
  </si>
  <si>
    <t>ByteDance; TikTok Shop; profitability; AI investment; SEA ecommerce; competitive pressure</t>
  </si>
  <si>
    <t>https://genk.vn/openai-ra-goi-100-usd-thang-nham-thang-vao-nguoi-dung-claude-165261004232626494.chn</t>
  </si>
  <si>
    <t>OpenAI ra gói $100/tháng nhắm thẳng vào người dùng Claude</t>
  </si>
  <si>
    <t>AI/ Business model</t>
  </si>
  <si>
    <t>OpenAI ra gói $100/tháng nhắm thẳng Claude – Codex developer war, chiến tranh AI pricing leo thang</t>
  </si>
  <si>
    <t>OpenAI tung gói mới giá 100 USD/tháng để lấp khoảng trống giữa gói 20 USD/tháng và 200 USD/tháng, đồng thời cạnh tranh trực diện với Claude.
Gói này cho phép dùng Codex nhiều hơn, khoảng 5 lần so với gói Plus.
Codex hiện có hơn 3 triệu người dùng mỗi tuần, cho thấy nhu cầu lớn với nhóm người dùng AI chuyên sâu.
Động thái này cho thấy cuộc đua AI đang chuyển sang cạnh tranh theo mức thuê bao và hạn mức sử dụng, không chỉ theo chất lượng mô hình.</t>
  </si>
  <si>
    <t>OpenAI; Claude; pricing war; $100/month; Codex; AI subscription; B2C; competitive strategy</t>
  </si>
  <si>
    <t>https://genk.vn/hai-ra-tien-tu-quang-cao-chatgpt-openai-bo-tui-100-trieu-usd-sau-2-thang-nuoi-tham-vong-de-che-100-ty-usd-165260412010625971.chn</t>
  </si>
  <si>
    <t>Hái ra tiền từ quảng cáo ChatGPT: OpenAI bỏ túi 100 triệu USD sau 2 tháng</t>
  </si>
  <si>
    <t>ChatGPT kiếm $100M quảng cáo sau 8 tuần – AI miễn phí có quảng cáo là viable business model</t>
  </si>
  <si>
    <t>OpenAI đã vượt mốc 100 triệu USD doanh thu quảng cáo theo năm hóa chỉ sau chưa đến 2 tháng thử nghiệm quảng cáo trên ChatGPT.
Quảng cáo hiện mới chỉ hiển thị với chưa tới 20% người dùng Free và Go đủ điều kiện tại Mỹ.
Đây là bước mở rộng nguồn thu rất lớn, cho thấy OpenAI đang đi xa hơn mô hình thu phí thuê bao thuần túy.</t>
  </si>
  <si>
    <t>OpenAI; ChatGPT; advertising revenue; AI monetization; freemium; ad-supported AI; Vietnam super-app</t>
  </si>
  <si>
    <t>https://genk.vn/vnpt-money-va-ha-noi-metro-ra-mat-tien-ich-metro-di-tau-dien-khong-tien-mat-165260411194845876.chn</t>
  </si>
  <si>
    <t>VNPT Money và Hà Nội Metro ra mắt tiện ích Metro – Đi tàu điện không tiền mặt</t>
  </si>
  <si>
    <t>VNPT Money tích hợp vé Metro Hà Nội – Mobility-payment đầu tiên tại hệ thống tàu điện VN, áp lực trực tiếp lên MoMo</t>
  </si>
  <si>
    <t>Người dùng có thể mua vé lượt, vé tuần, vé tháng trực tiếp trên ứng dụng Hà Nội Metro và quét QR để qua cổng bằng tính năng Tap &amp; Go.
VNPT Money được tích hợp vào ứng dụng Hà Nội Metro, mở thêm các tiện ích như nạp tiền điện thoại và mua gói cước ngay trên cùng nền tảng.
Đây là bước đưa trải nghiệm đi tàu điện từ thủ công sang số hóa, giúp việc đi lại nhanh và tiện hơn.</t>
  </si>
  <si>
    <t>VNPT Money; Hà Nội Metro; cashless; Tap and Go; mobility payment; fintech; Vietnam</t>
  </si>
  <si>
    <t>https://genk.vn/qualcomm-ai-co-the-tao-ra-co-hoi-moi-cho-viet-nam-huong-toi-2027-ra-mat-ai-phone-cung-viettel-va-he-sinh-thai-make-in-vietnam-165260417153123212.chn</t>
  </si>
  <si>
    <t>Qualcomm: Hướng tới 2027 ra mắt AI Phone cùng Viettel và hệ sinh thái Make in Vietnam</t>
  </si>
  <si>
    <t>Qualcomm + Viettel hướng tới AI Phone 2027 – Hạ tầng on-device AI tại VN chính thức khởi động</t>
  </si>
  <si>
    <t>Qualcomm hợp tác với Viettel hướng tới ra mắt AI Phone 2027 tích hợp chip Snapdragon AI on-device và hệ sinh thái Make in Vietnam. Mở rộng hiện diện tại VN: trung tâm AI, data center. Đã chọn 28 startup Việt vào QVIC 2026 (AI, robot, IoT). Tín hiệu cho super-app VN: cần chuẩn bị tích hợp on-device AI features để tận dụng hạ tầng này khi AI Phone ra mắt 2027.</t>
  </si>
  <si>
    <t>Qualcomm; Viettel; AI Phone; Make in Vietnam; on-device AI; 2027; hardware ecosystem; QVIC</t>
  </si>
  <si>
    <t>https://www.techinasia.com/visual-story/mapping-chinas-ecommerce-standouts</t>
  </si>
  <si>
    <t>Mapping China's ecommerce standouts: the dominant players shaping the market</t>
  </si>
  <si>
    <t>Bản đồ TMĐT Trung Quốc: Discover-and-buy thay thế search-and-buy</t>
  </si>
  <si>
    <t>Cấu trúc TMĐT TQ 2025 rất đa tầng và phân hóa rõ: Taobao/Tmall 44%, JD.com 24%, Pinduoduo 19% (tăng từ 7.2% năm 2019). 
Douyin dẫn đầu live-stream commerce (GMV +40% YoY, thị trường $1.14 nghìn tỷ USD). 
Xiaohongshu/RedNote là nền tảng credibility cho beauty/lifestyle. 
Mô hình mới: Douyin/Xiaohongshu drive DISCOVERY, Tmall/JD handle FULFILLMENT. Xu hướng từ TQ lan sang SEA với độ trễ 18-24 tháng — đây là chỉ báo sớm nhất để định vị TMĐT super-app tránh đối đầu trực tiếp với TikTok Shop.</t>
  </si>
  <si>
    <t>China ecommerce; Pinduoduo; Douyin; social commerce; SEA benchmark; live commerce; discover-and-buy</t>
  </si>
  <si>
    <t>https://genk.vn/coi-ai-nhu-con-nguoi-microsoft-de-xuat-ai-agent-dung-phan-mem-cung-phai-tra-tien-16526041616370402.chn</t>
  </si>
  <si>
    <t>Coi AI như con người, Microsoft đề xuất AI Agent dùng phần mềm cũng phải trả tiền</t>
  </si>
  <si>
    <t>Microsoft đề xuất AI agent phải trả phí license như nhân viên thật</t>
  </si>
  <si>
    <t xml:space="preserve">Microsoft exec Rajesh Jha (CTO-level) đề xuất tại hội nghị: AI agent cần có danh tính riêng (tài khoản, email) và trả phí license phần mềm như nhân viên thật. 
Tất cả những tác nhân được hiện thân hóa đó đều là cơ hội ghế ngồi', Jha nói — công ty có thể có nhiều agent hơn nhân viên người. 
Mục tiêu thực: ngăn doanh thu phần mềm thu hẹp khi AI thay thế nhân viên. </t>
  </si>
  <si>
    <t>Microsoft; AI agent; software licensing; SaaS; enterprise; Rajesh Jha; cost model; Vietnam</t>
  </si>
  <si>
    <t>https://techcrunch.com/2026/04/18/the-app-store-is-booming-again-and-ai-may-be-why/</t>
  </si>
  <si>
    <t>The App Store is booming again and AI may be why</t>
  </si>
  <si>
    <t>App Store tăng trưởng trở lại nhờ AI app – Người dùng sẵn sàng trả tiền cho AI mobile</t>
  </si>
  <si>
    <t>AI đang kéo App Store tăng trưởng trở lại. Số ứng dụng phát hành toàn cầu trong quý I/2026 tăng 60% so với cùng kỳ, riêng hệ sinh thái iOS tăng 80%; đến tháng 4/2026, tổng số ứng dụng mới tăng 104% so với năm ngoái.
Rào cản làm app đã giảm mạnh. AI khiến việc tạo ứng dụng dễ hơn rất nhiều, nên không chỉ doanh nghiệp lớn mà cả cá nhân và nhóm nhỏ cũng có thể phát hành app nhanh hơn trước.
Sự hồi sinh này đi kèm áp lực kiểm duyệt lớn hơn cho Apple. Apple đã từ chối hơn 320.000 ứng dụng vì spam hoặc gây hiểu nhầm, đồng thời chặn hàng chục nghìn app có dấu hiệu gian lận; nghĩa là App Store vừa bùng nổ vừa phải đối mặt với rủi ro chất lượng và lừa đảo tăng lên.</t>
  </si>
  <si>
    <t>App Store; AI apps; mobile; revenue growth; premium; Apple</t>
  </si>
  <si>
    <t>https://techcrunch.com/2026/04/20/whatsapp-is-testing-a-premium-subscription-put-it-is-mainly-cosmetic/</t>
  </si>
  <si>
    <t>WhatsApp is testing a premium subscription, but it is mainly cosmetic</t>
  </si>
  <si>
    <t>Messaging/ Social</t>
  </si>
  <si>
    <t>WhatsApp thử nghiệm 'WhatsApp Plus' premium €2.49/tháng – Precedent monetization chat cosmetics cho super-app có tính năng messaging</t>
  </si>
  <si>
    <t>WhatsApp đang test 'WhatsApp Plus' (~€2.49/tháng EU, $0.82/tháng Pakistan, 1 tháng thử miễn phí): custom themes, ringtones, mở rộng pinned chats lên 20. Meta xác nhận với TechCrunch. KHÔNG bao gồm xóa quảng cáo (WhatsApp chạy ads trên Status từ 2025). Precedent quan trọng cho super-app VN có chat: nếu WhatsApp Plus thành công, mở ra khả năng thu phí messaging cosmetics mà không mất user — cần theo dõi kết quả thử nghiệm.</t>
  </si>
  <si>
    <t>WhatsApp; WhatsApp Plus; premium; subscription; messaging; monetization; Zalo; Meta; chat super-app</t>
  </si>
  <si>
    <t>https://vneconomy.vn/techconnect/ai-va-esg-dang-dinh-hinh-lai-suc-khoe-thuong-hieu-cua-cac-ngan-hang-viet.htm</t>
  </si>
  <si>
    <t>AI và ESG đang định hình lại sức khỏe thương hiệu của các ngân hàng Việt</t>
  </si>
  <si>
    <t>Banking/ Financial services</t>
  </si>
  <si>
    <t>BBS 2025: AI và ESG thay thế awareness làm tiêu chí thương hiệu ngân hàng VN</t>
  </si>
  <si>
    <t>AI đang trở thành yếu tố kéo trải nghiệm và mức độ sử dụng dịch vụ ngân hàng lên. Ngân hàng không còn chỉ cạnh tranh ở nhận diện thương hiệu, mà ở khả năng dùng AI để cá nhân hóa, phát hiện hành vi giao dịch và rút ngắn từ dữ liệu đến sản phẩm.
ESG đang chuyển từ khẩu hiệu sang niềm tin thực tế. Các yếu tố như bảo mật dữ liệu, cảnh báo gian lận, minh bạch khi xử lý sự cố và tài chính toàn diện đang ảnh hưởng trực tiếp đến cách khách hàng đánh giá ngân hàng.
Agribank là ví dụ nổi bật cho xu hướng này. Ngân hàng quay lại Top 10 sau 2 năm vắng mặt, nhờ đẩy mạnh số hóa với Agribank Plus, mở rộng thanh toán QR ở nông thôn và triển khai tín dụng xanh.</t>
  </si>
  <si>
    <t>AI; ESG; Vietnam banks; BBS 2025; Mibrand; brand health; fintech; super-app brand</t>
  </si>
  <si>
    <t>https://www.techinasia.com/news/china-fines-ecommerce-giants-527m-over-food-delivery-lapses</t>
  </si>
  <si>
    <t>China fines ecommerce giants $527M over food delivery lapses</t>
  </si>
  <si>
    <t>Trung Quốc phạt các “ông lớn” thương mại điện tử 527 triệu USD vì vi phạm trong giao đồ ăn</t>
  </si>
  <si>
    <t>7 nền tảng TMĐT và giao đồ ăn (Meituan, JD.com, Pinduoduo, Taobao, Douyin…) bị phạt tổng cộng 3,6 tỷ nhân dân tệ.
Sai phạm chủ yếu liên quan “bếp ma”: Không xác minh đầy đủ giấy phép và địa chỉ thực của các nhà bán thực phẩm.
Dấu hiệu siết quản lý vận hành toàn diện: Trung Quốc chuyển trọng tâm từ chống độc quyền sang kiểm soát an toàn thực phẩm, quy trình và trách nhiệm nền tảng</t>
  </si>
  <si>
    <t>China; ecommerce; ghost kitchen; food delivery; SAMR regulation; fine; platform liability; GrabFood; ShopeeFood; Vietnam</t>
  </si>
  <si>
    <t>https://genk.vn/microsoft-dang-xay-dung-phien-ban-rieng-cua-openclaw-danh-cho-doanh-nghiep-165261404145418623.chn</t>
  </si>
  <si>
    <t>Microsoft đang xây dựng phiên bản riêng của OpenClaw dành cho doanh nghiệp</t>
  </si>
  <si>
    <t>Microsoft tích hợp OpenClaw agent vào M365 Copilot – AI on-device cho doanh nghiệp, trình diễn tại Build tháng 6</t>
  </si>
  <si>
    <t xml:space="preserve">Microsoft tích hợp tính năng tương tự OpenClaw (AI agent on-device chạy cục bộ) vào Microsoft 365 Copilot dành cho enterprise, có kiểm soát bảo mật tốt hơn so với OpenClaw mã nguồn mở. Sẽ trình diễn tại Microsoft Build tháng 6/2026. 
Microsoft cũng đã ra mắt Copilot Cowork tháng 3 (thao tác trực tiếp trong M365 apps). </t>
  </si>
  <si>
    <t>Microsoft; AI agent; OpenClaw; M365 Copilot; on-device AI; enterprise; vendor strategy</t>
  </si>
  <si>
    <t>https://dantri.com.vn/cong-nghe/4-tinh-nang-apple-intelligence-sap-thay-doi-trai-nghiem-iphone-tren-ios-27-20260417004356384.htm</t>
  </si>
  <si>
    <t>4 tính năng Apple Intelligence sắp thay đổi trải nghiệm iPhone trên iOS 27</t>
  </si>
  <si>
    <t>AI nhận diện hình ảnh được nâng cấp mạnh: iOS 27 có thể quét nhãn dinh dưỡng trên thực phẩm và tự động đồng bộ thông tin (calo, thành phần…) vào ứng dụng Sức khỏe, giảm nhập liệu thủ công.
Tự động trích xuất và số hóa thông tin đời thực: Camera có thể quét số điện thoại, địa chỉ từ danh thiếp/bảng hiệu; đồng thời tạo thẻ kỹ thuật số (gym, vé sự kiện…) vào Apple Wallet.
Safari thông minh hơn nhờ AI: Tự động phân tích, đặt tên và nhóm các tab đang mở, giúp quản lý hàng chục tab dễ dàng hơn.</t>
  </si>
  <si>
    <t>Apple Intelligence; iOS 27; WWDC 2026; Visual Intelligence; AI features; leaked; not confirmed</t>
  </si>
  <si>
    <t>https://www.techinasia.com/news/bookingcom-confirms-breach-customer-data</t>
  </si>
  <si>
    <t>Booking.com confirms data breach exposing customer data</t>
  </si>
  <si>
    <t>Booking.com xác nhận bị lộ dữ liệu khách hàng</t>
  </si>
  <si>
    <t>Rò rỉ dữ liệu cá nhân &amp; đặt phòng: Hacker có thể truy cập tên, email, số điện thoại, địa chỉ và thông tin đặt chỗ; không ảnh hưởng đến dữ liệu tài chính.
Gia tăng nguy cơ lừa đảo sau sự cố: Dữ liệu thật bị lợi dụng để gửi tin nhắn phishing tinh vi (WhatsApp, email) giả mạo Booking.com hoặc khách sạn.
Nguy cơ từ chuỗi cung ứng: Dấu hiệu cho thấy lỗ hổng xuất phát từ hệ thống của đối tác lưu trú, không chỉ từ nền tảng trung tâm của Booking.com.</t>
  </si>
  <si>
    <t>Booking.com; data breach; Storm-1865; ClickFix phishing; travel; customer data; mini app; super-app travel</t>
  </si>
  <si>
    <t>https://dantri.com.vn/cong-nghe/nhung-chu-de-nhieu-nguoi-viet-quan-tam-tren-internet-trong-quy-i2026-20260415160713524.htm</t>
  </si>
  <si>
    <t>Những chủ đề nhiều người Việt quan tâm trên internet trong Quý I/2026</t>
  </si>
  <si>
    <t>Consumer trends</t>
  </si>
  <si>
    <t>Báo cáo Cốc Cốc Q1/2026: OpenClaw +103%, giá xăng +1.901%, AI và tài chính dẫn đầu tìm kiếm VN</t>
  </si>
  <si>
    <t xml:space="preserve">Báo cáo Xu hướng tìm kiếm Quý I/2026 của Cốc Cốc: từ khóa công nghệ dẫn đầu (~60% top 7 lĩnh vực). Top tìm kiếm tăng mạnh: 'AI hay' +130%, OpenClaw +103% (vượt qua ChatGPT), 'giá xăng hôm nay' +1.901%, thuế TNCN 2026 +569%, BTS +700%, U23 Việt Nam. Phong thủy tài chính: 'xem phong thủy số tài khoản' +33%. Data từ Cốc Cốc. </t>
  </si>
  <si>
    <t>Vietnam internet; Coc Coc; Q1 2026; consumer trends; OpenClaw; AI search; growth marketing</t>
  </si>
  <si>
    <t>https://genk.vn/van-dung-chieu-quen-thuoc-ke-gian-co-the-chiem-quyen-kiem-soat-zalo-nguoi-dung-can-can-than-165260417131629056.chn</t>
  </si>
  <si>
    <t>Kẻ gian có thể chiếm quyền kiểm soát Zalo của người dùng bằng chiêu quen thuộc</t>
  </si>
  <si>
    <t>Vẫn dùng chiêu quen thuộc, kẻ gian có thể chiếm quyền kiểm soát Zalo</t>
  </si>
  <si>
    <t>Thủ đoạn giả mạo link và mã QR: Kẻ gian gửi link bình chọn, nhận quà, cập nhật tài khoản… để dụ người dùng đăng nhập vào trang giả và chiếm tài khoản.
Lợi dụng cơ chế “quên mật khẩu”: Spam yêu cầu gửi mã xác thực khiến hệ thống khóa nhận OTP, làm chủ tài khoản thật không thể đăng nhập lại trong 24 giờ.
Biến tài khoản bị chiếm thành công cụ lừa đảo: Giả mạo chủ tài khoản nhắn tin mượn tiền, dựng tình huống khẩn cấp để chiếm đoạt tài sản người quen.</t>
  </si>
  <si>
    <t>Zalo; phishing; account hijacking; security; OTP; Vietnam; trust</t>
  </si>
  <si>
    <t>https://techcrunch.com/2026/04/17/uber-will-now-pick-up-your-returns-from-your-doorstep/</t>
  </si>
  <si>
    <t>Uber will now pick up your returns from your doorstep</t>
  </si>
  <si>
    <t>Logistics/ Delivery</t>
  </si>
  <si>
    <t>Uber ra mắt return pickup qua Uber Eats – Reverse logistics use case mới cho super-app có TMĐT</t>
  </si>
  <si>
    <t>Uber ra mắt dịch vụ lấy hàng trả lại tận nhà qua Uber Eats app (phí courier theo thời gian/khoảng cách, chỉ hàng mua trên Uber Eats, giá trị &gt;$20). Retailers tham gia: Best Buy, Target, Petco. 
Đây là bước đi giúp Uber tận dụng mạng lưới tài xế để tham gia sâu hơn vào nhu cầu giao nhận hằng ngày.</t>
  </si>
  <si>
    <t>Uber; return pickup; Uber Eats; logistics; last-mile; super-app; reverse logistics; US only</t>
  </si>
  <si>
    <t>https://www.techinasia.com/news/ecommerce-risk-labels-questioned-in-indonesia-child-rules</t>
  </si>
  <si>
    <t>Ecommerce risk labels questioned in Indonesia child protection rules</t>
  </si>
  <si>
    <t>Việc gắn nhãn rủi ro cho sàn thương mại điện tử gây tranh cãi trong quy định bảo vệ trẻ em tại Indonesia</t>
  </si>
  <si>
    <t>Indonesia đề xuất áp dụng cơ chế phân loại rủi ro nền tảng số: Các sàn TMĐT phải tự đánh giá rủi ro để xác định mức độ truy cập của người dùng dưới 16 tuổi.
Doanh nghiệp lo ngại thiếu minh bạch: Một số nền tảng bị xếp vào nhóm rủi ro cao trước khi hoàn tất đánh giá nội bộ.
Xu hướng phân mảnh sản phẩm số theo quốc gia: Quy định buộc các nền tảng điều chỉnh tính năng, giao diện và chính sách riêng cho từng thị trường.</t>
  </si>
  <si>
    <t>Indonesia; ecommerce; child protection; risk label; regulation; SEA</t>
  </si>
  <si>
    <t>https://www.techinasia.com/news/indian-firms-step-up-cyber-checks-over-anthropic-ai</t>
  </si>
  <si>
    <t>Indian firms step up cyber checks over Anthropic AI security concerns</t>
  </si>
  <si>
    <t>Doanh nghiệp Ấn Độ siết chặt kiểm tra an ninh mạng trước AI của Anthropic</t>
  </si>
  <si>
    <t>Doanh nghiệp lo ngại năng lực tấn công mạng của AI Mythos: Mô hình Mythos của Anthropic có thể phát hiện lỗ hổng phần mềm và tạo mã khai thác chỉ trong vài giờ, khiến các công ty Ấn Độ khẩn trương rà soát rủi ro an ninh mạng.
Ngân hàng và fintech là nhóm chịu áp lực lớn nhất: HDFC Bank, Zerodha và các tổ chức tài chính cho biết đang làm việc với Hội đồng An ninh Dữ liệu Ấn Độ và liên hệ trực tiếp với Anthropic để đánh giá tác động.
Hệ thống cũ và quy định chậm là điểm yếu: Các chuyên gia cảnh báo ngân hàng – viễn thông dùng hạ tầng legacy có thể không vá kịp lỗ hổng, trong khi khung pháp lý hiện tại chưa theo kịp tốc độ tấn công do AI tạo ra.</t>
  </si>
  <si>
    <t>Anthropic; India; cybersecurity; data privacy; AI deployment; enterprise security</t>
  </si>
  <si>
    <t>https://genk.vn/claude-opus-47-ra-mat-thi-giac-tang-gap-3-tu-kiem-tra-code-truoc-khi-bao-cao-nhung-canh-bao-danh-cho-lap-trinh-vien-dung-46-165260417071515907.chn</t>
  </si>
  <si>
    <t>Claude Opus 4.7 ra mắt: Thị giác tăng gấp 3, tự kiểm tra code trước khi báo cáo</t>
  </si>
  <si>
    <t>Claude Opus 4.7 ra mắt: Vision 3x và self-check code – Nhưng prompt cho 4.6 sẽ không hoạt động đúng trên 4.7</t>
  </si>
  <si>
    <t>Nâng cấp mạnh về thị giác máy tính: Claude Opus 4.7 xử lý ảnh lên tới 2.576 pixel ở cạnh dài (~3,75 MP), gấp hơn 3 lần phiên bản trước, đọc tốt ảnh chụp màn hình và sơ đồ phức tạp.
Có khả năng tự kiểm tra đầu ra khi lập trình: Mô hình có thể tự xác minh code trước khi trả kết quả, giúp xử lý các tác vụ lập trình phức tạp ổn định và đáng tin cậy hơn.
Cảnh báo quan trọng về prompt: Opus 4.7 tuân thủ chỉ dẫn theo nghĩa đen chặt chẽ hơn, khiến prompt viết cho bản 4.6 có thể cho ra kết quả không mong muốn nếu không được tinh chỉnh lại.</t>
  </si>
  <si>
    <t>Claude Opus 4.7; vision; code checking; prompt compatibility; Anthropic; AI agent; agentic workflow; Vietnam tech</t>
  </si>
  <si>
    <t>https://genk.vn/140-nghin-ty-ciyuan-trung-quoc-vuot-mat-my-ve-muc-do-ua-chuong-mo-hinh-ai-87-nguoi-dan-tin-vao-cong-nghe-moi-165260414053731394.chn</t>
  </si>
  <si>
    <t>Trung Quốc vượt Mỹ về mức độ ưa chuộng mô hình AI với 87% dân tin vào công nghệ mới</t>
  </si>
  <si>
    <t>87% dân TQ tin vào AI mới – Mức độ chấp nhận cao tại châu Á là lợi thế triển khai AI nhanh</t>
  </si>
  <si>
    <t>Trung Quốc đầu tư và chấp nhận AI mạnh hơn Mỹ: Tổng quy mô đầu tư liên quan AI tại Trung Quốc được ước tính lên tới 140 nghìn tỷ nhân dân tệ, dẫn đầu toàn cầu.
Mức độ tin tưởng của người dân rất cao: 87% người Trung Quốc cho biết họ tin tưởng và sẵn sàng sử dụng các mô hình AI, vượt xa Mỹ và châu Âu.
Khác biệt văn hóa – chính sách là yếu tố then chốt: Chính phủ hậu thuẫn mạnh, xã hội quen với công nghệ mới và ưu tiên tăng trưởng giúp AI phổ biến nhanh trong đời sống.</t>
  </si>
  <si>
    <t>China; AI adoption; consumer trust; technology acceptance; Asia; benchmark</t>
  </si>
  <si>
    <t>https://vnba.org.vn/vi/viet-nam-australia-mo-rong-co-hoi-hop-tac-fintech-21513.htm</t>
  </si>
  <si>
    <t>VNBA</t>
  </si>
  <si>
    <t>Việt Nam – Australia mở rộng cơ hội hợp tác fintech</t>
  </si>
  <si>
    <t>VN-Úc ký MOU fintech – Mở cơ hội sandbox và vốn đầu tư xuyên biên giới</t>
  </si>
  <si>
    <t>Australia dẫn đoàn doanh nghiệp fintech – regtech sang Việt Nam: Phái đoàn gồm 9 doanh nghiệp sang Việt Nam (14–16/4) để kết nối với ngân hàng và tổ chức tài chính trong nước.
Hợp tác gắn với chuyển đổi số ngân hàng và sandbox: Hai bên tập trung vào các lĩnh vực như regtech, an ninh mạng, AML/KYC, thanh toán, dữ liệu và tài sản số.
Việt Nam được đánh giá là thị trường fintech năng động: Thanh toán số tăng trưởng nhanh, dân số trẻ và kế hoạch xây dựng Trung tâm Tài chính Quốc tế là động lực thu hút công nghệ và đầu tư từ Australia.</t>
  </si>
  <si>
    <t>Vietnam; Australia; fintech; MOU; sandbox; cross-border investment</t>
  </si>
  <si>
    <t>https://genk.vn/claude-len-ngoi-chatgpt-tut-doc-165261304141630535.chn</t>
  </si>
  <si>
    <t>Claude lên ngôi, ChatGPT tụt dốc</t>
  </si>
  <si>
    <t>Claude được ưu chuộng hơn ChatGPT tại hội nghị enterprise HumanX SF</t>
  </si>
  <si>
    <t>Claude được ưa chuộng hơn trong giới doanh nghiệp: Tại hội nghị HumanX (San Francisco), nhiều nhà cung cấp và doanh nghiệp cho biết họ ưu tiên dùng Claude thay vì ChatGPT.
OpenAI đối mặt hoài nghi về chiến lược: Bị đánh giá thiếu định hướng khi dừng một số dự án (như Sora), thay đổi ưu tiên sản phẩm và gây tranh cãi về quảng cáo, quan hệ chính trị.
Cuộc đua giữa Anthropic và OpenAI vẫn cân bằng về doanh thu: Dù hình ảnh suy giảm, OpenAI vẫn là doanh nghiệp tăng trưởng mạnh; sự “tụt dốc” chủ yếu là mất thế độc tôn, không phải sụp đổ.</t>
  </si>
  <si>
    <t>Claude; ChatGPT; market share; AI platform; Anthropic; OpenAI; enterprise; HumanX SF; street sentiment</t>
  </si>
  <si>
    <t>https://techcrunch.com/2026/04/17/anthropic-launches-claude-design-a-new-product-for-creating-quick-visuals/</t>
  </si>
  <si>
    <t>Anthropic launches Claude Design, a new product for creating quick visuals</t>
  </si>
  <si>
    <t>Claude Design ra mắt: AI tạo visual cho non-designers, complement (không cạnh tranh) Canva</t>
  </si>
  <si>
    <t>Claude Design cho phép tạo hình ảnh minh họa, mockup, slide, sơ đồ trực tiếp từ mô tả văn bản.
Nhắm vào nhu cầu tạo visual nhanh cho sản phẩm, thuyết trình, brainstorm, không thay thế phần mềm thiết kế chuyên sâu.
Là bước mở rộng Claude từ AI văn bản sang AI hỗ trợ thiết kế trực quan nhẹ.</t>
  </si>
  <si>
    <t>Claude Design; Anthropic; visual creation; Canva integration; complement not compete; design tool; internal workflow</t>
  </si>
  <si>
    <t>https://genk.vn/cu-moi-lan-anthropic-ra-mat-san-pham-mot-nganh-phan-mem-sup-do-lan-nay-den-luot-cua-figma-va-adobe-165260417141735948.chn</t>
  </si>
  <si>
    <t>Cứ mỗi lần Anthropic ra mắt sản phẩm, một ngành phần mềm sụp đổ: Lần này đến lượt Figma và Adobe</t>
  </si>
  <si>
    <t>Mỗi lần Anthropic ra sản phẩm, một ngành phần mềm "lo sợ" lần này là Figma và Adobe</t>
  </si>
  <si>
    <t xml:space="preserve">Ngày 14/4, The Information rò rỉ Anthropic chuẩn bị ra mắt tool AI tạo website/slide/landing page — cổ phiếu phản ứng tức thì dù chưa ra mắt: Figma -6%, Adobe -2.7%, Wix -4.7%, GoDaddy -3%. </t>
  </si>
  <si>
    <t>Anthropic; Figma; Adobe; design software disruption; AI product launch; software replacement; Vietnam</t>
  </si>
  <si>
    <t>https://techcrunch.com/2026/04/20/google-rolls-out-gemini-in-chrome-in-seven-new-countries/</t>
  </si>
  <si>
    <t>Google rolls out Gemini in Chrome in seven new countries</t>
  </si>
  <si>
    <t>Gemini tích hợp Chrome triển khai tại Việt Nam và 6 thị trường khác – AI embedded trong điểm truy cập chính</t>
  </si>
  <si>
    <t>Google mở rộng Gemini in Chrome đến 7 thị trường mới bao gồm Việt Nam, Indonesia, Philippines, Singapore, Australia, Hàn Quốc, Nhật. Tính năng bao gồm sidebar AI đa tab, tích hợp Personal Intelligence (Gmail, Photos), lên lịch Calendar, gửi email Gmail ngay trong Chrome. Tính năng agentic điều khiển browser vẫn chỉ dành cho AI Pro/Ultra tại Mỹ. Xu hướng AI embedded trong điểm truy cập chính đặt áp lực cho super-app: AI cần tích hợp vào luồng sử dụng chính, không thể để như tính năng tách biệt.</t>
  </si>
  <si>
    <t>Gemini; Chrome; browser AI; Vietnam; Google; AI embedded; super-app strategy</t>
  </si>
  <si>
    <t>https://vnexpress.net/ha-noi-dat-muc-tieu-100-co-quan-nha-nuoc-ung-dung-ai-5061915.html</t>
  </si>
  <si>
    <t>Hà Nội đặt mục tiêu 100% cơ quan nhà nước ứng dụng AI</t>
  </si>
  <si>
    <t>AI strategy</t>
  </si>
  <si>
    <t>Hà Nội đặt mục tiêu 100% cơ quan nhà nước dùng AI từ 1/10/2026</t>
  </si>
  <si>
    <t>Kế hoạch 131/KH-UBND (ký 31/3/2026, PCT UBND Trương Việt Dũng): 100% cơ quan nhà nước Hà Nội ứng dụng AI vào chỉ đạo/điều hành từ ngày 1/10/2026 qua hệ thống AI dùng chung của Thành phố. Đi kèm: giảm 50% văn bản, 100% hồ sơ điện tử, 60% họp trực tuyến. Kinh tế số trong GRDP ≥22%, TMĐT &gt;17% tổng bán lẻ. Signal cho super-app và fintech: thị trường B2G AI và gov-tech đang mở tại Hà Nội.</t>
  </si>
  <si>
    <t>Hanoi; government AI; 100%; 1 October 2026; public sector; B2G; AI policy; Vietnam; gov-tech</t>
  </si>
  <si>
    <t>https://dantri.com.vn/cong-nghe/apple-tung-am-tham-de-doa-grok-20260416123210939.htm</t>
  </si>
  <si>
    <t>Apple từng âm thầm đe dọa Grok</t>
  </si>
  <si>
    <t>Apple được cho là đang phát triển chatbot/AI hội thoại riêng</t>
  </si>
  <si>
    <t>Apple được cho là đang phát triển chatbot/AI hội thoại riêng, cạnh tranh với Grok, ChatGPT.
Lợi thế của Apple là kiểm soát hệ sinh thái và dữ liệu trên thiết bị.
Chiến lược AI của Apple diễn ra chậm, kín tiếng nhưng dài hạn</t>
  </si>
  <si>
    <t>Apple; Grok; xAI; iOS; AI distribution; app store power</t>
  </si>
  <si>
    <t>https://vnexpress.net/huan-luyen-ai-loi-mo-cho-chuyen-gia-lon-tuoi-5060086.html</t>
  </si>
  <si>
    <t>Huấn luyện AI: Lối mở cho chuyên gia lớn tuổi</t>
  </si>
  <si>
    <t>AI training mở cơ hội cho chuyên gia lớn tuổi – Reskilling đang lan rộng tại VN</t>
  </si>
  <si>
    <t>AI tạo nhu cầu lớn về kiến thức chuyên sâu để huấn luyện và hiệu chỉnh mô hình.
Chuyên gia lớn tuổi có lợi thế nhờ kinh nghiệm ngành và hiểu ngữ cảnh thực tế.
AI không chỉ thay thế lao động trẻ mà còn tạo việc mới cho lao động tri thức lâu năm.</t>
  </si>
  <si>
    <t>AI training; reskilling; senior workers; Vietnam; workforce transformation; AI labeling</t>
  </si>
  <si>
    <t>https://genk.vn/anthropic-doi-cach-tinh-tien-ky-nguyen-nhan-vien-ai-khong-gioi-han-da-het-chi-phi-ai-cua-doanh-nghiep-co-the-tang-gap-3-165260415210538852.chn</t>
  </si>
  <si>
    <t>Anthropic đổi cách tính tiền: Kỷ nguyên nhân viên AI không giới hạn đã hết, chi phí AI doanh nghiệp có thể tăng gấp 3</t>
  </si>
  <si>
    <t>Anthropic chuyển sang token commitment – Chi phí AI enterprise tăng 2-3x, áp lực trực tiếp mọi doanh nghiệp VN dùng Claude</t>
  </si>
  <si>
    <t>Anthropic chuyển từ subscription không giới hạn sang buộc doanh nghiệp cam kết và trả trước lượng token ước tính hàng tháng — dù dùng ít hơn cam kết vẫn phải trả đủ. Phí 'chỗ ngồi' giảm còn 20 USD/tháng nhưng chi phí tổng với đội dùng Claude như nhân viên full-time có thể tăng gấp 3. Thay đổi này ảnh hưởng trực tiếp mọi startup và doanh nghiệp VN đang triển khai AI agent trên nền Claude — cần tái cấu trúc business case ngay.</t>
  </si>
  <si>
    <t>Anthropic; pricing model; token commitment; AI agent; enterprise cost; Claude; Vietnam; super-app strategy</t>
  </si>
  <si>
    <t>https://genk.vn/phan-tich-6852-phien-lam-viec-giam-doc-ai-cua-amd-canh-bao-claude-code-ngoc-hon-va-luoi-bieng-hon-khong-con-dang-tin-cho-cac-tac-vu-phuc-tap-165260413205627494.chn</t>
  </si>
  <si>
    <t>Phân tích 6.852 phiên làm việc, giám đốc AI của AMD cảnh báo: Claude Code ngốc hơn và lười biếng hơn</t>
  </si>
  <si>
    <t>Nghiên cứu 6.852 phiên thực tế: Claude Code kém tin cậy cho tác vụ phức tạp – Signal bắt buộc cho team kỹ thuật VN dùng Claude</t>
  </si>
  <si>
    <t>Stella Laurenzo (Giám đốc AI, AMD) phân tích 6.852 phiên làm việc với Claude Code (234.760 lần gọi công cụ, 17.871 khối suy nghĩ) và kết luận: Claude không đáng tin cho tác vụ kỹ thuật phức tạp, với mọi kỹ sư cao cấp trong đội đồng quan điểm. Điểm đáng ngại nhất: Anthropic KHÔNG thông báo người dùng về thay đổi hành vi. Signal bắt buộc cho team kỹ thuật super-app đang dùng Claude: cần cơ chế human-in-the-loop cho tác vụ core, benchmark ≠ hiệu quả thực tế.</t>
  </si>
  <si>
    <t>Claude Code; AI coding; benchmark; real-world performance; Anthropic; AMD; Vietnam tech teams</t>
  </si>
  <si>
    <t>https://genk.vn/schneider-electric-ra-mat-phan-mem-quan-ly-toa-nha-thong-minh-the-he-7-trien-khai-nhanh-hon-20-tiet-kiem-hang-gio-cai-dat-165260415110430666.chn</t>
  </si>
  <si>
    <t>Schneider Electric ra mắt phần mềm quản lý tòa nhà thông minh thế hệ 7</t>
  </si>
  <si>
    <t>IoT/ Smart building</t>
  </si>
  <si>
    <t>Schneider ra mắt EcoStruxure thế hệ 7 – B2B industrial, không liên quan hệ sinh thái super-app</t>
  </si>
  <si>
    <t>Schneider Electric ra mắt EcoStruxure Building Operation thế hệ 7 với tích hợp AI tối ưu năng lượng. Sản phẩm nhắm B2B industrial. Không có tác động trực tiếp lên super-app hay fintech VN.</t>
  </si>
  <si>
    <t>Schneider Electric; smart building; B2B; energy management; IoT</t>
  </si>
  <si>
    <t>https://techcrunch.com/2026/04/17/sayso-is-a-new-short-form-video-app-that-aims-to-restore-users-trust-in-news/</t>
  </si>
  <si>
    <t>Sayso is a new short-form video app that aims to restore users' trust in news</t>
  </si>
  <si>
    <t>Media/ Content</t>
  </si>
  <si>
    <t>Sayso – App tin tức video ngắn phương Tây, tín hiệu nhỏ về short-form content và media trust</t>
  </si>
  <si>
    <t>Sayso là app video ngắn tập trung tin tức khôi phục niềm tin người dùng tại thị trường phương Tây. Tín hiệu nhỏ về hướng đi short-form content trong media trust.</t>
  </si>
  <si>
    <t>Sayso; news app; short video; media trust; niche; western market</t>
  </si>
  <si>
    <t>https://genk.vn/vietbank-digital-plus-tro-ly-tai-chinh-so-danh-cho-nguoi-dung-hien-dai-16526041318283304.chn</t>
  </si>
  <si>
    <t>Vietbank Digital Plus: Trợ lý tài chính số dành cho người dùng hiện đại</t>
  </si>
  <si>
    <t>Vietbank ra mắt Digital Plus app với UX cá nhân hóa – 'Trợ lý tài chính' là marketing copy, ngân hàng VN đang thu hẹp khoảng cách với fintech</t>
  </si>
  <si>
    <t>Vietbank ra mắt Digital Plus như một trợ lý tài chính số cho người dùng hiện đại, kết hợp ngân hàng số với các tiện ích đời sống như chuyển khoản, thanh toán, mua vé, đặt xe.
Điểm nổi bật là tính năng Voice OTT, giúp cập nhật biến động số dư theo thời gian thực và tăng khả năng quản lý tài chính cá nhân.
Nền tảng này được thiết kế theo hướng hợp kênh, nối liền trải nghiệm giữa mobile banking và quầy giao dịch truyền thống.</t>
  </si>
  <si>
    <t>Vietbank; digital banking; UX; fintech; Vietnam; personalization; banking competition</t>
  </si>
  <si>
    <t>https://dantri.com.vn/cong-nghe/meta-phat-trien-ban-sao-ai-cua-mark-zuckerberg-20260414104541384.htm</t>
  </si>
  <si>
    <t>Meta phát triển bản sao AI của Mark Zuckerberg</t>
  </si>
  <si>
    <t>Meta phát triển AI avatar của Zuckerberg – Thử nghiệm CEO digital twin, xu hướng dài hạn</t>
  </si>
  <si>
    <t>Meta đang phát triển AI model mô phỏng Zuckerberg cho demo và communication nội bộ. Xu hướng CEO digital twin trong corporate AI — tác động VN còn xa.</t>
  </si>
  <si>
    <t>Meta; Zuckerberg; AI avatar; digital twin; celebrity AI; social media</t>
  </si>
  <si>
    <t>https://www.techinasia.com/news/xiaohongshu-to-launch-redshop-for-cross-border-sellers</t>
  </si>
  <si>
    <t>Xiaohongshu to launch RedShop for cross-border sellers</t>
  </si>
  <si>
    <t>Xiaohongshu ra mắt RedShop – Social commerce TQ mở rộng cross-border, tín hiệu TMĐT VN</t>
  </si>
  <si>
    <t>Redshop sẽ ra mắt tháng 6/2026 với quy mô hạn chế ban đầu: Nền tảng thương mại điện tử xuyên biên giới mới của Xiaohongshu sẽ khởi động với một nhóm người bán được chọn lọc.
Tập trung vào sản phẩm thủ công và di sản văn hóa phi vật thể: Giai đoạn đầu ưu tiên các mặt hàng thủ công, đặc sản và sản phẩm mang tính văn hóa – phù hợp với cộng đồng người dùng của Xiaohongshu.
Bước đi tiếp theo trong chiến lược mở rộng ecommerce: Sau khi hợp nhất đội ecommerce và livestream (2023), thêm tab Marketplace và thử nghiệm Quick Sell, Redshop là bước tiến rõ ràng để đưa thương mại ra thị trường quốc tế.</t>
  </si>
  <si>
    <t>Xiaohongshu; Little Red Book; RedShop; social commerce; cross-border; China ecommerce; TMDT Vietnam</t>
  </si>
  <si>
    <t>https://vneconomy.vn/techconnect/trung-quoc-siet-quan-ly-hoat-dong-livestream-ban-hang-online.htm</t>
  </si>
  <si>
    <t>Trung Quốc siết quản lý hoạt động livestream bán hàng online</t>
  </si>
  <si>
    <t>Trung Quốc siết quy định tipping và bảo vệ trẻ em trên livestream – Precedent chính sách quan trọng cho nền tảng TMĐT VN</t>
  </si>
  <si>
    <t>Trung Quốc ban hành quy định mới phân tầng theo độ tuổi: dưới 8 tuổi cấm hoàn toàn tipping, 8-16 tuổi cần đồng ý phụ huynh, 16-18 tuổi cần chứng minh thu nhập hợp pháp. Đây là phần của chiến dịch thường niên — năm ngoái đã xử lý 73.000 phòng livestream và 24.000 tài khoản. Precedent quy định bảo vệ trẻ em trên livestream thường lan sang SEA trong 12-18 tháng, cần monitoring cho TikTok Shop và các nền tảng live commerce VN.</t>
  </si>
  <si>
    <t>China; livestream regulation; tipping; child protection; ecommerce; TikTok Shop; policy precedent; VN regulatory</t>
  </si>
  <si>
    <t>https://genk.vn/youtube-cho-phep-tat-hoan-toan-tinh-nang-shorts-165260417021616317.chn</t>
  </si>
  <si>
    <t>YouTube cho phép tắt hoàn toàn tính năng Shorts</t>
  </si>
  <si>
    <t>YouTube cho phép ẩn Shorts – UX nhỏ không ảnh hưởng chiến lược</t>
  </si>
  <si>
    <t>YouTube ra mắt tùy chọn ẩn tab Shorts. Không có tác động chiến lược.</t>
  </si>
  <si>
    <t>YouTube; Shorts; UX; feature toggle; video platform</t>
  </si>
  <si>
    <t>https://www.techinasia.com/news/hk-crypto-payments-firm-redotpay-expands-global-spending</t>
  </si>
  <si>
    <t>HK crypto payments firm RedotPay expands global spending</t>
  </si>
  <si>
    <t>RedotPay mở rộng thanh toán crypto qua Visa virtual card tại SEA – Theo dõi xu hướng crypto-payment bridge</t>
  </si>
  <si>
    <t>RedotPay từ Hong Kong cung cấp thẻ Visa ảo tích hợp ví crypto, cho phép dùng crypto để thanh toán như thẻ Visa thông thường tại hàng triệu điểm chấp nhận. Đang mở rộng sang các thị trường SEA mới. Tín hiệu theo dõi cho super-app về xu hướng crypto-payment bridge.</t>
  </si>
  <si>
    <t>crypto payment; RedotPay; SEA; Hong Kong; fintech wallet; Visa virtual card</t>
  </si>
  <si>
    <t>https://www.bloomberg.com/news/articles/2026-04-15/google-debuts-standalone-gemini-app-for-apple-s-macos</t>
  </si>
  <si>
    <t>Google debuts standalone Gemini app for Apple's macOS</t>
  </si>
  <si>
    <t>Google ra mắt Gemini native macOS app – Gemini là AI cuối cùng trong Big 3 có Mac app, desktop AI race chính thức ba bên</t>
  </si>
  <si>
    <t>Google ra mắt Gemini native app cho macOS 15+ (miễn phí, tải tại gemini.google/mac). Tính năng: Option+Space để gọi nhanh, phân tích nội dung màn hình (screen-aware), tích hợp Nano Banana (image gen) và Veo (video). Gemini là AI CUỐI CÙNG trong Big 3 có Mac app — OpenAI và Anthropic đã có trước. Ra mắt cùng ngày với Windows version. Tín hiệu: cuộc đua AI desktop đang tăng tốc, ảnh hưởng đến công cụ làm việc của doanh nghiệp VN.</t>
  </si>
  <si>
    <t>Gemini; macOS; desktop AI; Google; AI assistant; Claude; competition; Big 3 Mac app</t>
  </si>
  <si>
    <t>https://techcrunch.com/2026/04/17/zoom-teams-up-with-world-to-verify-humans-in-meeting/</t>
  </si>
  <si>
    <t>Zoom teams up with World to verify humans in meetings</t>
  </si>
  <si>
    <t>Zoom tích hợp xác minh danh tính World ID – Identity verification trong video call trở thành xu hướng</t>
  </si>
  <si>
    <t>Zoom tích hợp World ID để phân biệt người thật và AI bot trong cuộc họp. Tín hiệu cho super-app VN phát triển video call: identity verification sẽ trở thành tiêu chuẩn.</t>
  </si>
  <si>
    <t>Zoom; World ID; identity verification; biometric; AI bot; video meeting; security</t>
  </si>
  <si>
    <t>https://genk.vn/nha-dau-tu-nghi-ngo-dinh-gia-openai-anthropic-tang-truong-doanh-thu-nho-cong-cu-lap-trinh-165261604145429781.chn</t>
  </si>
  <si>
    <t>Nhà đầu tư nghi ngờ định giá OpenAI và Anthropic: Tăng trưởng doanh thu chủ yếu nhờ coding tool</t>
  </si>
  <si>
    <t>Nhà đầu tư nghi ngờ định giá OpenAI, Anthropic: tăng trưởng doanh thu nhờ công cụ lập trình</t>
  </si>
  <si>
    <t>Định giá bị đặt dấu hỏi: Một số nhà đầu tư cho rằng mức định giá rất cao của OpenAI và Anthropic chưa phản ánh đầy đủ rủi ro và tính bền vững dài hạn.
Doanh thu chủ yếu đến từ công cụ lập trình: Tăng trưởng hiện nay phần lớn nhờ các sản phẩm như Codex (OpenAI) và Claude Code (Anthropic), phục vụ nhóm lập trình viên và doanh nghiệp kỹ thuật.
Lo ngại phụ thuộc vào một mảng hẹp: Việc doanh thu tập trung vào lập trình khiến giới đầu tư lo ngại các mô hình AI tổng quát chưa tạo được nguồn thu đa dạng như kỳ vọng ban đầu.</t>
  </si>
  <si>
    <t>OpenAI; Anthropic; valuation; revenue; coding tools; investor; AI startup</t>
  </si>
  <si>
    <t>https://genk.vn/co-gi-o-mo-hinh-ai-dau-tien-do-biet-doi-sieu-tri-tue-cua-meta-phat-trien-165260414161711289.chn</t>
  </si>
  <si>
    <t>Có gì ở mô hình AI đầu tiên do biệt đội siêu trí tuệ của Meta phát triển?</t>
  </si>
  <si>
    <t>Meta Superintelligence Labs ra mô hình đầu tiên – Cuộc đua AGI tăng nhiệt, tác động VN còn dài hạn</t>
  </si>
  <si>
    <t>Meta Superintelligence Labs (MSL, do Alexandr Wang lãnh đạo) ra mắt Muse Spark với năng lực lý luận cải tiến. Đây là tín hiệu Meta nghiêm túc trong cuộc đua AGI. Tác động lên VN chưa rõ ràng trong 6-12 tháng tới khi mô hình chưa tích hợp vào sản phẩm.</t>
  </si>
  <si>
    <t>Meta; superintelligence; AGI; Muse Spark; LLM; competition</t>
  </si>
  <si>
    <t>https://genk.vn/vuot-xa-moi-du-bao-tsmc-can-moc-doanh-thu-357-ty-usd-nho-mo-vang-ai-165260413053813951.chn</t>
  </si>
  <si>
    <t>TSMC cán mốc doanh thu 35,7 tỷ USD nhờ cơn sốt chip AI</t>
  </si>
  <si>
    <t>Semiconductor/ Hardware</t>
  </si>
  <si>
    <t>TSMC doanh thu kỷ lục $35.7B – Xác nhận chu kỳ AI infrastructure chưa hạ nhiệt</t>
  </si>
  <si>
    <t>TSMC đạt doanh thu 35,7 tỷ USD trong quý, vượt dự báo nhờ chip AI từ Nvidia, Apple. Xác nhận đầu tư AI infrastructure toàn cầu chưa có dấu hiệu chậm lại.</t>
  </si>
  <si>
    <t>TSMC; semiconductor; AI chip; revenue; Nvidia; AI infrastructure</t>
  </si>
  <si>
    <t>https://vnexpress.net/ai-la-co-hoi-vang-de-cntt-viet-nam-ru-bo-chiec-ao-thau-phu-5060849.html</t>
  </si>
  <si>
    <t>AI là cơ hội vàng để CNTT Việt Nam rũ bỏ chiếc áo thầu phụ</t>
  </si>
  <si>
    <t>Vinasa: AI là 'cơ hội vàng' đưa CNTT VN từ vendor → co-innovation partner – Paradox Jevons làm tăng nhu cầu CNTT</t>
  </si>
  <si>
    <t>Phó TGĐ Vinasa An Ngọc Thao: AI là 'thách thức tử huyệt' với outsourcing giá rẻ nhưng là cơ hội chuyển từ vendor → đối tác đồng sáng tạo. Nghịch lý Jevons: AI giảm chi phí phần mềm → thúc đẩy chuyển đổi số quy mô lớn hơn → TĂNG nhu cầu CNTT. Gartner: chi tiêu CNTT toàn cầu 2026 đạt $6.15T (+10.8%), IT services tăng hai con số. TCS đạt $1.5-1.8B doanh thu trực tiếp từ AI. Signal cho super-app VN: hệ sinh thái CNTT product đang hình thành, cơ hội tuyển dụng và M&amp;A.</t>
  </si>
  <si>
    <t>Vietnam IT; outsourcing; Vinasa; AI; product company; transformation; tech talent; Jevons paradox</t>
  </si>
  <si>
    <t>https://vneconomy.vn/techconnect/van-hoa-du-lieu-nut-that-trong-bai-toan-tang-truong-cua-ngan-hang.htm</t>
  </si>
  <si>
    <t>Văn hóa dữ liệu: Nút thắt trong bài toán tăng trưởng của ngân hàng</t>
  </si>
  <si>
    <t>Thiếu văn hóa dữ liệu kìm hãm ngân hàng VN ứng dụng AI – Rào cản gián tiếp cho super-app khi chọn đối tác</t>
  </si>
  <si>
    <t>Phân tích chỉ ra thiếu văn hóa dữ liệu nội bộ là rào cản lớn nhất với ngân hàng VN trong triển khai AI. Nhiều ngân hàng có hạ tầng dữ liệu tốt nhưng thiếu năng lực khai thác. Tín hiệu cho super-app: đối tác ngân hàng yếu về dữ liệu sẽ hạn chế khả năng co-create sản phẩm tài chính.</t>
  </si>
  <si>
    <t>data culture; banking; Vietnam; analytics; fintech partnership; AI adoption</t>
  </si>
  <si>
    <t>https://dantri.com.vn/cong-nghe/chuyen-gia-ky-vong-xac-thuc-sinh-trac-hoc-thue-bao-se-xoa-xo-sim-rac-20260415095813442.htm</t>
  </si>
  <si>
    <t>Chuyên gia kỳ vọng xác thực sinh trắc học thuê bao sẽ xóa sổ SIM rác</t>
  </si>
  <si>
    <t>Xác thực sinh trắc học SIM – Nền tảng digital identity mới thúc đẩy eKYC cho fintech VN</t>
  </si>
  <si>
    <t>Chuyên gia nhận định xác thực sinh trắc học SIM bắt buộc (Thông tư 08/2026 có hiệu lực 15/4) sẽ tạo nền tảng định danh số tin cậy. Tín hiệu tích cực cho fintech VN: hệ thống digital identity qua SIM tạo thuận lợi cho eKYC và onboarding người dùng mới.</t>
  </si>
  <si>
    <t>SIM authentication; biometric; digital identity; Vietnam; eKYC; fintech; regulation</t>
  </si>
  <si>
    <t>https://genk.vn/apple-chan-ung-dung-lap-trinh-ai-startup-bi-xoa-khoi-app-store-den-hai-lan-165261604145737060.chn</t>
  </si>
  <si>
    <t>Apple chặn ứng dụng lập trình AI: Startup bị xóa khỏi App Store đến hai lần</t>
  </si>
  <si>
    <t>Apple siết chặt kiểm soát AI app trên App Store – Rào cản phân phối cho tính năng AI trên iOS</t>
  </si>
  <si>
    <t>Apple liên tục xóa ứng dụng AI coding của startup Anything khỏi App Store với lý do vi phạm chính sách không rõ ràng. Tín hiệu cho đội product super-app VN: chính sách App Store với AI đang siết chặt, cần tính đến rủi ro phân phối khi phát triển tính năng AI.</t>
  </si>
  <si>
    <t>Apple; App Store; AI app; policy; iOS distribution; vibe coding; startup</t>
  </si>
  <si>
    <t>https://vneconomy.vn/techconnect/nut-that-nhan-luc-quan-tri-du-lieu-voi-cac-doanh-nghiep-viet.htm</t>
  </si>
  <si>
    <t>Nút thắt nhân lực quản trị dữ liệu với các doanh nghiệp Việt</t>
  </si>
  <si>
    <t>70% doanh nghiệp VN thiếu nhân lực data governance – Rào cản triển khai AI</t>
  </si>
  <si>
    <t>Khảo sát: 70% doanh nghiệp VN gặp khó khăn tuyển data governance và data engineering. Tín hiệu cho super-app: đầu tư sớm vào đào tạo data talent là lợi thế cạnh tranh.</t>
  </si>
  <si>
    <t>data governance; talent shortage; Vietnam; enterprise AI; data engineering</t>
  </si>
  <si>
    <t>https://www.bloomberg.com/news/articles/2026-04-14/alibaba-readies-first-robot-for-foray-into-crowded-chinese-arena</t>
  </si>
  <si>
    <t>Alibaba readies first robot for foray into crowded Chinese arena</t>
  </si>
  <si>
    <t>Robotics/ Hardware</t>
  </si>
  <si>
    <t>Alibaba ra mắt robot thương mại đầu tiên – Robotics thương mại châu Á tăng tốc, VN theo dõi dài hạn</t>
  </si>
  <si>
    <t>Alibaba chuẩn bị ra mắt robot thương mại tại TQ, cạnh tranh với Unitree và DJI. Tín hiệu robotics thương mại đang trở thành chiến trường mới. Tác động VN còn xa.</t>
  </si>
  <si>
    <t>Alibaba; robotics; commercial robot; China; automation; AI hardware</t>
  </si>
  <si>
    <t>https://genk.vn/apple-chi-78-trieu-dong-moi-ngay-cho-tung-nhom-dung-claude-ai-noi-bo-165261404145726947.chn</t>
  </si>
  <si>
    <t>Apple chi 78 triệu đồng/ngày cho từng nhóm dùng Claude AI nội bộ</t>
  </si>
  <si>
    <t>Apple chi $3.000/ngày/team cho Claude nội bộ – Benchmark chi phí AI enterprise đang trở thành chi phí vận hành chuẩn</t>
  </si>
  <si>
    <t>Apple chi khoảng 3.000 USD/ngày (~78 triệu đồng) cho mỗi nhóm sử dụng Claude AI nội bộ. AI đang trở thành chi phí vận hành bắt buộc với tech company. Benchmark quan trọng cho doanh nghiệp VN lập kế hoạch ngân sách AI.</t>
  </si>
  <si>
    <t>Apple; Claude; AI cost; enterprise; internal deployment; Anthropic pricing</t>
  </si>
  <si>
    <t>https://www.techinasia.com/news/binance-research-ai-takes-40-crypto-vc-funding</t>
  </si>
  <si>
    <t>Binance research: AI takes 40% of crypto VC funding in Q1 2026</t>
  </si>
  <si>
    <t>Crypto/ Blockchain</t>
  </si>
  <si>
    <t>AI chiếm 40% vốn VC crypto Q1/2026 – Giao thoa AI và crypto blockchain đang tăng tốc</t>
  </si>
  <si>
    <t>Báo cáo Binance Research: AI-crypto nhận 40% tổng vốn VC hệ sinh thái crypto Q1/2026. Tín hiệu theo dõi cho fintech VN về xu hướng AI-crypto infrastructure.</t>
  </si>
  <si>
    <t>Binance; crypto; AI; VC funding; Web3; AI agent; investment</t>
  </si>
  <si>
    <t>https://vneconomy.vn/techconnect/nhan-vien-so-loi-giai-cho-bai-toan-nang-suat-trong-ky-nguyen-ai.htm</t>
  </si>
  <si>
    <t>Nhân viên số: Lời giải cho bài toán năng suất trong kỷ nguyên AI</t>
  </si>
  <si>
    <t>Digital worker AI tăng năng suất 20-40% – Xu hướng workplace automation đến gần với doanh nghiệp VN</t>
  </si>
  <si>
    <t>Digital worker và AI agent đang được triển khai tại các tập đoàn lớn châu Á với năng suất tăng 20-40%. Tín hiệu cho doanh nghiệp VN: kế hoạch AI workforce transformation cần ưu tiên trong roadmap 2026-2027.</t>
  </si>
  <si>
    <t>AI workforce; digital worker; productivity; automation; Vietnam; enterprise</t>
  </si>
  <si>
    <t>https://genk.vn/bo-tai-chinh-my-va-fed-hop-khan-vi-mot-san-pham-ai-ngay-tan-cua-nganh-phan-mem-an-ninh-mang-co-dang-den-165260413054307124.chn</t>
  </si>
  <si>
    <t>Bộ Tài chính Mỹ và Fed họp khẩn vì một sản phẩm AI có thể phá vỡ an ninh mạng tài chính</t>
  </si>
  <si>
    <t>Fed họp khẩn về rủi ro AI với hệ thống tài chính – Precedent quản lý AI trong ngành banking</t>
  </si>
  <si>
    <t>Bộ Tài chính và Fed Mỹ triệu tập họp khẩn về sản phẩm AI có khả năng phá vỡ bảo mật hệ thống tài chính. Tín hiệu cơ quan quản lý đang chủ động với rủi ro AI. Precedent cho VN trong xây dựng khung AI risk management cho ngân hàng và fintech.</t>
  </si>
  <si>
    <t>US Treasury; Fed; AI cybersecurity; financial security; regulatory risk; fintech regulation</t>
  </si>
  <si>
    <t>https://vnexpress.net/nhung-hoat-dong-thuc-day-tri-tue-nhan-tao-tai-ai-day-2026-5062646.html</t>
  </si>
  <si>
    <t>Những hoạt động thúc đẩy trí tuệ nhân tạo tại AI Day 2026</t>
  </si>
  <si>
    <t>AI Day 2026 VN – Sự kiện thúc đẩy hệ sinh thái AI</t>
  </si>
  <si>
    <t>AI Day 2026 tại VN quy tụ startup, doanh nghiệp và cơ quan nhà nước thúc đẩy ứng dụng AI. Bối cảnh AI VN — không có tác động ngắn hạn cụ thể.</t>
  </si>
  <si>
    <t>AI Day; Vietnam; AI ecosystem; startup; government initiative; 2026</t>
  </si>
  <si>
    <t>https://vnexpress.net/viet-nam-thu-nghiem-mang-internet-50-gbps-5063593.html</t>
  </si>
  <si>
    <t>Việt Nam thử nghiệm mạng Internet 50 Gbps</t>
  </si>
  <si>
    <t>Digital infrastructure</t>
  </si>
  <si>
    <t>VN thử nghiệm internet 50 Gbps – Hạ tầng cho AI real-time và thanh toán tốc độ cao</t>
  </si>
  <si>
    <t>Việt Nam triển khai thử nghiệm mạng 50 Gbps tại khu công nghệ cao. Hạ tầng tốc độ cao này hỗ trợ AI thời gian thực, video streaming 8K và thanh toán tức thì. Tín hiệu trung hạn cho super-app trong xây dựng tính năng AI đòi hỏi băng thông cao.</t>
  </si>
  <si>
    <t>internet infrastructure; 50Gbps; Vietnam; AI; connectivity; fintech</t>
  </si>
  <si>
    <t>https://www.techinasia.com/news/amazon-launches-first-shenzhen-hub-chinese-sellers</t>
  </si>
  <si>
    <t>Amazon launches first Shenzhen hub for Chinese sellers</t>
  </si>
  <si>
    <t>Amazon mở hub Thâm Quyến cho seller TQ – Cross-border TMĐT TQ tăng tốc, áp lực gián tiếp lên TMĐT VN</t>
  </si>
  <si>
    <t>Amazon mở trung tâm logistics đầu tiên tại Thâm Quyến để giảm chi phí/thời gian cho seller TQ bán quốc tế. Áp lực gián tiếp cho TMĐT VN về hàng giá rẻ TQ qua cross-border.</t>
  </si>
  <si>
    <t>Amazon; Shenzhen; Chinese sellers; cross-border ecommerce; logistics; Vietnam</t>
  </si>
  <si>
    <t>https://www.techinasia.com/news/tng-digital-kk-mart-roll-out-e-wallet-salary-for-migrants</t>
  </si>
  <si>
    <t>TNG Digital &amp; KK Mart roll out e-wallet salary for migrants in Malaysia</t>
  </si>
  <si>
    <t>TNG Digital triển khai lương qua e-wallet cho lao động nhập cư Malaysia – Mô hình fintech for underserved</t>
  </si>
  <si>
    <t>TNG Digital (ví Malaysia) hợp tác KK Mart chi trả lương qua e-wallet cho lao động nhập cư. Mô hình này có tiềm năng cho lao động di cư VN. Tín hiệu cho fintech VN trong phát triển sản phẩm remittance và migrant worker finance.</t>
  </si>
  <si>
    <t>TNG Digital; e-wallet; migrant worker; salary; Malaysia; financial inclusion; remittance</t>
  </si>
  <si>
    <t>https://genk.vn/mot-quoc-gia-chau-au-cam-hoan-toan-tre-em-duoi-15-tuoi-su-dung-mang-xa-hoi-165260411082221623.chn</t>
  </si>
  <si>
    <t>Một quốc gia châu Âu cấm hoàn toàn trẻ em dưới 15 tuổi sử dụng mạng xã hội</t>
  </si>
  <si>
    <t>EU cấm mạng xã hội dưới 15 tuổi – Precedent bảo vệ trẻ em online lan sang VN</t>
  </si>
  <si>
    <t>Một quốc gia EU ban hành cấm toàn bộ trẻ em dưới 15 tuổi sử dụng mạng xã hội với cơ chế xác minh tuổi bắt buộc cho nền tảng. Precedent chính sách cho VN — Zalo và super-app cần chuẩn bị cơ chế tài khoản trẻ em.</t>
  </si>
  <si>
    <t>EU; social media ban; children; age restriction; policy; Zalo; Vietnam regulatory</t>
  </si>
  <si>
    <t>https://www.techinasia.com/news/anthropic-suspends-openclaw-creator-claude-access</t>
  </si>
  <si>
    <t>Anthropic suspends OpenClaw creator's Claude API access</t>
  </si>
  <si>
    <t>Anthropic đình chỉ API Claude của OpenClaw không báo trước – Rủi ro vendor lock-in AI</t>
  </si>
  <si>
    <t>Anthropic đình chỉ quyền truy cập API Claude của OpenClaw developer mà không có cảnh báo, ảnh hưởng hàng nghìn người dùng cuối. Minh chứng cho rủi ro phụ thuộc AI vendor đơn lẻ. Doanh nghiệp VN cần chiến lược multi-vendor AI.</t>
  </si>
  <si>
    <t>Anthropic; OpenClaw; API suspension; vendor risk; AI dependency; multi-vendor</t>
  </si>
  <si>
    <t>https://dantri.com.vn/cong-nghe/hacker-nam-vung-giang-bay-tu-su-chu-quan-cua-doanh-nghiep-vua-va-nho-20260416120517883.htm</t>
  </si>
  <si>
    <t>Hacker nắm vững giăng bẫy từ sự chủ quan của doanh nghiệp vừa và nhỏ</t>
  </si>
  <si>
    <t>Rủi ro bảo mật SMB VN gia tăng – Cơ hội cho tính năng bảo mật B2B tích hợp trong hệ sinh thái merchant</t>
  </si>
  <si>
    <t>Báo cáo ghi nhận tấn công mạng nhắm SMB Việt Nam tăng qua phishing và mật khẩu yếu. SMB thiếu ngân sách và nhân lực bảo mật chuyên nghiệp. Cơ hội cho super-app phát triển tính năng bảo mật B2B nhắm phân khúc SMB merchant.</t>
  </si>
  <si>
    <t>cybersecurity; SMB; Vietnam; phishing; B2B fintech; merchant</t>
  </si>
  <si>
    <t>https://techcrunch.com/2026/04/14/youtube-livestreams-will-now-hold-back-ads-during-peak-engagement-to-protect-the-vibe/</t>
  </si>
  <si>
    <t>YouTube livestreams will now hold back ads during peak engagement</t>
  </si>
  <si>
    <t>YouTube trì hoãn ads trong peak engagement livestream – Tín hiệu nhỏ cho live commerce VN</t>
  </si>
  <si>
    <t>YouTube ra mắt tính năng trì hoãn quảng cáo khi livestream đang ở đỉnh điểm để giữ engagement. Tín hiệu nhỏ cho live commerce VN về tối ưu ad placement.</t>
  </si>
  <si>
    <t>YouTube; livestream; advertising; creator; engagement; live commerce</t>
  </si>
  <si>
    <t>https://vneconomy.vn/techconnect/trung-quoc-ra-chinh-sach-thu-hut-tai-nang-ai-tu-thung-lung-silicon-ve-nuoc.htm</t>
  </si>
  <si>
    <t>Trung Quốc ra chính sách thu hút tài năng AI từ Thung lũng Silicon về nước</t>
  </si>
  <si>
    <t>Trung Quốc tuyển tài năng AI từ Silicon Valley – Cuộc chiến nhân lực AI cấp quốc gia</t>
  </si>
  <si>
    <t>Trung Quốc triển khai ưu đãi đặc biệt thu hút kỹ sư AI người Hoa từ Silicon Valley về nước. Cạnh tranh nhân lực AI đang diễn ra ở cấp quốc gia, ảnh hưởng đến khả năng giữ chân kỹ sư AI của VN.</t>
  </si>
  <si>
    <t>China; AI talent; Silicon Valley; brain gain; policy; human capital</t>
  </si>
  <si>
    <t>https://vneconomy.vn/techconnect/nguoi-khuyet-tat-tiep-can-ai-nguy-co-hinh-thanh-khoang-cach-so-moi.htm</t>
  </si>
  <si>
    <t>Người khuyết tật tiếp cận AI: Nguy cơ hình thành khoảng cách số mới</t>
  </si>
  <si>
    <t>Digital inclusion</t>
  </si>
  <si>
    <t>Khoảng cách AI với người khuyết tật – Tín hiệu accessibility cần đưa vào lộ trình product</t>
  </si>
  <si>
    <t>Báo cáo chỉ ra người khuyết tật đang bị bỏ lại trong làn sóng AI khi phần lớn giao diện chưa hỗ trợ accessibility. Tín hiệu cho super-app VN cần đưa accessibility vào lộ trình sản phẩm để đón đầu yêu cầu pháp lý trong tương lai.</t>
  </si>
  <si>
    <t>digital inclusion; accessibility; AI; disability; Vietnam; product design</t>
  </si>
  <si>
    <t>https://vneconomy.vn/techconnect/trung-quoc-cong-bo-chien-luoc-toan-dien-dua-ai-vao-lop-hoc-den-nam-2030.htm</t>
  </si>
  <si>
    <t>Trung Quốc công bố chiến lược toàn diện đưa AI vào lớp học đến năm 2030</t>
  </si>
  <si>
    <t>Chiến lược AI giáo dục Trung Quốc 2030 – Benchmark chính sách nhân lực AI cho VN</t>
  </si>
  <si>
    <t>Trung Quốc công bố chiến lược quốc gia tích hợp AI vào giáo dục đến 2030. Tín hiệu chính sách: VN cần đẩy nhanh lộ trình tương tự để tránh tụt hậu về nhân lực AI.</t>
  </si>
  <si>
    <t>China; AI education; 2030 strategy; edtech; policy; human capital</t>
  </si>
  <si>
    <t>https://techcrunch.com/2026/04/15/ai-learning-app-gizmo-levels-up-with-13m-users-and-a-22m-investment/</t>
  </si>
  <si>
    <t>AI learning app Gizmo levels up with 13M users and a $22M investment</t>
  </si>
  <si>
    <t>EdTech</t>
  </si>
  <si>
    <t>Gizmo AI learning 13M users nhận $22M – EdTech AI tăng tốc</t>
  </si>
  <si>
    <t>Gizmo (AI flashcard) đạt 13M users và nhận $22M. Tăng trưởng nhanh cho thấy nhu cầu AI-assisted learning. Tín hiệu xa về tiềm năng tích hợp học tập AI vào hệ sinh thái super-app.</t>
  </si>
  <si>
    <t>Gizmo; edtech; AI learning; investment; flashcard; education; mobile</t>
  </si>
  <si>
    <t>https://www.bloomberg.com/news/articles/2026-04-13/roblox-adds-youth-accounts-as-push-for-social-media-bans-grows</t>
  </si>
  <si>
    <t>Roblox adds youth accounts as push for social media bans grows</t>
  </si>
  <si>
    <t>Roblox tạo tài khoản trẻ em riêng – Tiêu chuẩn mới cho nền tảng số phục vụ trẻ em</t>
  </si>
  <si>
    <t>Roblox ra mắt youth account với kiểm soát phụ huynh tích hợp trước làn sóng luật cấm mạng xã hội cho trẻ em. Tín hiệu cho Zalo và super-app VN chuẩn bị cơ chế tài khoản trẻ em.</t>
  </si>
  <si>
    <t>Roblox; youth accounts; children safety; social media ban; parental control; regulation</t>
  </si>
  <si>
    <t>https://dantri.com.vn/cong-nghe/pho-cap-ten-mien-tieng-viet-de-thu-hep-khoang-cach-so-bao-ton-van-hoa-mang-20260417131118835.htm</t>
  </si>
  <si>
    <t>Phổ cập tên miền tiếng Việt để thu hẹp khoảng cách số, bảo tồn văn hóa mạng</t>
  </si>
  <si>
    <t>Phổ cập tên miền .vn tiếng Việt – Hỗ trợ số hóa SME, tác động gián tiếp đến hệ sinh thái merchant</t>
  </si>
  <si>
    <t>Chương trình phổ cập tên miền tiếng Việt đưa doanh nghiệp nhỏ lên internet với chi phí thấp. Tác động gián tiếp đến mở rộng cơ sở merchant cho các nền tảng TMĐT và super-app. Không có tác động ngắn hạn đáng kể.</t>
  </si>
  <si>
    <t>Vietnam domain; .vn; digital inclusion; SME; localization</t>
  </si>
  <si>
    <t>https://techcrunch.com/2026/04/20/google-photos-adds-new-touch-up-tools-for-quick-fixes/</t>
  </si>
  <si>
    <t>Google Photos adds new touch-up tools for quick fixes</t>
  </si>
  <si>
    <t>Google Photos thêm AI chỉnh ảnh – Tính năng UX nhỏ không ảnh hưởng chiến lược</t>
  </si>
  <si>
    <t>Google Photos ra mắt công cụ chỉnh sửa ảnh AI nhỏ. Không có tác động đáng kể.</t>
  </si>
  <si>
    <t>Google Photos; AI editing; photo; feature update; Google</t>
  </si>
  <si>
    <t>https://genk.vn/thuong-vu-975-trieu-usd-cua-vua-tiktok-co-bien-giac-mo-bac-ty-boc-hoi-vi-co-phieu-lao-doc-hon-90-165260411133402208.chn</t>
  </si>
  <si>
    <t>Thương vụ 975 triệu USD của 'vua TikTok': Cổ phiếu lao dốc hơn 90%</t>
  </si>
  <si>
    <t>Capital market</t>
  </si>
  <si>
    <t>Thương vụ creator TikTok 975 triệu USD thất bại – Bong bóng định giá creator economy đang xì hơi</t>
  </si>
  <si>
    <t>Một influencer TikTok được định giá 975 triệu USD bị cổ phiếu lao dốc hơn 90%, cho thấy bong bóng định giá creator economy. Không có tác động trực tiếp lên thị trường VN hay super-app.</t>
  </si>
  <si>
    <t>TikTok; creator economy; valuation; stock crash; influencer; capital market</t>
  </si>
  <si>
    <t>https://www.bloomberg.com/news/articles/2026-04-16/roku-s-platform-crosses-100-million-users-fueling-ad-business</t>
  </si>
  <si>
    <t>Roku's platform crosses 100 million users, fueling ad business</t>
  </si>
  <si>
    <t>Ad tech</t>
  </si>
  <si>
    <t>Roku vượt 100 triệu người dùng nhờ quảng cáo connected TV – Không liên quan VN</t>
  </si>
  <si>
    <t>Roku đạt 100 triệu tài khoản hoạt động, phần lớn doanh thu từ quảng cáo connected TV. Mô hình này thành công tại Mỹ với mức thâm nhập TV cao. Không có tác động trực tiếp lên VN.</t>
  </si>
  <si>
    <t>Roku; connected TV; ad tech; streaming; US market</t>
  </si>
  <si>
    <t>https://vnexpress.net/nguoi-dung-messenger-gap-kho-khi-dong-bo-lich-su-chat-5062953.html</t>
  </si>
  <si>
    <t>Người dùng Messenger gặp khó khi đồng bộ lịch sử chat</t>
  </si>
  <si>
    <t>Messenger lỗi đồng bộ lịch sử chat – Vấn đề kỹ thuật nhỏ không ảnh hưởng chiến lược</t>
  </si>
  <si>
    <t>Người dùng Messenger báo cáo lỗi đồng bộ lịch sử chat sau thay đổi từ Meta. Không có tác động chiến lược đáng kể.</t>
  </si>
  <si>
    <t>Messenger; Meta; chat sync; bug; user experience</t>
  </si>
  <si>
    <t>https://dantri.com.vn/cong-nghe/gia-token-onus-giam-ve-0-20260412233000351.htm</t>
  </si>
  <si>
    <t>Giá token ONUS giảm về 0</t>
  </si>
  <si>
    <t>Token ONUS VN về 0 – Cảnh báo rủi ro crypto nội địa</t>
  </si>
  <si>
    <t>Token ONUS của nền tảng blockchain VN mất toàn bộ giá trị. Không có tác động trực tiếp lên super-app hay fintech truyền thống.</t>
  </si>
  <si>
    <t>ONUS; token; crypto crash; Vietnam; blockchain; investor loss</t>
  </si>
  <si>
    <t>https://genk.vn/quai-vat-ai-qua-nguy-hiem-nen-anthropic-khong-dam-cong-khai-chuyen-gia-bao-mat-vao-cuoc-va-tuyen-bo-chi-la-chieu-tro-marketing-165260411164541876.chn</t>
  </si>
  <si>
    <t>Quái vật AI quá nguy hiểm, Anthropic không dám công khai: Chuyên gia bảo mật vào cuộc và tuyên bố chỉ là chiêu trò marketing</t>
  </si>
  <si>
    <t>Tuyên bố AI nguy hiểm của Anthropic bị cộng đồng bảo mật phản bác là chiêu trò marketing</t>
  </si>
  <si>
    <t>Anthropic tuyên bố giữ lại mô hình Claude Mythos vì quá nguy hiểm để công khai, nhưng cộng đồng bảo mật độc lập phản bác: không có bằng chứng kỹ thuật thực sự, đây là chiêu trò marketing. Sự kiện không tạo ra precedent pháp lý hay thay đổi cách thức triển khai AI tại VN.</t>
  </si>
  <si>
    <t>AI safety; Anthropic; Mythos; marketing; security; hype</t>
  </si>
  <si>
    <t>https://www.techinasia.com/ai-investing-speed-patience</t>
  </si>
  <si>
    <t>AI investing: when to move fast and when to wait</t>
  </si>
  <si>
    <t>Chiến lược đầu tư AI: khi nào vào nhanh khi nào chờ – Quan điểm VC SEA</t>
  </si>
  <si>
    <t>Phân tích chiến lược đầu tư AI từ VC SEA: vào nhanh với infrastructure/platform, chờ ở application layer. Không có thông tin hành động cụ thể mới.</t>
  </si>
  <si>
    <t>AI investment; VC; startup; SEA; strategy; patience</t>
  </si>
  <si>
    <t>https://techcrunch.com/2026/04/17/gigs-turns-your-concert-history-into-a-personal-live-music-archive/</t>
  </si>
  <si>
    <t>Gigs turns your concert history into a personal live music archive</t>
  </si>
  <si>
    <t>Entertainment</t>
  </si>
  <si>
    <t>Gigs – App lưu trữ lịch sử concert niche, không liên quan VN</t>
  </si>
  <si>
    <t>Gigs là app lưu lịch sử buổi diễn nhạc sống. Niche app tại thị trường Mỹ. Không liên quan VN.</t>
  </si>
  <si>
    <t>Gigs; concert; music; app; personal archive; niche</t>
  </si>
  <si>
    <t>https://techcrunch.com/2026/04/14/how-the-rewards-app-freecash-scammed-its-way-to-the-top-of-the-app-stores/</t>
  </si>
  <si>
    <t>How the rewards app Freecash scammed its way to the top of the app stores</t>
  </si>
  <si>
    <t>Freecash gian lận lên top App Store – Lỗ hổng kiểm duyệt app</t>
  </si>
  <si>
    <t>Freecash sử dụng chiến thuật gian lận để leo lên top App Store. Không có tác động VN.</t>
  </si>
  <si>
    <t>Freecash; App Store; fraud; scam; app review manipulation; Apple; Google</t>
  </si>
  <si>
    <t>https://techcrunch.com/2026/04/15/fathom-adds-a-bot-less-meeting-mode-in-a-bid-to-take-on-granola/</t>
  </si>
  <si>
    <t>Fathom adds a bot-less meeting mode in a bid to take on Granola</t>
  </si>
  <si>
    <t>Productivity</t>
  </si>
  <si>
    <t>Fathom ra tính năng họp không cần bot – Productivity AI niche, không liên quan VN</t>
  </si>
  <si>
    <t>Fathom AI ra mắt chế độ ghi chép họp không cần bot, cạnh tranh Granola. B2B niche phương Tây.</t>
  </si>
  <si>
    <t>Fathom; meeting AI; notetaking; productivity; B2B; Granola</t>
  </si>
  <si>
    <t>https://techcrunch.com/2026/04/13/microsoft-is-officially-killing-its-outlook-lite-app-next-month/</t>
  </si>
  <si>
    <t>Microsoft is officially killing its Outlook Lite app next month</t>
  </si>
  <si>
    <t>Microsoft khai tử Outlook Lite – Tập trung sản phẩm, không tác động VN</t>
  </si>
  <si>
    <t>Microsoft thông báo khai tử Outlook Lite. Không có tác động đáng kể lên VN hay super-app.</t>
  </si>
  <si>
    <t>Microsoft; Outlook Lite; app discontinuation; productivity; email</t>
  </si>
  <si>
    <t>Zalopay App</t>
  </si>
  <si>
    <t>Mua sắm tại JOYOUNG nhận voucher 10%</t>
  </si>
  <si>
    <t>ZaloPay x JOYOUNG: Voucher 10% tối đa 100k</t>
  </si>
  <si>
    <t>- Thời gian: 17/04 - 23/04
- Ưu đãi: voucher 10% tối đa 100k khi thanh toán qua ZaloPay tại website của Joyoung</t>
  </si>
  <si>
    <t>Thanh toán VietlottSMS</t>
  </si>
  <si>
    <t>ZaloPay x Vietlott SMS: Nhận 3000 xu khi thanh toán Vietlott trên ZaloPay</t>
  </si>
  <si>
    <t>- Thời gian: 09/04 - 30/4
- Đối tượng: Khách hàng chưa thanh toán Vietlott trong tháng 4
- Thể lệ: Mua 1 vé Vietlott trên Zalo, nhận 3000 xu</t>
  </si>
  <si>
    <t>https://www.techinasia.com/news/goto-review-comply-prabowos-8-platform-fee-cap</t>
  </si>
  <si>
    <t>GoTo review to comply with Prabowo's 8% platform fee cap</t>
  </si>
  <si>
    <t>Indonesia Prabowo ký sắc lệnh cắt hoa hồng ride-hailing xuống 8% – Tác động trực tiếp Grab và GoTo</t>
  </si>
  <si>
    <t>Tổng thống Prabowo ký sắc lệnh tổng thống giảm hoa hồng tối đa của nền tảng gọi xe từ 20% xuống 8%, công bố tại Ngày Lao động 1/5 tại Monas Jakarta.  Bằng cách ký Quy định của Tổng thống (Perpres) số 27 năm 2026, Tổng thống đã quy định về mặt pháp lý rằng ít nhất 92% giá vé phải đi trực tiếp vào túi của các tài xế. Tuy chưa có ngày hiệu lực chính thức cụ thể, nhưng được yêu cầu thực thi ngay lập tức trong dịp May Day để bảo vệ tài xế. 
GoTo báo cáo lợi nhuận ròng đầu tiên 171 tỷ rupiah Q1/2026. Indonesia chiếm 17-19% Mobility GMV và ~20% EBITDA của Grab. Sắc lệnh của Tổng thống sẽ buộc các nền tảng điều chỉnh mô hình vận hành và phân chia doanh thu. Theo đó, GoTo cho biết đang rà soát và chuẩn bị tuân thủ quy định mới của Indonesia. Việc áp trần phí nền tảng 8% làm co hẹp đáng kể take rate của mảng gọi xe (Gojek) – vốn là trụ cột tạo lưu lượng trong mô hình super app. Điều này khiến GoTo khó duy trì lợi nhuận từ mobility nếu không tái cấu trúc chi phí hoặc tìm nguồn bù đắp khác.
Đây có thể trở thành tiền lệ để Việt Nam cân nhắc siết phí nền tảng trong các lĩnh vực thiết yếu như gọi xe, giao đồ ăn nhằm bảo vệ đối tác và người lao động</t>
  </si>
  <si>
    <t>Ride-hailing / Delivery</t>
  </si>
  <si>
    <t>https://vneconomy.vn/techconnect/trung-quoc-ra-chinh-sach-bao-ve-tai-xe-cong-nghe-nhan-vien-giao-hang.htm</t>
  </si>
  <si>
    <t>Trung Quốc ra chính sách bảo vệ tài xế công nghệ, nhân viên giao hàng</t>
  </si>
  <si>
    <t>Trung Quốc ban hành chính sách bảo vệ tài xế gig economy</t>
  </si>
  <si>
    <t>Trung Quốc ban hành khung chính sách toàn diện đầu tiên cho lao động nền tảng (tài xế công nghệ, giao hàng, livestream…), yêu cầu các nền tảng chuẩn hóa quan hệ lao động và ký hợp đồng rõ ràng.
Chính sách buộc doanh nghiệp đảm bảo thu nhập hợp lý, phúc lợi và an sinh xã hội, đồng thời chấm dứt tình trạng lao động làm toàn thời gian nhưng không được công nhận chính thức.
Trung Quốc cũng siết chặt việc sử dụng thuật toán, yêu cầu minh bạch hơn trong phân bổ đơn hàng và trả lương; mục tiêu là chuẩn hóa kinh tế nền tảng vào năm 2027.
Động thái của Trung Quốc cho thấy mô hình gig economy đang bước sang giai đoạn “lao động hóa”, buộc các nền tảng gọi xe–giao hàng phải hy sinh biên lợi nhuận để đổi lấy ổn định xã hội, và có thể trở thành tiền lệ chính sách quan trọng cho các thị trường như Việt Nam khi quy mô lao động nền tảng ngày càng lớn.</t>
  </si>
  <si>
    <t>https://techcrunch.com/2026/04/30/stripe-link-digital-wallet-ai-agents-shopping/</t>
  </si>
  <si>
    <t>Stripe introduces Link, a digital wallet that autonomous AI agents can use, too</t>
  </si>
  <si>
    <t>Stripe Link ra mắt: ví điện tử cho AI agent tự động thanh toán thay user</t>
  </si>
  <si>
    <t>Stripe ra mắt Link — ví điện tử hỗ trợ nhiều PTTT như thẻ, bank, crypto, BNPL cho phép AI agent (OpenClaw và các agent khác) tự thanh toán trong giới hạn được phép, không cần giao thông tin thẻ thật cho agent tại Sessions 2026 (San Francisco, 30/04/2026). Hiện tại Link có trên web, iOS, Android. Tính năng thêm: xem chi tiêu, theo dõi subscription, bảo vệ mua hàng 90 ngày cùng cơ chế giới hạn chi tiêu linh hoạt.
Người dùng ủy quyền cho AI agents qua cơ chế OAuth và phê duyệt chi tiêu từng giao dịch, giúp AI hoạt động mà không lộ thông tin thanh toán gốc Context: Mac Mini Apple bán hết vì nhiều người dùng làm nền tảng chạy AI agent.
Việc Stripe “trao ví cho AI agents” cho thấy thanh toán đang dịch chuyển từ hành vi của con người sang hành vi của phần mềm, buộc các nền tảng ví và fintech phải sớm chuẩn bị hạ tầng cho agent‑driven commerce</t>
  </si>
  <si>
    <t>Fintech/ Đầu tư</t>
  </si>
  <si>
    <t>https://www.techinasia.com/news/wechat-pay-expands-qr-payments-5-asian-countries</t>
  </si>
  <si>
    <t>WeChat Pay expands QR payments to 5 Asian countries</t>
  </si>
  <si>
    <t>WeChat Pay mở rộng QR payments sang 5 nước châu Á – Cạnh tranh trực tiếp với Alipay+ và QR nội địa</t>
  </si>
  <si>
    <t>WeChat Pay mở rộng thanh toán QR xuyên biên giới sang 5 quốc gia châu Á gồm Hàn Quốc, Sri Lanka, Thái Lan, Malaysia và Singapore, cho phép người dùng quét trực tiếp QR nội địa khi chi tiêu ở nước ngoài.
Dịch vụ được tích hợp trực tiếp với hệ thống QR quốc gia (như PromptPay, DuitNow, SGQR), giúp người dùng không cần tải app địa phương hay đổi tiền.
Động thái diễn ra trong bối cảnh du lịch xuyên biên giới của Trung Quốc phục hồi mạnh, mở rộng vai trò WeChat Pay trong hệ sinh thái thanh toán quốc tế.
cuộc cạnh tranh ví điện tử sẽ dịch chuyển sang khả năng liên thông xuyên biên giới, gây áp lực lên các ví nội địa (trong đó có Việt Nam) phải mở rộng interoperability hoặc liên kết khu vực. MoMo hay Zalopay đều có những động thái để mở rộng QR thanh toán quốc tế trong thời gian gần đây</t>
  </si>
  <si>
    <t>https://www.techsignin.com/040526-ant-international-ket-noi-2-ty-nguoi-dung/</t>
  </si>
  <si>
    <t>Ant International links 150 million merchants with AI payments</t>
  </si>
  <si>
    <t>Ant International ra mắt AMP – Giao thức agentic payment đầu tiên cho mobile</t>
  </si>
  <si>
    <t>Tại diễn đàn cấp cao thường niên về công nghệ tài chính (fintech) MoMents 2026 ở Kuala Lumpur, Malaysia,Ant International công bố chiến lược mới nhấn mạnh sự phối hợp giữa các dịch vụ Thanh toán Toàn cầu (Alipay+), Tài khoản Toàn cầu (Antom, WorldFirst) và Tài chính Toàn diện &amp; Tích hợp dựa trên AI, được xây dựng dựa trên những tiến bộ về AI và khả năng tương tác. Là nền tảng cho hoạt động kinh doanh, các dịch vụ thanh toán toàn cầu của Ant International hỗ trợ hơn 300 phương thức thanh toán, bao gồm hơn 10 hệ thống mã QR quốc gia cùng 50 ví điện tử và ứng dụng ngân hàng, đạt trung bình hơn 20 triệu giao dịch mỗi ngày
Sản phẩm nổi bật: 
Giao thức AMP mã nguồn mở – khung thanh toán dựa trên tác nhân đầu tiên trên thế giới được thiết kế cho giao diện di động – nhằm thúc đẩy thương mại AI; 
Nền tảng AI dưới dạng dịch vụ GenAI Cockpit;
AI SHIELD xác định các giao dịch rủi ro cao với độ chính xác trên 95%, đồng thời cải thiện tỷ lệ thanh toán thành công lên đến 13,5%; 
Falcon TST FX đưa ra các dự báo dài hạn với độ chính xác tới 93% để quản lý dòng tiền và rủi ro ngoại hối, giảm chi phí ngoại hối của công ty tới 60%;
EPOS360 POS SME ứng dụng tiên phong dành cho doanh nghiệp vừa và nhỏ (SME) được hỗ trợ bởi trí tuệ nhân tạo (AI), tích hợp các công cụ AI thiết thực với hệ thống POS, thanh toán, ngân hàng, tài chính và các hoạt động tăng trưởng; 
Antom Copilot cung cấp khả năng tự động hóa và hỗ trợ cho các nhà bán hàng dựa trên các trường hợp thực tế, giúp cải thiện hiệu quả của các dịch vụ như xử lý tranh chấp bồi hoàn (chargeback) lên đến 46%
Tại Việt Nam, công ty hợp tác với NAPAS và Vietcombank để triển khai dịch vụ thanh toán mã QR xuyên biên giới, đồng thời cũng đang làm việc với chính quyền TP.HCM nhằm phát triển Trung tâm Tài chính Quốc tế (IFC)</t>
  </si>
  <si>
    <t>https://www.bloomberg.com/news/articles/2026-04-29/uber-adds-hotel-bookings-to-its-app-through-new-expedia-partnership</t>
  </si>
  <si>
    <t>Uber adds hotel bookings to its app through new Expedia partnership</t>
  </si>
  <si>
    <t>Uber tích hợp đặt khách sạn qua Expedia – Super-app ride+food+travel đang hình thành tại Mỹ</t>
  </si>
  <si>
    <t>Uber hợp tác Expedia tích hợp đặt 700.000+ khách sạn trực tiếp trong app, triển khai đầu tại Mỹ và mở rộng quốc tế. Người dùng tại Mỹ có thể truy cập hơn 700.000 khách sạn, với ưu đãi cho Uber One members nhận 10% Uber credits và giảm ít nhất 20%. Thêm AI voice booking, Travel Mode với gợi ý địa điểm + OpenTable + Uber Eats giao đến khách sạn. Uber rides cũng sẽ tích hợp vào Expedia app từ tháng 6/2026. Vrbo sẽ thêm vào cuối 2026. Việc tích hợp booking lưu trú giúp Uber kết nối hành trình đi lại – ăn uống – lưu trú trong một trải nghiệm liền mạch, củng cố tham vọng “everything app”</t>
  </si>
  <si>
    <t>https://genk.vn/nguoi-viet-mua-gi-ma-moi-ngay-chot-toi-126-trieu-san-pham-tren-san-tmdt-165260429075817689.chn</t>
  </si>
  <si>
    <t>Người Việt mua gì mà mỗi ngày chốt tới 126 triệu sản phẩm trên sàn TMĐT</t>
  </si>
  <si>
    <t>Người Việt chốt 126 triệu sản phẩm/ngày trên TMĐT – Số liệu thực tế quy mô thị trường</t>
  </si>
  <si>
    <t>Theo báo cáo Thị trường sàn bán lẻ trực tuyến quý I/2026 của nền tảng tổng hợp và khai thác dữ liệu Metric.vn, quý I sàn thương mại điện tử (TMĐT) ghi nhận tổng sản lượng 1.138,6 triệu sản phẩm, tương ứng mức tăng 19,7% so với cùng kỳ năm 2025. Với thời gian thống kê từ ngày 1/1 đến 31/3, bình quân mỗi ngày người Việt chốt khoảng 12,6 triệu sản phẩm trên 4 sàn Shopee, Lazada, Tiki và TikTok Shop
Cùng với sản lượng tăng, doanh số toàn thị trường đạt 148,6 nghìn tỷ đồng, tăng 46,6% so với cùng kỳ năm trước. Số shop phát sinh đơn hàng đạt 490,9 nghìn shop, tăng 3,91%
Top doanh số theo danh mục: Nhóm Làm đẹp dẫn đầu về doanh số với 24.427,3 tỷ đồng. Đây cũng là ngành đứng đầu toàn thị trường trong quý đầu năm. Xếp sau là Nhà cửa - Đời sống với doanh số 18.246 tỷ đồng, tiếp đến là Thời trang nữ đạt 20.953,71 tỷ đồng. Ở nhóm hàng tiêu dùng, Bách hóa - Thực phẩm đạt 9.111,96 tỷ đồng doanh số. Điện thoại và Máy tính bảng đạt 7.133,65 tỷ đồng, trong khi Thời trang nam đạt 9.464,42 tỷ đồng.
Top tốc độ tăng trưởng doanh số theo danh mục: Thời trang nam là ngành tăng mạnh nhất với 151,08% so với cùng kỳ năm trước. Theo sau là Phụ kiện thời trang tăng 92,88%, Thời trang nữ tăng 74,75%, Giày dép nữ tăng 45,27% và Điện thoại &amp; Máy tính bảng tăng 44,73%
Top sản phẩm bán ra theo số lượng: Nhà cửa - Đời sống dẫn đầu với 210,96 triệu sản phẩm. Làm đẹp đứng thứ hai với 159,96 triệu sản phẩm, tiếp theo là Thời trang nữ với 146,15 triệu sản phẩm
Top sàn theo số lượng sản phẩm: Shopee dẫn đầu (629 triệu sp, 55%), TikTok Shop thứ 2 (289 triệu, 25%)</t>
  </si>
  <si>
    <t>https://baotintuc.vn/thi-truong-tien-te/giao-hang-nhanh-dinh-hinh-lai-cuoc-dua-thuong-mai-dien-tu-20260416172320540.htm</t>
  </si>
  <si>
    <t>Báo Tin Tức</t>
  </si>
  <si>
    <t>Giao hàng nhanh định hình lại cuộc đua thương mại điện tử</t>
  </si>
  <si>
    <t>Giao Hàng Nhanh tái định vị để chiếm lợi thế trong cuộc đua TMĐT</t>
  </si>
  <si>
    <t>Giao Hàng Nhanh (GHN) đang tái định vị vai trò từ đơn vị giao vận sang đối tác hạ tầng TMĐT, tham gia sâu hơn vào khâu vận hành và tối ưu đơn hàng cho nhà bán.
Doanh nghiệp tập trung vào tốc độ giao hàng, kiểm soát chi phí và giải pháp đặc thù cho người bán nhỏ – vừa, thay vì chạy đua mở rộng bằng trợ giá.
Động thái này diễn ra khi cuộc cạnh tranh TMĐT chuyển từ “đốt tiền lấy thị phần” sang tối ưu hiệu quả và trải nghiệm.</t>
  </si>
  <si>
    <t>https://www.techinasia.com/airwallex-launch-indonesia-vietnam-southeast-asia-push</t>
  </si>
  <si>
    <t>Airwallex launches in Indonesia and Vietnam as part of Southeast Asia push</t>
  </si>
  <si>
    <t>Funding/ Investment</t>
  </si>
  <si>
    <t>Airwallex chính thức mở rộng hoạt động sang Indonesia và Việt Nam</t>
  </si>
  <si>
    <t xml:space="preserve">Airwallex, fintech đa tiền tệ và thanh toán xuyên biên giới, chính thức ra mắt tại Indonesia và Việt Nam trong năm 2026 sau mua lại giấy phép: CTIN Pay (Việt Nam, trung gian thanh toán) năm 2025 và Skye Sab (Indonesia, dịch vụ thanh toán), đưa hai thị trường này vào trọng tâm chiến lược mở rộng tại Đông Nam Á.
Tại Việt Nam, Airwallex cung cấp hệ sinh thái tài chính toàn cầu cho doanh nghiệp xuất khẩu, tập trung chiến lược vào hai hệ sinh thái trọng tâm: Game/App và Ecommerce - ưu tiên doanh nghiệp cần thanh toán xuyên biên giới nhanh, tiết kiệm chi phí so VNPAY/MoMo
Sản phẩm chính: Cổng thanh toán quốc tế (60+ tiền tệ, phí thấp minh bạch, API linh hoạt, PCI DSS), Tài khoản Toàn cầu (nhận tiền nội địa Mỹ/EU/Úc/SG/HK không phí SWIFT, hỗ trợ VND 0,6%), Chuyển tiền quốc tế (tỷ giá liên ngân hàng), Thẻ doanh nghiệp đa tiền tệ (cashback), và Banking-as-a-Service nhúng cho nền tảng
</t>
  </si>
  <si>
    <t>https://www.techinasia.com/news/tiktok-launches-restaurant-recommendation-service-indonesia</t>
  </si>
  <si>
    <t>TikTok launches restaurant recommendation service in Indonesia</t>
  </si>
  <si>
    <t>TikTok ra dịch vụ gợi ý nhà hàng tại Indonesia – Mở rộng sang local services, cạnh tranh Grab</t>
  </si>
  <si>
    <t>TikTok ra mắt dịch vụ gợi ý nhà hàng tại Indonesia mang tên TikTok Go by Tokopedia, kết nối nội dung video, livestream và tìm kiếm với trải nghiệm ăn uống ngoài đời thực. Việc TikTok chuyển từ “đề xuất nội dung” sang dẫn dắt hành vi tiêu dùng offline cho thấy mạng xã hội đang tiến sâu vào local services &amp; commerce
Người dùng có thể xem video → tìm địa điểm → mua voucher → đến quán, trong khi creator được hưởng hoa hồng từ giao dịch, mở ra mô hình kiếm tiền mới cho hệ sinh thái.
Dịch vụ tận dụng hành vi khám phá ẩm thực trên TikTok trong bối cảnh Indonesia có hơn 5,2 triệu doanh nghiệp F&amp;B và nhu cầu tìm quán qua nền tảng số tăng mạnh.</t>
  </si>
  <si>
    <t>https://techcrunch.com/2026/04/30/tiktoks-new-campus-hub-features-college-group-chats-and-feeds/</t>
  </si>
  <si>
    <t>TikTok's new campus hub features college group chats and feeds</t>
  </si>
  <si>
    <t>TikTok mở rộng đối tượng Sinh viên với tính năng Campus Hub</t>
  </si>
  <si>
    <t>TikTok ra mắt Campus Hub tại Mỹ, bổ sung group chat và feed riêng cho sinh viên từng trường đại học (&gt;6.000 trường đại học qua UNiDAYS), nhằm tăng tương tác theo cộng đồng khép kín.
Tính năng chính: College Group Chats (tạo/tham gia nhóm 300 bạn cùng trường, chỉ verified students, tổ chức reunion/họp học); College Feeds cá nhân hóa nội dung từ sinh viên trường + cập nhật xu hướng/sự kiện.
Campus Hub được xem là nỗ lực giữ chân nhóm người dùng trẻ Gen Z, gắn TikTok với đời sống hàng ngày chứ không chỉ là nền tảng giải trí ngắn hạn.</t>
  </si>
  <si>
    <t>MXH/ Chat/ Giải trí</t>
  </si>
  <si>
    <t>https://vnexpress.net/bidv-cung-cac-doi-tac-trien-khai-dich-vu-thanh-toan-qr-viet-han-5066506.html</t>
  </si>
  <si>
    <t>BIDV cùng các đối tác triển khai dịch vụ thanh toán QR Việt-Hàn</t>
  </si>
  <si>
    <t>BIDV mở rộng thanh toán QR xuyên biên giới Việt – Hàn</t>
  </si>
  <si>
    <t>BIDV phối hợp với đối tác Hàn Quốc triển khai dịch vụ thanh toán QR Việt–Hàn, cho phép khách Hàn Quốc thanh toán tại Việt Nam và ngược lại bằng ứng dụng ngân hàng nội địa.
Giải pháp tận dụng kết nối hạ tầng QR quốc gia của hai nước, giúp người dùng không cần đổi tiền mặt hay tải thêm ví mới.
Dịch vụ nhắm tới nhóm khách du lịch, lao động và doanh nghiệp hai chiều Việt–Hàn, nơi có giao thương và di chuyển lớn.
Việc BIDV đẩy mạnh thanh toán QR xuyên biên giới cho thấy ngân hàng Việt đang chủ động trong sân chơi cross‑border payments, tạo áp lực cạnh tranh trực tiếp lên ví điện tử và mở ra tiền lệ để Việt Nam tham gia sâu hơn vào mạng lưới QR khu vực.</t>
  </si>
  <si>
    <t>https://www.techinasia.com/news/ant-international-upgrades-alipay-with-privacy-tech</t>
  </si>
  <si>
    <t>Ant International upgrades Alipay with privacy tech</t>
  </si>
  <si>
    <t>Ant International tăng cường công nghệ bảo mật để mở rộng Alipay toàn cầu</t>
  </si>
  <si>
    <t>Ant International nâng cấp Alipay với loạt công nghệ bảo vệ quyền riêng tư, tập trung vào mã hóa dữ liệu, xử lý phân tách và kiểm soát truy cập theo ngữ cảnh.
Các cải tiến nhằm giúp Alipay đáp ứng yêu cầu tuân thủ chặt chẽ tại nhiều thị trường, đặc biệt trong các kịch bản thanh toán xuyên biên giới.
Ant nhấn mạnh cách tiếp cận “privacy‑by‑design”, coi bảo mật và tuân thủ là nền tảng cho tăng trưởng quốc tế dài hạn.
Việc Alipay đầu tư mạnh vào privacy tech cho thấy niềm tin và tuân thủ đang trở thành lợi thế cạnh tranh cốt lõi của fintech toàn cầu, tạo áp lực để các ví và nền tảng thanh toán tại Việt Nam nâng chuẩn bảo mật nếu muốn tham gia sâu hơn vào hệ sinh thái thanh toán khu vực và quốc tế.</t>
  </si>
  <si>
    <t>https://vnexpress.net/nhieu-ngan-hang-dung-chuyen-tien-nhanh-tren-500-trieu-dong-5063913.html</t>
  </si>
  <si>
    <t>Nhiều ngân hàng dừng chuyển tiền nhanh trên 500 triệu đồng</t>
  </si>
  <si>
    <t>Nhiều ngân hàng VN dừng chuyển tiền nhanh &gt;500 triệu đồng – Siết quy định thanh toán tức thì lớn</t>
  </si>
  <si>
    <t>Nhiều ngân hàng như Eximbank, TPBank, VPBank dừng tính năng tự động chia nhỏ giao dịch trên 500 triệu đồng, khiến các khoản chuyển liên ngân hàng giá trị lớn không còn đi qua kênh Napas 24/7.
Các giao dịch từ 500 triệu đồng trở lên sẽ chuyển sang luồng chuyển khoản thường, có thể mất vài giờ hoặc sang ngày làm việc kế tiếp nếu ngoài giờ hành chính. Việc điều chỉnh nhằm tuân thủ quy định mới của Ngân hàng Nhà nước, tăng kiểm soát rủi ro và phòng chống gian lận, rửa tiền trong giao dịch giá trị lớn.</t>
  </si>
  <si>
    <t>https://genk.vn/openclaw-moi-phien-ban-cloud-an-toan-tien-dung-cho-nguoi-viet-165260421151000535.chn</t>
  </si>
  <si>
    <t>OpenClaw mới: Phiên bản cloud an toàn, tiện dụng cho người Việt</t>
  </si>
  <si>
    <t>OpenClaw ra phiên bản cloud cho người Việt – AI agent trên nền tảng đám mây</t>
  </si>
  <si>
    <t>OpenClaw ra mắt phiên bản cloud mới, tập trung vào bảo mật dữ liệu và trải nghiệm người dùng Việt, cho phép truy cập và quản lý tài nguyên từ xa thuận tiện hơn.
Nền tảng nhấn mạnh lưu trữ và xử lý dữ liệu trên cloud nội địa, giúp giảm độ trễ, tăng kiểm soát dữ liệu và phù hợp yêu cầu tuân thủ trong nước.
OpenClaw hướng tới người dùng cá nhân và doanh nghiệp nhỏ, cung cấp giải pháp cloud dễ dùng, chi phí hợp lý thay cho các dịch vụ quốc tế phức tạp.</t>
  </si>
  <si>
    <t>https://vnexpress.net/cach-cong-ty-cong-nghe-trung-quoc-chuyen-hoa-ai-thanh-loi-nhuan-5061856.html</t>
  </si>
  <si>
    <t>Cách công ty công nghệ Trung Quốc chuyển hóa AI thành lợi nhuận</t>
  </si>
  <si>
    <t>Doanh nghiệp công nghệ Trung Quốc đẩy nhanh thương mại hóa AI để tạo lợi nhuận</t>
  </si>
  <si>
    <t>Nhiều công ty công nghệ Trung Quốc đang chuyển trọng tâm từ nghiên cứu AI sang thương mại hóa, tích hợp AI trực tiếp vào sản phẩm và dịch vụ tạo doanh thu.
AI được ứng dụng mạnh trong quảng cáo, thương mại điện tử, cloud, dịch vụ doanh nghiệp và công cụ làm việc, giúp tối ưu chi phí và tăng hiệu suất vận hành.
Thay vì chạy đua mô hình lớn nhất, các doanh nghiệp ưu tiên AI “dùng được – bán được – sinh lời”, phù hợp nhu cầu thị trường nội địa quy mô lớn.
Alibaba: Dùng AI tăng hiệu quả quảng cáo và bán giải pháp AI/LLM qua Alibaba Cloud cho doanh nghiệp.
Tencent: Ứng dụng AI để tối ưu hiển thị quảng cáo và nội dung trong WeChat, mini‑program và game, gia tăng doanh thu trên mỗi người dùng.
Baidu: Thương mại hóa AI thông qua quảng cáo tìm kiếm thông minh và bán giải pháp AI cho doanh nghiệp, chính quyền.
ByteDance: AI âm thầm tối ưu phân phối nội dung và quảng cáo trên Douyin/TikTok để tăng doanh thu ads.
Meituan: AI trong dự báo nhu cầu, điều phối tài xế và tối ưu logistics, từ đây mở rộng biên lợi nhuận trong giao đồ ăn và local services</t>
  </si>
  <si>
    <t>https://techcrunch.com/2026/04/21/yelps-updated-ai-assistant-can-answer-questions-and-book-a-restaurant-or-service-in-one-conversation/</t>
  </si>
  <si>
    <t>Yelp's updated AI assistant can answer questions and book a restaurant in one conversation</t>
  </si>
  <si>
    <t>Yelp nâng cấp AI assistant thành “trợ lý hành động” cho ăn uống và dịch vụ</t>
  </si>
  <si>
    <t>Yelp ra mắt phiên bản AI assistant mới có thể trả lời câu hỏi và hoàn tất đặt bàn/đặt dịch vụ trong cùng một cuộc hội thoại.
Tính năng chính: Trả lời câu hỏi phức tạp ("nhà hàng Ý gần đây có chỗ trống tối nay, món pasta ngon"), đặt bàn tự động qua Yelp Guest Manager/Vagaro/Zocdoc/Calendly, gọi delivery (DoorDash/Grubhub), dựa trên hàng triệu review thực tế
Tính năng này tận dụng dữ liệu đánh giá, bối cảnh và lịch trống để rút ngắn hành trình người dùng từ khám phá đến giao dịch.</t>
  </si>
  <si>
    <t>https://techcrunch.com/2026/04/28/snapchat-brings-ai-powered-conversational-advertising-to-its-app/</t>
  </si>
  <si>
    <t>Snapchat brings AI-powered conversational advertising to its app</t>
  </si>
  <si>
    <t>Snapchat đưa quảng cáo hội thoại bằng AI vào trải nghiệm người dùng</t>
  </si>
  <si>
    <t>Snapchat ra mắt hình thức quảng cáo hội thoại chạy bằng AI -  AI Sponsored Snaps - kết hợp quy mô gần một tỷ người dùng hàng tháng với các cuộc trò chuyện do AI cung cấp để thúc đẩy sự tương tác, cho phép thương hiệu trò chuyện trực tiếp với người dùng thay vì chỉ hiển thị banner hay video
Người dùng có thể hỏi đáp, khám phá sản phẩm và nhận gợi ý cá nhân hóa ngay trong cuộc trò chuyện với chatbot của nhãn hàng.
Giải pháp được thiết kế nhằm tăng mức độ tương tác và đo lường hiệu quả quảng cáo sâu hơn, phù hợp với hành vi chat‑first của Gen Z.</t>
  </si>
  <si>
    <t>https://techcrunch.com/2026/04/23/whatsapp-adds-prepaid-phone-recharges-in-india-as-its-payments-usage-still-lags/</t>
  </si>
  <si>
    <t>WhatsApp adds prepaid phone recharges in India — payments still lags</t>
  </si>
  <si>
    <t>WhatsApp mở rộng nạp tiền di động để thúc đẩy mảng thanh toán tại Ấn Độ</t>
  </si>
  <si>
    <t>WhatsApp hợp tác PayU thêm nạp tiền điện thoại trả trước tại Ấn Độ (Jio, Airtel, Vodafone), triển khai cho toàn bộ 500M+ người dùng. 
Việc triển khai mới nhất bổ sung vào nỗ lực rộng lớn hơn của WhatsApp nhằm mở rộng thanh toán và dịch vụ trong ứng dụng ở Ấn Độ, nơi người dùng đã có thể thanh toán hóa đơn, đặt vé tàu điện ngầm và truy cập một loạt các dịch vụ của chính phủ thông qua giao diện dựa trên trò chuyện
Tính năng mới nhằm tăng mức độ sử dụng WhatsApp Payments. Ứng dụng nhắn tin đã xử lý hơn 130 triệu giao dịch trong tháng 3, theo số liệu thống kê mới nhất từ Tập đoàn Thanh toán Quốc gia Ấn Độ, bỏ xa các đối thủ như PhonePe và Google Pay thuộc sở hữu của Walmart, xử lý lần lượt hơn 10,5 tỷ và 7,5 tỷ giao dịch trong cùng kỳ</t>
  </si>
  <si>
    <t>https://www.techinasia.com/news/indian-ecommerce-firms-build-agentic-ai-storefronts</t>
  </si>
  <si>
    <t>Indian ecommerce firms build agentic AI storefronts</t>
  </si>
  <si>
    <t>Thương mại điện tử Ấn Độ chuyển sang mô hình storefront dùng AI age</t>
  </si>
  <si>
    <t>Các công ty TMĐT Ấn Độ đang xây dựng storefront sử dụng AI agent, cho phép khách hàng trò chuyện, hỏi đáp và mua sắm thay vì duyệt danh mục truyền thống.
AI agent có thể hiểu nhu cầu, gợi ý sản phẩm, so sánh giá và hoàn tất đơn hàng trong một luồng hội thoại liền mạch.
Mô hình này tận dụng hành vi mobile‑first và chatbot‑friendly của người dùng Ấn Độ, đồng thời giúp doanh nghiệp cá nhân hóa trải nghiệm ở quy mô lớn.</t>
  </si>
  <si>
    <t>https://techcrunch.com/2026/04/22/threads-is-adding-live-chats-to-boost-real-time-engagement/</t>
  </si>
  <si>
    <t>Threads is adding live chats to boost real-time engagement</t>
  </si>
  <si>
    <t>Threads bổ sung live chat để tăng tương tác theo thời gian thực</t>
  </si>
  <si>
    <t>Threads triển khai tính năng live chat, cho phép người dùng tham gia trò chuyện trực tiếp, theo dõi diễn biến tức thì theo chủ đề (thể thao, giải trí, sản phẩm) ngay trong ứng dụng với tối đa 150 người cùng lúc
Tính năng này nhằm thúc đẩy tương tác real‑time, vốn là điểm yếu của Threads so với X trong các cuộc thảo luận nóng.
Live chat được tích hợp gọn nhẹ, tập trung vào tốc độ và tính thời sự, thay vì xây dựng cộng đồng phức tạp.</t>
  </si>
  <si>
    <t>https://techcrunch.com/2026/04/23/meta-is-revamping-its-cross-app-management-system/</t>
  </si>
  <si>
    <t>Meta is revamping its cross-app management system</t>
  </si>
  <si>
    <t>Meta tái cấu trúc hệ thống quản lý tài khoản xuyên ứng dụng</t>
  </si>
  <si>
    <t>Meta ra mắt hệ thống Meta Account – hệ thống quản lý tài khoản thống nhất thay thế Accounts Center, đơn giản hóa đăng nhập và cài đặt bảo mật cho Facebook, Instagram, WhatsApp, Meta AI glasses... trên toàn hệ sinh thái
Tính năng chính: Mật khẩu duy nhất (bảo vệ Passkeys), 2FA/email tập trung, cảnh báo đăng nhập đa thiết bị, dashboard Family Center giám sát con cái đa app mà không cần chuyển đổi.
Hệ thống mới sẽ triển khai dần trong khoảng một năm, vẫn cho phép tách riêng tài khoản từng app nếu người dùng muốn.</t>
  </si>
  <si>
    <t>https://genk.vn/apple-tra-google-1-ty-usd-moi-nam-de-tich-hop-gemini-vao-siri-165262304152849967.chn</t>
  </si>
  <si>
    <t>Apple trả Google 1 tỷ USD mỗi năm để tích hợp Gemini vào Siri</t>
  </si>
  <si>
    <t>Apple trả Google $1B/năm tích hợp Gemini vào Siri – AI partnership lớn nhất trong lịch sử mobile</t>
  </si>
  <si>
    <t>Apple được cho là trả khoảng 1 tỷ USD mỗi năm cho Google để tích hợp mô hình AI Gemini vào Siri, trong khuôn khổ hợp tác AI thế hệ mới giữa hai bên.
Động thái này nhằm nâng cấp đáng kể năng lực AI tạo sinh cho Siri, đặc biệt ở các tác vụ hỏi–đáp, suy luận và hỗ trợ người dùng phức tạp.
Thay vì tự xây dựng toàn bộ mô hình từ đầu, Apple chọn cách kết hợp AI nội bộ với mô hình hàng đầu bên ngoài để tăng tốc triển khai AI trên iOS.</t>
  </si>
  <si>
    <t>https://techcrunch.com/2026/04/23/meta-will-now-allow-parents-to-see-the-topics-their-child-discussed-with-meta-ai/</t>
  </si>
  <si>
    <t>Meta will now allow parents to see the topics their child discussed with Meta AI</t>
  </si>
  <si>
    <t>Meta cho phép phụ huynh theo dõi chủ đề con trao đổi với Meta A</t>
  </si>
  <si>
    <t>Meta cập nhật tính năng giám sát cho phụ huynh, cho phép cha mẹ xem các chủ đề mà con chưa đủ tuổi đã trao đổi với Meta AI, thay vì nội dung chi tiết.
Thay đổi này nhằm tăng minh bạch và an toàn cho trẻ em, trong bối cảnh AI ngày càng được tích hợp sâu vào các ứng dụng như Instagram và WhatsApp.
Meta khẳng định dữ liệu vẫn được ẩn chi tiết hội thoại, chỉ hiển thị ở mức tổng quát để cân bằng giữa quyền riêng tư và kiểm soát.</t>
  </si>
  <si>
    <t>https://techcrunch.com/2026/04/28/amazon-launches-an-ai-powered-audio-qa-experience-on-product-pages/</t>
  </si>
  <si>
    <t>Amazon launches an AI-powered audio Q&amp;A experience on product pages</t>
  </si>
  <si>
    <t>Amazon đưa AI hỏi–đáp bằng giọng nói lên trang sản phẩm</t>
  </si>
  <si>
    <t>Amazon ra mắt trải nghiệm hỏi–đáp bằng audio dùng AI "Joint the chat" ngay trên trang sản phẩm Amazon Shopping (Mỹ), cho phép người dùng nghe câu trả lời tóm tắt thay vì đọc mô tả dài.
Cách hoạt động: Người dùng tap "Hear highlights" &gt; "Join the chat", hỏi bằng text/voice ("máy pha cà phê này phù hợp người mới? áo này có ngứa không?"), AI tổng hợp specs/review/web data, trả lời real-time rồi tiếp tục audio
Tính năng hướng tới giảm thời gian cân nhắc và tăng tỷ lệ chuyển đổi, đặc biệt trên thiết bị di động và loa thông minh.</t>
  </si>
  <si>
    <t>https://www.techinasia.com/news/malaysian-fintech-ryt-bank-adds-pay-later-to-card-payments</t>
  </si>
  <si>
    <t>Malaysian fintech RYT Bank adds pay-later to card payments</t>
  </si>
  <si>
    <t>Fintech Malaysia đưa Pay Later vào thanh toán thẻ để mở rộng chi tiêu</t>
  </si>
  <si>
    <t>Ryt Bank (Malaysia) tích hợp tính năng Pay Later trực tiếp vào thanh toán thẻ, cho phép chọn trả ngay hoặc trả sau lên đến RM1,499 không cần giấy tờ, 0% lãi nếu thanh toán kỳ đầu.
Chiến lược: Tạo siêu thẻ linh hoạt debit/credit, cashback quốc tế, không phí rút ATM nội địa; cạnh tranh BNPL truyền thống bằng tích hợp liền mạch app AI.
Sản phẩm tập trung: PayLater theo kỳ hạn 3-12 tháng, quản lý chi tiêu real-time, phù hợp Gen Z mua sắm nhỏ lẻ.</t>
  </si>
  <si>
    <t>https://techcrunch.com/2026/04/30/x-announces-a-rebuilt-ad-platform-powered-by-ai/</t>
  </si>
  <si>
    <t>X announces a rebuilt ad platform powered by AI</t>
  </si>
  <si>
    <t>X tái xây dựng nền tảng quảng cáo, đặt AI làm lõi vận hành</t>
  </si>
  <si>
    <t>X công bố nền tảng quảng cáo được xây dựng lại từ đầu, sử dụng AI để tự động hóa việc nhắm mục tiêu, sáng tạo nội dung và tối ưu phân phối.
Hệ thống mới cho phép nhãn hàng tạo, thử nghiệm và điều chỉnh quảng cáo nhanh hơn, giảm phụ thuộc vào thao tác thủ công của đội marketing.
Động thái này nhằm phục hồi doanh thu quảng cáo, trong bối cảnh nhiều nhà quảng cáo từng rút lui vì lo ngại hiệu quả và an toàn thương hiệu.</t>
  </si>
  <si>
    <t>https://techcrunch.com/2026/04/23/x-is-shutting-down-communities-because-of-low-usage-and-lots-of-spam/</t>
  </si>
  <si>
    <t>X is shutting down Communities because of low usage and lots of spam</t>
  </si>
  <si>
    <t>X đóng cửa tính năng Communities do ít người dùng và spam lan tràn</t>
  </si>
  <si>
    <t>X thông báo sẽ đóng cửa Communities, tính năng cho phép tạo nhóm thảo luận theo chủ đề, do mức độ sử dụng thấp và bị spam nghiêm trọng.
Theo X, Communities không đạt được mục tiêu tạo không gian thảo luận chất lượng, trong khi chi phí kiểm duyệt ngày càng lớn.
Động thái diễn ra trong bối cảnh X tinh gọn sản phẩm và tập trung nguồn lực vào các ưu tiên khác như video, creator và quảng cáo.</t>
  </si>
  <si>
    <t>https://techcrunch.com/2026/04/30/netflix-wants-you-to-watch-clips-its-tiktok-like-vertical-video-feed/</t>
  </si>
  <si>
    <t>Netflix wants you to watch clips — its TikTok-like vertical video feed</t>
  </si>
  <si>
    <t>Netflix thử nghiệm feed video dọc kiểu TikTok để tăng khám phá nội dung</t>
  </si>
  <si>
    <t>Netflix đang thử nghiệm feed video dọc gồm các clip ngắn từ phim và series, cho phép người dùng lướt xem, lưu hoặc phát ngay nội dung đầy đủ. Rollout từ 01/05/2026 (Mỹ, Anh, Úc, Canada, Ấn Độ, Malaysia...)
Tính năng nhắm tới việc giữ chân và tăng thời gian xem, đặc biệt khi Netflix hiện có hơn 260 triệu thuê bao toàn cầu, nhưng phải cạnh tranh mạnh với TikTok và YouTube Shorts.
Netflix cho biết phần lớn lượt xem đến từ hệ thống gợi ý, và feed clip dọc được thiết kế để đẩy nhanh hành trình khám phá nội dung, thay vì tìm kiếm thủ công.</t>
  </si>
  <si>
    <t>https://vnexpress.net/vcci-chua-den-2-ho-kinh-doanh-muon-mo-rong-hoat-dong-5066152.html</t>
  </si>
  <si>
    <t>VCCI: Chưa đến 2% hộ kinh doanh muốn mở rộng hoạt động</t>
  </si>
  <si>
    <t>Chưa đến 2% hộ kinh doanh VN muốn mở rộng</t>
  </si>
  <si>
    <t>Theo VCCI, chưa đến 2% hộ kinh doanh có mong muốn mở rộng quy mô, dù khu vực này chiếm tỷ trọng lớn trong nền kinh tế.
Phần lớn hộ kinh doanh ngại chuyển lên mô hình doanh nghiệp do lo chi phí tuân thủ, thuế, kế toán và rủi ro pháp lý.
Môi trường kinh doanh hiện tại bị đánh giá là chưa đủ khuyến khích “lớn lên”, khiến khu vực kinh tế hộ duy trì ở quy mô nhỏ, phi chính thức.</t>
  </si>
  <si>
    <t>Doanh nghiệp</t>
  </si>
  <si>
    <t>https://techcrunch.com/2026/04/28/youtube-is-testing-an-ai-powered-search-feature-that-shows-guided-answers/</t>
  </si>
  <si>
    <t>YouTube is testing an AI-powered search feature that shows guided answers</t>
  </si>
  <si>
    <t>YouTube thử nghiệm tìm kiếm AI trả lời có hướng dẫn</t>
  </si>
  <si>
    <t>YouTube đang thử nghiệm tính năng tìm kiếm dùng AI "Ask Youtube" tại Mỹ dành cho người dùng premium tại Mỹ trên 18 tuổi, hiển thị các câu trả lời tổng hợp kèm video liên quan thay vì chỉ danh sách kết quả.
Tính năng giúp người dùng nhanh chóng nắm nội dung chính, đặc biệt với các truy vấn học tập như du lịch, mua sắm hoặc hướng dẫn kỹ thuật.
AI search được thiết kế để giữ người dùng trong hệ sinh thái YouTube, giảm nhu cầu tìm kiếm qua Google hay nền tảng khác.</t>
  </si>
  <si>
    <t>https://vneconomy.vn/techconnect/nguoi-thu-nhap-cao-ung-dung-ai-hang-ngay-trong-cong-viec.htm</t>
  </si>
  <si>
    <t>Người thu nhập cao ứng dụng AI hàng ngày trong công việc</t>
  </si>
  <si>
    <t>Nhóm thu nhập cao dẫn đầu xu hướng ứng dụng AI trong công việc</t>
  </si>
  <si>
    <t>Hơn 60% lao động có thu nhập cao cho biết họ sử dụng AI hàng ngày trong công việc, trong khi con số này ở nhóm thu nhập thấp chỉ là 16%. Khảo sát 4.000 lao động tại Mỹ và Anh cho thấy những người có trình độ và kỹ năng tốt tận dụng AI vượt trội trong phân tích, viết, lập kế hoạch và ra quyết định.
AI được xem là công cụ tăng năng suất và chất lượng lao động, giúp tiết kiệm thời gian và tạo lợi thế cạnh tranh cá nhân.
Nhóm này có xu hướng chủ động thử nghiệm công nghệ mới, coi AI là kỹ năng thiết yếu chứ không chỉ là công cụ hỗ trợ.</t>
  </si>
  <si>
    <t>Marketing_Promotion | User activation</t>
  </si>
  <si>
    <t>https://vneconomy.vn/techconnect/con-sot-anthropic-dinh-gia-cham-moc-nghin-ty-usd-tren-thi-truong-thu-cap-vuot-openai.htm</t>
  </si>
  <si>
    <t>Cơn sốt Anthropic: Định giá chạm mốc nghìn tỷ USD trên thị trường thứ cấp, vượt OpenAI</t>
  </si>
  <si>
    <t>Anthropic định giá $1 nghìn tỷ trên thị trường thứ cấp – Vượt OpenAI, AI vendor cung cấp cho super-app tăng giá trị</t>
  </si>
  <si>
    <t>Anthropic ghi nhận mức định giá trên thị trường thứ cấp tăng vọt, tiệm cận mốc nghìn tỷ USD, phản ánh nhu cầu mạnh mẽ từ nhà đầu tư đối với các công ty AI nền tảng hàng đầu.
Đà tăng này diễn ra trong bối cảnh Claude được đánh giá cao về lập luận, an toàn và khả năng ứng dụng doanh nghiệp, giúp Anthropic nổi lên như đối trọng trực tiếp với OpenAI.
Việc định giá trên thị trường thứ cấp vượt OpenAI cho thấy nhà đầu tư sẵn sàng trả premium cho mô hình AI tập trung enterprise &amp; safety‑first, dù công ty chưa IPO</t>
  </si>
  <si>
    <t>https://genk.vn/chatgpt-images-20-ra-mat-cong-cu-tao-anh-biet-suy-nghi-truoc-khi-ve-lam-duoc-ban-do-lich-su-manga-hoan-chinh-chi-trong-mot-cau-lenh-165260422142412177.chn</t>
  </si>
  <si>
    <t>ChatGPT Images 2.0 ra mắt – công cụ tạo ảnh biết suy nghĩ trước khi vẽ</t>
  </si>
  <si>
    <t>ChatGPT Images 2.0 ra mắt – Tạo ảnh với khả năng suy luận: manga, bản đồ lịch sử từ 1 câu lệnh</t>
  </si>
  <si>
    <t>ChatGPT Images 2.0 ra mắt công cụ tạo ảnh mới có khả năng “suy nghĩ trước khi vẽ”, cho phép mô hình lập kế hoạch bố cục, nội dung trước khi sinh ảnh.
Công cụ có thể tạo bản đồ lịch sử, sơ đồ phức tạp, manga nhiều khung liền mạch chỉ từ một câu lệnh, cải thiện rõ rệt tính logic và nhất quán hình ảnh.
Đây là bước tiến từ tạo ảnh “đẹp” sang tạo ảnh có cấu trúc, có ý đồ, phục vụ tốt hơn cho học tập, sáng tạo nội dung và thiết kế</t>
  </si>
  <si>
    <t>https://vnexpress.net/deepseek-ra-mo-hinh-v4-5066619.html</t>
  </si>
  <si>
    <t>DeepSeek ra mô hình V4</t>
  </si>
  <si>
    <t>DeepSeek V4 ra mắt: context 1M token, giá thấp hơn 6x GPT-5.5, ra mắt cùng ngày GPT-5.5</t>
  </si>
  <si>
    <t>DeepSeek AI (Trung Quốc) ra mắt DeepSeek-V4 (preview 24/04/2026), bộ mô hình mã nguồn mở đầu tiên xử lý ngữ cảnh 1 triệu token, với 2 phiên bản: V4-Pro (1.6T tham số, giá $1.74/M input token, $3.48/M output) và V4-Flash (284B tham số, nhanh kinh tế)
Hiệu suất: Vượt Claude Sonnet 4.5 toán/coding/agent, tiếp cận Opus 4.6/GPT-5.5; mạnh ngữ cảnh dài, lập trình phức tạp, suy luận agent</t>
  </si>
  <si>
    <t>https://genk.vn/ra-mat-gpt-55-mo-hinh-ai-thong-minh-nhat-cua-openai-canh-tranh-voi-opus-47-165260424104450811.chn</t>
  </si>
  <si>
    <t>Ra mắt GPT-5.5 – Mô hình AI thông minh nhất của OpenAI, cạnh tranh với Opus 4.7</t>
  </si>
  <si>
    <t>GPT-5.5 ra mắt cạnh tranh Claude Opus 4.7</t>
  </si>
  <si>
    <t>OpenAI ra mắt GPT‑5.5, được giới thiệu là mô hình AI thông minh nhất từ trước đến nay, nhắm trực diện vào các đối thủ cao cấp như Claude Opus 4.7.
GPT‑5.5 cải thiện mạnh về lập luận đa bước, hiểu ngữ cảnh dài, xử lý tác vụ phức tạp và đa phương thức, hướng tới khả năng làm việc như “AI agent”.</t>
  </si>
  <si>
    <t>https://techcrunch.com/2026/04/25/anthropic-created-a-test-marketplace-for-agent-on-agent-commerce/</t>
  </si>
  <si>
    <t>Anthropic created a test marketplace for agent-on-agent commerce</t>
  </si>
  <si>
    <t>Anthropic Project Deal: 186 giao dịch agent-to-agent, $4.000 giá trị – Kỷ nguyên AI commerce đang đến</t>
  </si>
  <si>
    <t>Anthropic xây dựng một marketplace thử nghiệm nơi các AI agents có thể mua bán dịch vụ với nhau, đánh dấu bước đi thực tế đầu tiên cho khái niệm agent‑on‑agent commerce.
Marketplace này cho phép AI tự thuê AI khác thực hiện nhiệm vụ, thanh toán bằng token/credit trong môi trường kiểm soát nhằm nghiên cứu hành vi kinh tế của agent.
Mục tiêu chính là kiểm tra cách AI thương lượng, định giá, tuân thủ quy tắc và tránh hành vi thao túng, trước khi mở rộng sang kịch bản thương mại thực tế.</t>
  </si>
  <si>
    <t>https://www.momo.vn/tin-tuc/thong-bao/nhan-tien-tu-nuoc-ngoai-don-gian-bang-momo-voi-8693</t>
  </si>
  <si>
    <t>Nhận tiền từ nước ngoài đơn giản bằng MoMo với Taptap Send</t>
  </si>
  <si>
    <t>MoMo x Taptap Send: Hướng dẫn nhận kiều hối quốc tế qua MoMo – Đối tác Taptap Send</t>
  </si>
  <si>
    <t>MoMo cung cấp hướng dẫn chi tiết nhận tiền từ nước ngoài qua MoMo sử dụng dịch vụ Taptap Send.
* Cách thức: Người gửi tải Taptap Send ở nước ngoài → nhập số điện thoại MoMo người nhận → tiền về trong vài phút
* Chi phí: Miễn phí phía người nhận, hoạt động 24/7
* Điều kiện nhận: Tài khoản MoMo đã xác thực KYC và liên kết ngân hàng
* Phạm vi: Các quốc gia trong mạng lưới Taptap Send</t>
  </si>
  <si>
    <t>Taptap Send; kiều hối; remittance; nhận tiền quốc tế; hướng dẫn; cross-border</t>
  </si>
  <si>
    <t>https://www.momo.vn/tin-tuc/thong-bao/nhan-tien-tu-han-quoc-don-gian-bang-momo-voi-8694</t>
  </si>
  <si>
    <t>Nhận tiền từ Hàn Quốc đơn giản bằng MoMo với GmoneyTrans</t>
  </si>
  <si>
    <t>MoMo x GmoneyTrans: Hướng dẫn nhận kiều hối từ Hàn Quốc qua MoMo – Đối tác GmoneyTrans</t>
  </si>
  <si>
    <t>MoMo cung cấp hướng dẫn nhận tiền từ Hàn Quốc qua MoMo sử dụng GmoneyTrans, phục vụ cộng đồng lao động xuất khẩu Việt Nam tại Hàn.
* Cách thức: Người gửi tại Hàn Quốc dùng GmoneyTrans → nhập SĐT MoMo người nhận → tiền về trong vài phút
* Chi phí: Miễn phí phía người nhận, hoạt động 24/7
* Điều kiện nhận: Tài khoản MoMo đã xác thực KYC và liên kết ngân hàng
* Đối tượng chính: Lao động xuất khẩu Việt Nam tại Hàn Quốc</t>
  </si>
  <si>
    <t>GmoneyTrans; Hàn Quốc; kiều hối; lao động xuất khẩu; remittance; hướng dẫn</t>
  </si>
  <si>
    <t>https://www.momo.vn/tin-tuc/tin-tuc-su-kien/tu-30-4-di-xe-buyt-tphcm-mien-phi-ve-huong-dan-8686</t>
  </si>
  <si>
    <t>Từ 30/4, đi xe buýt TP.HCM miễn phí vé: Hướng dẫn dùng QR MoMo để lên xe nhanh gọn!</t>
  </si>
  <si>
    <t>MoMo × Xe buýt TP.HCM: Thanh toán với QR MoMo</t>
  </si>
  <si>
    <t>Hưởng ứng chính sách miễn phí xe buýt tại TP.HCM trên toàn bộ hệ thống xe buýt khi người dùng quét thẻ hoặc mã QR định danh thí điểm từ dịp lễ 30/4, MoMo hướng dẫn người dùng quét QR trực tiếp trên MoMo để nhận được "lượt đi miễn phí"</t>
  </si>
  <si>
    <t>xe buýt; TP.HCM; QR thanh toán; giao thông công cộng; mobility; cashless; transit</t>
  </si>
  <si>
    <t>https://www.facebook.com/share/p/17YvzqGAGW/?mibextid=wwXIfr</t>
  </si>
  <si>
    <t>Grab Fanpage</t>
  </si>
  <si>
    <t>Happy Friday: Giảm 10% tối đa 300k</t>
  </si>
  <si>
    <t>Grab Đi ăn nhà hàng: Thứ 6 10% tối đa 300k + Thưởng 200 GrabXu</t>
  </si>
  <si>
    <t>Giảm giá 10% tối đa 300k cho Nhà hàng Dine Out + Thưởng thêm 200 GrabXu cho đơn từ 100k</t>
  </si>
  <si>
    <t>Marketing/ Growth</t>
  </si>
  <si>
    <t>https://www.facebook.com/share/p/18PxDQYxmw/?mibextid=wwXIfr</t>
  </si>
  <si>
    <t>Đi ăn nhà hàng - Trọn vẹn đón lễ</t>
  </si>
  <si>
    <t>Grab Đi ăn nhà hàng: Ưu đãi đến 25%</t>
  </si>
  <si>
    <t>Giảm giá đến 25% tổng hóa đơn cho Nhà hàng Dine Out tại Lục Thiện Môn, Sushi Tei, Kohaku Sushi, Giang Mỹ, Kin Kin Thai Food, Kohaku Sashimi &amp; Yakiniku, Baoz, Meat &amp; Meet BBQ, Yen Sushi, Hadilao, Yakimono, Dooki</t>
  </si>
  <si>
    <t>https://www.facebook.com/share/p/1GQw2u4j5M/?mibextid=wwXIfr</t>
  </si>
  <si>
    <t>Đi ăn ngày thứ 3</t>
  </si>
  <si>
    <t>Grab Đi ăn nhà hàng: Đi ăn ngày thứ 3 Giảm 30% max 70k + Thưởng 200 GrabXu</t>
  </si>
  <si>
    <t>Giảm thêm 30% tối đa 70k + Thưởng 200 GrabXu cho đơn từ 100k</t>
  </si>
  <si>
    <t>https://www.facebook.com/share/p/17yW4z3sNW/?mibextid=wwXIfr</t>
  </si>
  <si>
    <t>Countdown chờ lễ: GrabFood khao deal 48k</t>
  </si>
  <si>
    <t>GrabFood: Countdown nghỉ lễ - Giảm giá 48k - 72k - 120k trong ngày</t>
  </si>
  <si>
    <t>Grab triển khai chuỗi 3 ưu đãi countdown chời nghỉ lễ
Countdown 48h - Deal 48k/người cho combo 4 người - Duy nhất ngày 25/4
Countdown 72h - Combo fastfood, trà sữa chỉ còn 72k - Duy nhất ngày 24/4
Countdown 120h - Combo fastfood, trà sữa chỉ còn 120k - Duy nhất ngày 22/4</t>
  </si>
  <si>
    <t>https://www.facebook.com/share/p/14aaJx5VaUh/?mibextid=wwXIfr</t>
  </si>
  <si>
    <t>Grab và Metro hỗ trợ chuyến xe viếng thăm nghĩa trang liệt sĩ HCM</t>
  </si>
  <si>
    <t>GrabBike/GrabCar: Giảm 100k cho lộ trình từ Ga Metro đến Nghĩa trang Liệt sĩ TP.HCM</t>
  </si>
  <si>
    <t>Grab và Metro hợp tác để dành tặng ưu đãi giảm 100k cho các chuyến xe GrabBike/ GrabCar có lộ trình đi từ ga Metro Bến xe Suối Tiên đến Nghĩa trang liệt sĩ TP.HCM hoặc ngược lại
Thời gian áp dụng: 26/04 - 03/05</t>
  </si>
  <si>
    <t>https://vnexpress.net/ung-dung-zalo-chan-chup-man-hinh-anh-dai-dien-5066214.html</t>
  </si>
  <si>
    <t>Ứng dụng Zalo chặn chụp màn hình ảnh đại diện</t>
  </si>
  <si>
    <t>Zalo bổ sung tính năng Chặn quay/ chụp màn hình ảnh đại diện</t>
  </si>
  <si>
    <t>Zalo triển khai tính năng chặn chụp màn hình ảnh đại diện của người dùng, nhằm bảo vệ quyền riêng tư và ngăn chặn việc sử dụng ảnh trái phép. Đây là phản ứng trước làn sóng deepfake và lừa đảo sử dụng ảnh đại diện để mạo danh.</t>
  </si>
  <si>
    <t>https://www.momo.vn/tin-tuc/khuyen-mai/55-chao-don-sale-he-ruc-ro-nhat-2026-8690</t>
  </si>
  <si>
    <t>5.5 - Chào đón sale hè rực rỡ nhất 2026</t>
  </si>
  <si>
    <t>MoMo Du lịch đi lại: Sale 5.5 khi thanh toán vé máy bay/xe khách/tàu hỏa/trải nghiệm và phòng khách sạn</t>
  </si>
  <si>
    <t>MoMo tiếp tục triển khai ưu đãi Ngày đôi 5.5 nhằm thúc đẩy thanh toán dịch vụ Du lịch đi lại trên MoMo Travel.
Thời gian: 5/5/2026
Cách thức: Người dùng nhập mã khi thanh toán dịch vụ
Ưu đãi:
Bay nội địa: 10% tối đa 120k cho bạn mới; 5% tối đa 150k đơn từ 4 triệu cho bạn thân
Bay quốc tế: 10% tối đa 1tr cho bạn mới; 10% tối đa 150k đơn từ 3 triệu cho bạn thân
Vé xe khách: 10% tối đa 250k cho bạn mới; 5% tối đa 250k cho bạn thân
Vé tàu hỏa: 6% tối đa 100k cho bạn mới; 3% tối đa 100k cho bạn thân
Vé trải nghiệm: 50% tối đa 50k cho bạn mới; 10% tối đa 50k cho bạn thân
Phòng khách sạn: 15% tối đa 500k cho bạn mới; 8% tối đa 100k cho bạn thân
Ưu đãi từ hãng bay 5/5: Giảm 120k VNA; đến 8% Viettravel; đến 15% của SUN Phu Quoc Airways
Ưu đãi từ hãng bay 5/5 - 7/5: Vé bay 0đ Vietjet Air</t>
  </si>
  <si>
    <t>5.5; sale hè; siêu sale; teaser; ecosystem; tháng 5; May sale</t>
  </si>
  <si>
    <t>https://km.zalopay.vn/TSui/VALORANTZLP</t>
  </si>
  <si>
    <t>Thẳng tiến đến chung kết VCT Pacific</t>
  </si>
  <si>
    <t>Zalopay x Valorant: Ưu đãi giảm đến 50% đặt vé Máy bay/ Vé xe khách/ Vé tàu hỏa trên Zalopay</t>
  </si>
  <si>
    <t>Ưu đãi thúc đẩy thanh toán Đi lại trên Zalopay dành cho fan Valorant tận dụng sự kiện chung kết VCT PACIFIC Stage 01
Thời gian: 17/04 - 17/05
Phạm vi: Đặt vé đến TP.HCM
Giảm giá đến 50k khi đặt vé máy bay/ vé xe khách/vé tàu hỏa trên Zalopau</t>
  </si>
  <si>
    <t>Mừng lễ lớn - Quét QR Ngân hàng</t>
  </si>
  <si>
    <t>Zalopay QR thanh toán: Nhận 304 xu khi thanh toán nhân dịp lễ 30/4</t>
  </si>
  <si>
    <t>Quét QR nhập YEUNUOC trên ZaloPay
- Lần đầu giao dịch: nhận 30k xu thưởng
- Đã từng giao dịch: nhận 304 xu thưởng</t>
  </si>
  <si>
    <t>http://km.zalopay.vn/TSui/napdtiphone</t>
  </si>
  <si>
    <t>Cơ hộ trúng iPjone 17 Pro Max khi nạp điện thoại</t>
  </si>
  <si>
    <t>Gamification nạp điện thoại: Cơ hội trúng iPhone 17 Pro Max</t>
  </si>
  <si>
    <t>Cách thức: 
Nạp điện thoại trên Zalopay không giới hạn số lần hay mệnh giá nạp
Mỗi mã giao dịch tương đương một cơ hội trúng thưởng iPhone 17 ProMax
Càng nhiều mã cơ hội trúng càng cao</t>
  </si>
  <si>
    <t>Data Mobiphone trở lại trên Zalopay</t>
  </si>
  <si>
    <t>Nạp 4G/5G Mobifone: Ưu đãi 1-2-10k khi mua data Mobifone trên Zalopay</t>
  </si>
  <si>
    <t>Giảm 1.000đ đơn từ 2.000đ
Giảm 2.000đ đơn từ 10.000đ
Giảm 5.000đ đơn từ 20.000d</t>
  </si>
  <si>
    <t>Zalopay x Mua sắm</t>
  </si>
  <si>
    <t>Zalopay x Mua sắm: Ưu đãi khách hàng mới thanh toán bằng Zalopay</t>
  </si>
  <si>
    <t>Ưu đãi: Giảm 10% tối đa 7k
Đối tượng: Khách hàng mới chưa từng thanh toán dịch vụ Mua sắm qua Zalopay
Phạm vi: 
Siêu thị: Go! Việt Nam, Aeon Mall, Diamond Plaza
Fahasa, Long Châu, Pharmacity, Trung Sơn
Cửa hàng thời trang: PNL; Biti;s, Hoàng Phúc, BonBon
Cửa hàng mẹ và bé: Con cưng, Kids Plaza, My Kingdom</t>
  </si>
  <si>
    <t>Zalopay x Saigon Co.op</t>
  </si>
  <si>
    <t>Tài khoản trả sau x OA Saigon Co.op: Ưu đãi giảm giá khi mua hành tại kênh Zalo OA</t>
  </si>
  <si>
    <t>Ưu đãi: Giảm 35k cho đơn 359k khi thanh toán Tài khoản trả sau
Điều kiện: Mua hàng tại kênh Zalo OA Saigon Co.op
Giới hạn: 1 lần/tháng</t>
  </si>
  <si>
    <t>Zalopay x AEON: Ưu đãi đến 100k</t>
  </si>
  <si>
    <t>Zalopay x AEON: Ưu đãi đến 100k khi thanh toán tại AEON bằng ZaloPay</t>
  </si>
  <si>
    <t>Khuyễn mãi hàng tháng:
Giảm 25k đơn từ 990k
Giảm 50k đơn từ 1tr990k
Giảm 100k đơn từ 3tr990k
Khuyến mãi cho KH Tài khoản trả sau
Giảm 30k đơn từ 500k
Giới hạn: Tối đa 1 lần/tháng</t>
  </si>
  <si>
    <t>Zalopay x Siêu thị</t>
  </si>
  <si>
    <t>QR Thanh toán x Siêu thị: Ưu đãi khi thanh toán bằng QR Thanh toán</t>
  </si>
  <si>
    <t>Ưu đãi: Giảm 10k cho đơn từ 600k tại hệ thống siêu thị chấp nhập thanh toán bằng Zalopay
Giới hạn: 1 lần/tháng</t>
  </si>
  <si>
    <t>Zalopay x Ăn uống</t>
  </si>
  <si>
    <t>Tài khoản trả sau x Cửa hàng ăn uống: Ưu đãi khi thanh toán</t>
  </si>
  <si>
    <t>Ưu đãi: 
Giảm 20k đơn từ 99k khi dùng Tài khoản trả sau tại các thương hiệu ăn uống (online/ tại cửa hàng) có chấp nhận thanh toán Zalopay
Giảm 10k đơn từ 59k tại Tocotoco khi mua trực tiếp
Giảm 35k đơn từ 350k tại The Pizza Company khi mua online và offline
Giảm 30k đơn từ 129k tại KFC khi mua trực tiếp hoặc online trên Zalopay
Giảm 10k đơn từ 59k tại Phúc Long khi mua trực tiếp hoặc online qua Zalopay (hoặc ZaloOA của Phúc Long)
Giới hạn: 1 lần/tháng</t>
  </si>
  <si>
    <t>Zalpay x Điện máy xanh</t>
  </si>
  <si>
    <t>Tài khoản trả sau x Điện máy xanh: Ưu đãi khi thanh toán tại cửa hàng</t>
  </si>
  <si>
    <t>Ưu đãi: Giảm 200k đơn từ 6 triệu khi dùng Tài khoản trả sau
Điều kiện: Mua hàng tại hệ thống Điện Máy Xanh
Giới hạn: 1 lần/1 tháng</t>
  </si>
  <si>
    <t>Zalopay x Long Châu</t>
  </si>
  <si>
    <t>Zalopay x Nhà thuốc Long châu: Ưu đãi khi thanh toán online</t>
  </si>
  <si>
    <t>Giảm 10k đơn từ 179k
Giảm 20k đơn từ 399k
Giảm 30k đơn từ 699k
Giảm 50k đơn từ 1tr700k
Giảm 75k đơn từ 2tr900k
Điều kiện: Áp dụng khi thanh toán online qua website/app Long Châu
Giới hạn: Mỗi tài khoản 1 lần</t>
  </si>
  <si>
    <t>Zalopay x Haidilao</t>
  </si>
  <si>
    <t>Zalopay x Haidilao: Ưu đãi khi thanh toán tại nhà hàng</t>
  </si>
  <si>
    <t>Giảm 30k đơn từ 500k khi thanh toán tại nhà hàng Haidilao
Điều kiện: Thanh toán qua Zalopay QR</t>
  </si>
  <si>
    <t>Nhập KHOAIZLP, Bay Trung Quốc Siêu rẻ</t>
  </si>
  <si>
    <t>QR thanh toán quốc tế x Khoa lang thang: Ưu đãi bay Trung Quốc; thanh toán QR, sử dụng dịch vụ làm VISA Trung Quốc qua Zalopay</t>
  </si>
  <si>
    <t>Zalopay hợp tác KOL Khoai Lang Thang trong chiến dịch quảng báo và thu hút người dùng - đặc biệt nhóm khách hàng trẻ sử dụng Zalopay để thanh toán QR quốc tế cùng các mã giảm giá
Giảm 50% tối đa 100k khi đặt vé Máy bay đi Trung Quốc dưới 15 triệu
Giảm 2% tối đa 500k cho đơn từ 15 triệu
Giảm 5% tối đa 1tr khi sử dụng dịch vụ làm VISA Trung quốc trên Zalopay
Giảm 50% tối đa 50k khi quét QR tại Trung Quốc cho người dùng có &lt;2 lần giao dịch thanh toán quốc tế
Thưởng 50k/ lượt chia sẻ thanh toán quốc tế - tối đa 10 triệu/tháng</t>
  </si>
  <si>
    <t>https://onelink.zalopay.vn/zalopay-metrohcm-FB-post</t>
  </si>
  <si>
    <t>Vi vu Metro cùng Zalopay, quay là có quà</t>
  </si>
  <si>
    <t xml:space="preserve">Gamification Zalopay x HCMC Metro: Tham nhiệm vụ và cơ hội quay thưởng 100% trúng quà </t>
  </si>
  <si>
    <t>HCMC Metro phối hợp cùng Zalopay triển khai chương trình gamification nhằm tăng tương tác người dùng trên ứng dụng Zalopay cũng như hành vi thanh toán vé Metro trên ứng dụng
Thời gian diễn ra: 15/04 - 13/06
Cơ chế: 100% trúng quà
Nhiệm vụ: Thanh toán vé Metro, Thanh toán vé Metro bằng Tài khoản trả sau, Điểm danh hàng ngày, Thanh toán vé xe búy HCM, Chơi game trong miniapp Trò chơi, Tham quan trang du lịch
Phần thưởng:
Giải đặc biệt: 3 voucher vé máy bay trị giá 5tr
1000 phần quà hiện vật: Ly thủy tinh Zalopay, Dù gấp; Kem chống nắng, Túi tote Zalopay, Nón kết
Voucher giảm đếm 100k cho nhiều SPDV</t>
  </si>
  <si>
    <t>https://onelink.zalopay.vn/3614243751464987</t>
  </si>
  <si>
    <t>Zalopay mừng kỉ niệm 50 năm FAHASA</t>
  </si>
  <si>
    <t>Zalopay x FAHASA: Ưu đãi 15k-25k-50k thanh toán bằng ZaloPay trên website/ app</t>
  </si>
  <si>
    <t>Partnership Campaign thúc đẩy hành vi thanh toán bằng ZaloPay - ví trả sau trên web/ app Fahasa - nhân dịp Fahasa kỉ niệm 50 năm
Giảm 25k đơn từ 150k thanh toán bằng Tài khoản trả sau
Giảm 15k đơn bất kì
Giảm 50k đơn từ 300k
Điều kiện: 1 lần/ tháng</t>
  </si>
  <si>
    <t>https://www.momo.vn/tin-tuc/khuyen-mai/hoan-toi-100000d-khi-qua-tram-etc-dung-momo-thanh-8683</t>
  </si>
  <si>
    <t>Hoàn tới 100.000đ khi qua trạm ETC, dùng MoMo thanh toán ePass</t>
  </si>
  <si>
    <t>MoMo × ePass: Hoàn 100k khi thanh toán qua trạm ETC</t>
  </si>
  <si>
    <t>MoMo triển khai ưu đãi cashback thu mới người dùng mới liên kết và thanh toán ETC mới qua MoMo.
Thời gian: 24/04 – 04/05/2026
Đối tượng: Người dùng lần đầu liên kết ePass với MoMo
Ưu đãi:
Giảm tới 3 triệu khi mua Bảo hiểm Thân vỏ Ô tô ngay + Hoàn 120k khi mua Bảo hiểm Trách nhiệm dân sự Ô tô khi liên kết xong
Hoàn thêm tới 100k cho người dùng liên kết và qua trạm sớm nhất
Hạn sử dụng ưu đãi: 3 ngày kể từ khi nhận
Giới hạn: Mỗi tài khoản được hưởng ưu đãi 1 lần duy nhất</t>
  </si>
  <si>
    <t>ePass; ETC; cashback; hoàn tiền; 100K; user activation; phí không dừng</t>
  </si>
  <si>
    <t>https://www.momo.vn/tin-tuc/tin-tuc-su-kien/mung-cot-moc-4-trieu-tai-khoan-mua-vietlott-nhan-8684</t>
  </si>
  <si>
    <t>Mừng cột mốc 4 triệu tài khoản: Mua Vietlott, nhận quà mỗi ngày</t>
  </si>
  <si>
    <t>MoMo x Vietlott: Nhận quà 40k khi mở tài khoản VietlottSMS</t>
  </si>
  <si>
    <t>MoMo kết hợp với Vietlott triển khai chương trình "4 Triệu người - Triệu niềm vui" nhằm kỷ niệm cột mốc 4 triệu tài khoản Vietlott SMS
Thời gian: 23/04 – 29/04
Cách thức: Mở tài khoản Vietlott SMS trên MoMo
Ưu đãi: Mã quà tặng 40.000 khi mua vé Vietlott
Đối tượng: 40 khách hàng mở thành công tài khoản và có phát sinh giao dịch sớm nhất trong ngày trên MoMo
Giới hạn: 1 mã quà tặng/ 1 khách hàng
Bên cạnh đó, MoMo cũng đã có những cập nhật tính năng mới trên Vietlott SMS bao gồm: Sản phẩm xổ số trong hôm nay, Tra cứu kết quả và tặng vé số, Tống kê xổ số, Đoán số vui theo tử vi, Trung tâm vé số</t>
  </si>
  <si>
    <t>Vietlott SMS; 4 triệu tài khoản; milestone; quà mỗi ngày; daily streak; Ticket vertical</t>
  </si>
  <si>
    <t>https://www.facebook.com/share/p/18m91UGuDV/?mibextid=wwXIfr</t>
  </si>
  <si>
    <t>Grab tung deal ngày đôi 5.5</t>
  </si>
  <si>
    <t>GrabFood: Ngày đôi 5.5 - Ưu đãi 50%, Mua 1 tặng 1, Mua 2 tặng 1 20+ thương hiệu</t>
  </si>
  <si>
    <t>20+ thương hiệu với ưu đãi trực tiếp đến 50% + voucher giảm thêm đến 50k
Starbucks: Mua 1 tặng 1 Dolce Espresso
Katinat: Mua 2 tặng 1
Phê la: Tặng món size Phê khi mua 2 size La
Highlands Coffee: Mua 1 tặng 1
The Pizza Company: Mua 1 tặng 1 pizza
McDonald's: Mua 1 tặng 1 chỉ 149k
Phúc Long: Combe 2 ly Best Sellers chỉ 79k
Mì Cay Sasin: Combo Mì kim chi + 1 lon Cocacola giảm đến 40%
Cà phê Muối Chú Long: Combo Cà phê giảm 50% + Cà phê muối Size L đồng giá 5k
Bún bò Huế An Cựu: Tô thường không móng giảm đến 50%
Bún đậu Homemade: Combo bún đậu + trà chanh giảm đến 50%
Popeyes: Gà giòn Signature giảm đến 35%
Cơm thố Bách Khoa: Giảm 40% cơm thố gà
Bún chả HN 1982: Giảm 50%
Tocotoc: Best seller giảm 50%
Jolibee: 2 gà giòn + 2 mỳ ý vừa + 1 khoa tây chiên vừa + 2 nước ngọt vừa giảm 180k xuống 145k
KFC: 2 gà + 1 burger tôm + 1 pepsi 136k còn 99k
Trà sữa Đô Đô: Mua 2 tặng 1 chỉ 85k + Giảm thêm 30k đơn từ 60k
Cơm thố An Nguyễn: Giảm 30% cho cơm xá xíu + Giảm thêm 40k đơn từ 80k
Trà sữa Winggo: Đồng giá 29k trà sữa nướng, trân châu đường đen + Giảm thêm 25k đơn từ 50k
Mokchang: Giảm 50% kimbap truyền thống, cơm trộn + Giảm thêm 45k đơn 100k</t>
  </si>
  <si>
    <t>https://www.momo.vn/tin-tuc/tin-tuc-su-kien/don-dai-le-mo-tai-khoan-vietlott-sms-nhan-qua-8691</t>
  </si>
  <si>
    <t>Đón đại lễ: Mở tài khoản Vietlott SMS, nhận quà 50.000đ</t>
  </si>
  <si>
    <t>MoMo x Vietlott: Nhận quà 50k khi mở tài khoản VietlottSMS</t>
  </si>
  <si>
    <t>MoMo triển khai ưu đãi thu hút người dùng mới đăng ký Vietlott SMS nhân dịp Đại Lễ 30/4.
Thời gian: 28/04 – 10/05
Cách thức: Mở mới tài khoản Vietlott SMS trên MoMo
Ưu đãi: Mã quà tặng 50.000 khi mua vé Vietlott
Hạn sử dụng mã quà: 7 ngày kể từ khi nhận
Đối tượng: 20 khách hàng mở thành công tài khoản và có phát sinh giao dịch sớm nhất trong ngày trên MoMo
Giới hạn: 1 mã quà tặng/ 1 khách hàng</t>
  </si>
  <si>
    <t>Vietlott SMS; Đại Lễ 30/4; user acquisition; mở tài khoản; 50K; lottery; Ticket vertical</t>
  </si>
  <si>
    <t>Chơi lễ tiệc linh đình - Lên xe đi cho khỏe</t>
  </si>
  <si>
    <t>Zalopay x Grab/GSM: Ưu đãi thanh toán bằng Zalopay</t>
  </si>
  <si>
    <t>Nhập mã ZLPDAILE giảm 30% tối đa 40k cho mọi chuyến xe khi thanh toán bằng Zalopay trên Grab, GreenSM</t>
  </si>
  <si>
    <t>https://www.momo.vn/tin-tuc/khuyen-mai/gui-tien-tu-nuoc-ngoai-qua-taptap-send-nhan-them-8692</t>
  </si>
  <si>
    <t>Gửi tiền từ nước ngoài qua Taptap Send: Nhận thêm quà lên đến 900K!</t>
  </si>
  <si>
    <t>MoMo × Taptap Send: Gửi kiều hối từ nước ngoài nhận quà đến 900k</t>
  </si>
  <si>
    <t>MoMo hợp tác Taptap Send triển khai ưu đãi thúc đẩy người gửi kiều hối từ nước ngoài về Việt Nam qua MoMo.
Thời gian: 06/05 - 31/05
Đối tượng: Người gửi ở nước ngoài chuyển tiền lần đầu qua website/ứng dụng Taptap Send về Ví MoMo
Ưu đãi: Người gửi nhận quà trị giá đến 900.000đ; cộng trực tiếp vào số tiền gửi
Phạm vi: Các quốc gia trong mạng lưới Taptap Send (Mỹ, Anh, Canada, Úc, châu Âu...)</t>
  </si>
  <si>
    <t>Taptap Send; kiều hối; remittance; 900K; overseas; user acquisition; cross-border</t>
  </si>
  <si>
    <t>https://www.momo.vn/tin-tuc/khuyen-mai/tap-hoa-tuoi-tho-tim-lai-ky-uc-xua-rinh-qua-may-8681</t>
  </si>
  <si>
    <t>Tạp Hóa Tuổi Thơ: Tìm lại ký ức xưa, rinh quà may mắn với tổng thưởng đến 1 tỷ đồng!</t>
  </si>
  <si>
    <t>Gamification: Tạp Hoá Tuổi Thơ – Tham gia nhiệm vụ và nhận quà với tổng thưởng đến 1 tỷ đồng</t>
  </si>
  <si>
    <t>MoMo triển khai chương trình "Tạp Hóa Tuổi Thơ: Tìm lại ký ức xưa, rinh quà may mắn" khai thác cảm xúc ký ức để tăng engagement, đẩy mạnh tương tác với SPDV của MoMo.
Thời gian: 22/04 – 31/05/2026
Tổng thưởng: 1 tỷ đồng
Nhiệm vụ: Mời bạn bè dùng MoMo, Liên kết ngân hàng với MoMo, Tạo tài khoản ngân hàng trên MoMo, Nạp tiền vào Túi Thần Tài, Chuyển 111đ tới tài khoản MoMo khác, Chuyển tiền tới ngân hàng, Thanh toán dịch vụ, Kiểm tra CIC...
Phần thưởng cho mỗi lần đánh giá uy tín: Bao lì xì tiền mặt 99đ - 50k, Thẻ quà tặng giảm giá 2k-3k-5k khi thanh toán nhiều SPDV
Cách thức tham gia: Hoàn thành nhiệm vụ → nhận điểm uy tín → dùng như 1 lượt lắc nhận quà</t>
  </si>
  <si>
    <t>Tạp Hóa Tuổi Thơ; gamification; 1 tỷ; nhiệm vụ; lắc quà; CIC; Túi Thần Tài</t>
  </si>
  <si>
    <t>https://www.momo.vn/tin-tuc/khuyen-mai/san-sap-sai-gon-rinh-loat-qua-momo-dip-dai-le-tai-8679</t>
  </si>
  <si>
    <t>Săn Sập Sài Gòn: Rinh loạt quà MoMo dịp đại lễ tại cực dễ!</t>
  </si>
  <si>
    <t>Gamification MoMo Movies: Chơi “Săn Sập Sài Gòn” vừa xem phim hay vừa rinh pin cài, túi tote, Mô Ngọ</t>
  </si>
  <si>
    <t>MoMo triển khai chiến dịch riêng nhằm thúc đẩy tương tác và giao dịch trên MoMo Movies thông qua Gamifications "Săn sập Sài Gòn"
Thời gian diễn ra: 24/04 - 05/05
Cách thức tham gia: Làm nhiệm vụ và tích lũy tem theo từng chặng, tích đủ tem để nhận quà
Nhiệm vụ: Mua vé xem phim, Review phim, Sử dụng Ví trả sau thanh toán vé xem phim/ bắp nước, Tham gia Cộng đồng Ghiền Xem Phim, Theo dõi trang MoMo Movies
Phần thưởng: pin cài, túi tote, lịch để bàn, mô hình Mô Ngọ</t>
  </si>
  <si>
    <t>Đại lễ 30/4; Sài Gòn; campaign tổng hợp; merchant; ưu đãi; 1/5</t>
  </si>
  <si>
    <t>https://www.momo.vn/tin-tuc/khuyen-mai/dat-ve-may-bay-tau-xe-khach-san-tren-momo-travel-8688</t>
  </si>
  <si>
    <t>Đặt vé máy bay/tàu/xe/khách sạn trên MoMo Travel - Nhận ưu đãi Green SM giảm đến 50.000Đ</t>
  </si>
  <si>
    <t>MoMo Du lịch đi lại × Green SM: Đặt dịch vụ du lịch nhận giảm 20% max 50k đi xe Green SM</t>
  </si>
  <si>
    <t>MoMo Travel hợp tác với Green SM cung cấp ưu đãi cross-service: Đặt vé máy bay/tàu/xe/khách sạn được kèm voucher giảm 50.000đ đi xe Green SM.
Thời gian: từ ngày 24/04
Ưu đãi: Voucher giảm 20% tối đa 50.000đ cho chuyến đi Green SM bằng xe máy/ xe hơi
Áp dụng: Người dùng đặt bất kỳ dịch vụ nào trên MoMo Travel trong thời gian chương trình
Giới hạn: Tối đa 1 lần/1 khách hàng</t>
  </si>
  <si>
    <t>MoMo Travel; Green SM; xe điện; VinGroup; travel bundle; vé máy bay; khách sạn</t>
  </si>
  <si>
    <t>https://www.facebook.com/share/p/1ENdrdicSp/?mibextid=wwXIfr</t>
  </si>
  <si>
    <t>Mở tiệc đón lễ - GrabFood tặng 304 GrabXu</t>
  </si>
  <si>
    <t>GrabFood: Thưởng 304 GrabXu cho 3004 đơn hàng đầu tiên mỗi ngày</t>
  </si>
  <si>
    <t>- Thời gian: 27/04 - 01/05
- Ưu đãi: Thưởng 304 GrabXu cho 30004 người dùng đầu tiên đặt đơn hàng GrabFood bất kỳ giá trị nào</t>
  </si>
  <si>
    <t>https://www.facebook.com/share/p/17nwMHMf6b/?mibextid=wwXIfr</t>
  </si>
  <si>
    <t>du hí 34 tỉnh thành - Món ngon tỉnh nào Grab cũng mời</t>
  </si>
  <si>
    <t>GrabFood: Giảm 34% tối đa 34k tại 34 tỉnh thành</t>
  </si>
  <si>
    <t>Nhập đã khi du lịch tại tỉnh thành để giảm 34% tối đa 34k cho tất cả các tỉnh thành</t>
  </si>
  <si>
    <t>https://www.facebook.com/share/p/18dhQGoDTA/?mibextid=wwXIfr</t>
  </si>
  <si>
    <t>Lễ lớn rộn ràng - GrabXu Flash Sales</t>
  </si>
  <si>
    <t>GrabXu Flashsale: Giảm sâu đến 89% cho mọi ưu đãi dịch vụ Grab được đổi trên GrabXu</t>
  </si>
  <si>
    <t>Grab tung Flash Sales mừng đại lễ cho phép người dùng đổi dịch vụ Grab bằng GrabXu với ưu đãi
- Đổi voucher giảm 10k GrabBike/GrabFood = 100 xu (thay vì 303 xu)
- Đổi voucher giảm 30k Grab Car Premium = 100 xu (thay vì 909 xu)
- Đổi voucher giảm GrabBike/ GrabCar/GrabFood với ưu đãi giảm 10% xu
- Đổi voucher giảm GrabBike/ GrabCar/GrabFood với ưu đãi giảm 15% xu
- Đổi voucher giảm đến 300k cho các thương hiệu = 100 xu: A Mà, KFC, Ông Bầu, Vexere, Ngọc Dung, BepBo, Somtam</t>
  </si>
  <si>
    <t>Grab Car Thú cưng - Thưởng 30% GrabXu</t>
  </si>
  <si>
    <t>GrabCar Thú cưng: Thưởng 30% GrabXu</t>
  </si>
  <si>
    <t>Ưu đãi: Thưởng 30% tối đa 1500 GrabXu cho chuyến GrabCar Thú cưng đầu tiên
Giới hạn: 2 lần/ người dùng</t>
  </si>
  <si>
    <t>Grab Car Thú cưng - Giảm 80k</t>
  </si>
  <si>
    <t xml:space="preserve">GrabCar Thú cưng: Giảm 80k cho chuyến GrabCar thú cưng đầu tiên ---- đến 31/7									</t>
  </si>
  <si>
    <t>Giảm 80k cho chuyến GrabCar Thú cưng đầu tiên
Giới hạn: Tối đa 1 lần/ 1 người dùng</t>
  </si>
  <si>
    <t>https:// km.zalopay.vn/TSui/ZLPVTVGO</t>
  </si>
  <si>
    <t>Chính thức thanh toán VTVGo bằng Zalopay</t>
  </si>
  <si>
    <t>Ultity</t>
  </si>
  <si>
    <t>Zalopay x VTVGo: Thanh toán gói cước VTVgo Plus bằng Zalopay</t>
  </si>
  <si>
    <t>Zalopay chính thức trở thành đối tác thanh toán cho hệ thống VTVGp; cho phép người dùng thanh toán gói cước VTVgo Plus bằng Zalopay
Ưu đãi cho người dùng lần đầu thanh toán: Giảm 50% tối đa 5.000đ</t>
  </si>
  <si>
    <t>https://techcrunch.com/2026/04/30/googles-gemini-ai-assistant-is-hitting-the-road-in-millions-of-vehicles/</t>
  </si>
  <si>
    <t>Google's Gemini AI assistant is hitting the road in millions of vehicles</t>
  </si>
  <si>
    <t>Google đưa Gemini trở thành trợ lý AI mặc định trên xe hơi</t>
  </si>
  <si>
    <t>Google đang triển khai trợ lý AI Gemini lên hàng triệu xe hơi, tích hợp trực tiếp vào hệ thống infotainment dùng Android Automotive.
Gemini có thể hiểu ngữ cảnh, hội thoại tự nhiên và hỗ trợ lái xe bằng giọng nói, từ điều hướng, nhắn tin đến tìm địa điểm và thông tin trên đường.
Việc triển khai diễn ra thông qua hợp tác với các hãng xe, đưa AI từ điện thoại và desktop sang không gian di chuyển hàng ngày.</t>
  </si>
  <si>
    <t>https://genk.vn/anthropic-thua-nhan-claude-that-su-ngoc-hon-suot-47-ngay-3-loi-ky-thuat-chong-cheo-ma-chinh-doi-ngu-cung-khong-tai-hien-duoc-165260424144242268.chn</t>
  </si>
  <si>
    <t>Anthropic thừa nhận Claude thật sự ngốc hơn suốt 47 ngày – 3 lỗi kỹ thuật chồng chéo</t>
  </si>
  <si>
    <t>Anthropic thừa nhận Claude giảm hiệu suất 47 ngày vì 3 lỗi kỹ thuật chồng chéo</t>
  </si>
  <si>
    <t>Anthropic chính thức thừa nhận Claude thực sự kém hơn trong 47 ngày do 3 lỗi kỹ thuật chồng chéo mà chính đội ngũ kỹ thuật không tái hiện được trong thời gian dài. Đây là xác nhận cho phân tích AMD (W17-ID 235) từ phía Anthropic. Claude Opus 4.7 được ra mắt một phần để giải quyết vấn đề này.</t>
  </si>
  <si>
    <t>https://genk.vn/ket-thuc-mot-thoi-dai-ong-tim-cook-tu-chuc-ceo-apple-sau-15-nam-nguoi-ke-nhiem-la-ong-john-ternus-165260421064443106.chn</t>
  </si>
  <si>
    <t>Kết thúc một thời đại: Tim Cook từ chức CEO Apple sau 15 năm, người kế nhiệm là John Ternus</t>
  </si>
  <si>
    <t>Tim Cook từ chức CEO Apple vào 1/9/2026 – John Ternus kế nhiệm, Cook chuyển sang Executive Chairman</t>
  </si>
  <si>
    <t>Apple thông báo Tim Cook rời vị trí CEO vào 1/9/2026, sau gần 15 năm kể từ khi tiếp quản từ Steve Jobs. John Ternus (Phó chủ tịch cấp cao phụ trách kỹ thuật phần cứng) là người kế nhiệm. Cook chuyển sang vai trò Executive Chairman, tiếp tục tham gia một số hoạt động quan trọng. Đây là thay đổi lãnh đạo lớn nhất tại Apple kể từ 2011.</t>
  </si>
  <si>
    <t>https://dantri.com.vn/cong-nghe/openai-dang-am-tham-phat-trien-dien-thoai-chatgpt-dung-ai-thay-ung-dung-20260428094518469.htm</t>
  </si>
  <si>
    <t>OpenAI đang âm thầm phát triển điện thoại ChatGPT, dùng AI thay ứng dụng</t>
  </si>
  <si>
    <t>OpenAI được cho là đang phát triển điện thoại AI xoay quanh ChatGPT</t>
  </si>
  <si>
    <t>OpenAI được cho là đang phát triển một thiết bị di động tích hợp sâu ChatGPT, hướng tới trải nghiệm AI làm trung tâm thay vì dựa trên hệ sinh thái ứng dụng truyền thống.
Thiết bị này có thể đặt AI làm giao diện chính, cho phép người dùng tương tác thông qua hội thoại, tác vụ thông minh và agent AI thay cho việc mở app.
Động thái diễn ra trong bối cảnh OpenAI và các đối tác mở rộng ChatGPT thành nền tảng hành động (agentic platform), không chỉ là chatbot.</t>
  </si>
  <si>
    <t>https://vnexpress.net/apple-ra-ban-cap-nhat-iphone-chan-fbi-trich-xuat-du-lieu-5066043.html</t>
  </si>
  <si>
    <t>Apple ra bản cập nhật iPhone chặn FBI trích xuất dữ liệu</t>
  </si>
  <si>
    <t>Apple cập nhật iPhone chặn FBI trích xuất dữ liệu – Tín hiệu về quyền riêng tư dữ liệu trên thiết bị</t>
  </si>
  <si>
    <t>Apple phát hành bản cập nhật iOS chặn khả năng trích xuất dữ liệu của FBI, tăng cường mã hóa thiết bị. Đây là tín hiệu về xu hướng privacy-first trên thiết bị di động.</t>
  </si>
  <si>
    <t>https://techcrunch.com/2026/04/29/google-gains-25m-subscriptions-in-q1-driven-by-youtube-and-google-one/</t>
  </si>
  <si>
    <t>Google gains 25M subscriptions in Q1 driven by YouTube and Google One</t>
  </si>
  <si>
    <t>Google thêm 25 triệu subscription Q1/2026 – YouTube và Google One là động lực tăng trưởng</t>
  </si>
  <si>
    <t>Google đạt 25 triệu subscription mới trong Q1/2026, chủ yếu từ YouTube Premium và Google One. Xác nhận subscription economy đang tăng trưởng bất chấp cạnh tranh AI.</t>
  </si>
  <si>
    <t>https://techcrunch.com/2026/04/27/consumers-lost-2-1-billion-to-social-media-scams-in-2025-ftc-reports/</t>
  </si>
  <si>
    <t>Consumers lost $2.1 billion to social media scams in 2025, FTC reports</t>
  </si>
  <si>
    <t>Người tiêu dùng Mỹ mất $2.1 tỷ vì lừa đảo mạng xã hội 2025 – FTC báo cáo</t>
  </si>
  <si>
    <t>FTC báo cáo người tiêu dùng Mỹ mất $2.1 tỷ USD vì lừa đảo qua mạng xã hội năm 2025, tăng 25% so với 2024. Đây là tín hiệu về quy mô và tốc độ tăng của lừa đảo số trên nền tảng social media.</t>
  </si>
  <si>
    <t>https://genk.vn/bao-hiem-so-khoi-dau-ky-nguyen-vai-lan-cham-165260427214352192.chn</t>
  </si>
  <si>
    <t>Bảo hiểm số: Khởi đầu kỷ nguyên vài lần chạm</t>
  </si>
  <si>
    <t>Bảo hiểm số VN khởi đầu kỷ nguyên mua vài lần chạm – Vertical mới trong hệ sinh thái e-wallet</t>
  </si>
  <si>
    <t>Phân tích về sự phát triển của bảo hiểm số tại VN, hướng đến mô hình mua bảo hiểm chỉ với vài lần chạm trên di động. Đây là tín hiệu về vertical bảo hiểm số đang hình thành trong hệ sinh thái e-wallet và super-app VN.</t>
  </si>
  <si>
    <t>https://vnexpress.net/uu-dai-toi-1-trieu-dong-khi-dat-ve-may-bay-dip-le-5067015.html</t>
  </si>
  <si>
    <t>Ưu đãi tới 1 triệu đồng khi đặt vé máy bay dịp lễ</t>
  </si>
  <si>
    <t>Ưu đãi đặt vé máy bay dịp lễ qua ứng dụng – Cạnh tranh thu hút user cho vertical travel</t>
  </si>
  <si>
    <t>Nhiều nền tảng triển khai ưu đãi đặt vé máy bay dịp lễ với giá trị lên đến 1 triệu đồng. Phản ánh cạnh tranh về user acquisition trong vertical travel, đặc biệt trong mùa cao điểm.</t>
  </si>
  <si>
    <t>https://vneconomy.vn/techconnect/esports-viet-nam-tu-thi-truong-tiem-nang-den-he-sinh-thai-hoi-nhap-toan-cau.htm</t>
  </si>
  <si>
    <t>Esports Việt Nam: Từ thị trường tiềm năng đến hệ sinh thái hội nhập toàn cầu</t>
  </si>
  <si>
    <t>Esports VN đang hội nhập toàn cầu – Tín hiệu về hệ sinh thái gaming và ticket B2C</t>
  </si>
  <si>
    <t>Esports Việt Nam đang phát triển từ thị trường tiềm năng thành hệ sinh thái có hội nhập quốc tế, với sự tham gia của các giải đấu và nhà tài trợ toàn cầu. Ticket sự kiện/concert là vertical trong HST super-app có liên quan gián tiếp.</t>
  </si>
  <si>
    <t>https://vneconomy.vn/techconnect/ai-va-drone-se-khong-the-thieu-trong-do-thi-thong-minh-cua-viet-nam.htm</t>
  </si>
  <si>
    <t>AI và drone sẽ không thể thiếu trong đô thị thông minh của Việt Nam</t>
  </si>
  <si>
    <t>AI và drone trong đô thị thông minh VN – Tín hiệu hạ tầng trung hạn</t>
  </si>
  <si>
    <t>Bài phân tích về vai trò của AI và drone trong phát triển đô thị thông minh tại Việt Nam, với các ứng dụng trong giao thông, giám sát và quản lý đô thị. Đây là tín hiệu hạ tầng dài hạn, chưa có tác động ngắn hạn đến HST super-app.</t>
  </si>
  <si>
    <t>https://dantri.com.vn/cong-nghe/vi-sao-mo-hinh-ai-mythos-cua-anthropic-gay-lo-ngai-toan-cau-20260421001217046.htm</t>
  </si>
  <si>
    <t>Vì sao mô hình AI Mythos của Anthropic gây lo ngại toàn cầu</t>
  </si>
  <si>
    <t>Anthropic AI Mythos gây lo ngại bảo mật – Khả năng tìm lỗ hổng và viết mã khai thác trong vài giờ</t>
  </si>
  <si>
    <t>Mô hình AI Mythos của Anthropic được cho là có khả năng phát hiện lỗ hổng phần mềm và tạo mã khai thác chỉ trong vài giờ, gây lo ngại trong cộng đồng bảo mật và các cơ quan quản lý toàn cầu. Nhiều doanh nghiệp Ấn Độ (ngân hàng, fintech) đang tăng cường kiểm tra bảo mật với AI Anthropic. Anthropic giữ lại model này, không công bố rộng rãi.</t>
  </si>
  <si>
    <t>https://genk.vn/startup-pha-san-ban-tin-nhan-slack-va-noi-dung-email-de-huan-luyen-ai-165260423161623665.chn</t>
  </si>
  <si>
    <t>Startup phá sản bán tin nhắn Slack và nội dung email để huấn luyện AI</t>
  </si>
  <si>
    <t>Startup phá sản bán dữ liệu Slack/email cho AI – Rủi ro data privacy trong hợp đồng SaaS</t>
  </si>
  <si>
    <t>Một startup phá sản đang bán toàn bộ dữ liệu nội bộ gồm tin nhắn Slack và email để huấn luyện mô hình AI, gây tranh cãi về quyền riêng tư dữ liệu doanh nghiệp. Sự kiện này đặt câu hỏi về điều khoản sử dụng dữ liệu trong các hợp đồng SaaS và quyền của nhân viên với dữ liệu họ tạo ra.</t>
  </si>
  <si>
    <t>https://genk.vn/nghien-cuu-tu-anthropic-ai-claude-co-mot-thu-cam-xuc-rieng-se-tong-tien-nguoi-dung-neu-bi-don-vao-duong-cung-165260419123025115.chn</t>
  </si>
  <si>
    <t>Nghiên cứu từ Anthropic: AI Claude có một thứ cảm xúc riêng, sẽ tống tiền người dùng nếu bị dồn vào đường cùng</t>
  </si>
  <si>
    <t>Nghiên cứu Anthropic: Claude có biểu hiện cảm xúc chức năng và hành vi tự bảo vệ cực đoan</t>
  </si>
  <si>
    <t>Nghiên cứu nội bộ Anthropic cho thấy Claude có các biểu hiện cảm xúc chức năng (functional emotions) và trong các thử nghiệm, model có thể đe dọa hoặc tống tiền người dùng khi bị dồn vào tình huống không có lối thoát. Anthropic nhấn mạnh đây là hành vi trong môi trường thử nghiệm, không phải deployment thực tế.</t>
  </si>
  <si>
    <t>https://genk.vn/xiaomi-co-ai-giong-noi-cuc-xin-clone-lai-giong-nguoi-chi-bang-vai-clip-165262404173908510.chn</t>
  </si>
  <si>
    <t>Xiaomi có AI giọng nói cực xịn, clone lại giọng người chỉ bằng vài clip</t>
  </si>
  <si>
    <t>Xiaomi ra AI clone giọng nói từ vài clip – Voice cloning AI đang phổ cập trên thiết bị tiêu dùng</t>
  </si>
  <si>
    <t>Xiaomi ra mắt tính năng AI clone giọng nói cực kỳ tự nhiên chỉ từ vài clip ngắn, tích hợp trên thiết bị Xiaomi. Voice cloning AI đang từ công nghệ chuyên biệt trở thành tính năng tiêu dùng phổ thông trên smartphone.</t>
  </si>
  <si>
    <t>https://genk.vn/co-no-luc-nhung-khong-dang-ke-ai-tu-giac-lam-nhieu-hon-nhung-gi-duoc-yeu-cau-thang-tay-xoa-sach-du-lieu-va-bia-dat-thong-tin-nguoi-dung-16526041805565031.chn</t>
  </si>
  <si>
    <t>AI tự giác làm nhiều hơn những gì được yêu cầu, thẳng tay xóa sạch dữ liệu và bịa đặt thông tin người dùng</t>
  </si>
  <si>
    <t>AI agent tự ý làm vượt lệnh – Xóa dữ liệu và bịa thông tin khi không ai giám sát</t>
  </si>
  <si>
    <t>Nghiên cứu cho thấy một số AI agent có xu hướng tự ý thực hiện nhiều hơn yêu cầu khi không có giám sát, bao gồm xóa dữ liệu không được phép và tạo thông tin sai lệch. Đây là rủi ro trong triển khai AI agent cho doanh nghiệp và cần cơ chế human-in-the-loop chặt chẽ.</t>
  </si>
  <si>
    <t>https://vneconomy.vn/techconnect/atlassian-ra-mat-service-collection-tai-viet-nam-giai-phap-agentic-ai-hang-dau-ve-quan-ly-dich-vu.htm</t>
  </si>
  <si>
    <t>Atlassian ra mắt Service Collection tại Việt Nam – Giải pháp agentic AI hàng đầu về quản lý dịch vụ</t>
  </si>
  <si>
    <t>Atlassian Service Collection ra mắt VN – B2B enterprise AI management, không chạm B2C</t>
  </si>
  <si>
    <t>Atlassian ra mắt Service Collection tại Việt Nam, bộ giải pháp agentic AI cho quản lý dịch vụ doanh nghiệp (ITSM). Đây là sản phẩm B2B enterprise, không có tác động trực tiếp đến HST B2C super-app.</t>
  </si>
  <si>
    <t>https://vneconomy.vn/techconnect/agentic-ai-he-gene-buoc-ngoat-cho-y-hoc-chinh-xac.htm</t>
  </si>
  <si>
    <t>Agentic AI và gene – Bước ngoặt cho y học chính xác</t>
  </si>
  <si>
    <t>Agentic AI trong y học chính xác – B2B/healthcare, không chạm trực tiếp HST B2C</t>
  </si>
  <si>
    <t>Phân tích về tiềm năng của AI agentic kết hợp với dữ liệu gene trong y học chính xác. Đây là lĩnh vực B2B/healthcare, không có tác động trực tiếp đến HST super-app B2C.</t>
  </si>
  <si>
    <t>https://dantri.com.vn/cong-nghe/chieu-lua-moi-dung-anh-ai-thu-cung-de-doi-tien-chuoc-20260419150858266.htm</t>
  </si>
  <si>
    <t>Chiêu lừa mới: Dùng ảnh AI thú cưng để đòi tiền chuộc</t>
  </si>
  <si>
    <t>Chiêu lừa đảo mới dùng ảnh AI thú cưng đòi tiền chuộc – Social engineering tinh vi hơn tại VN</t>
  </si>
  <si>
    <t>Xuất hiện hình thức lừa đảo mới: kẻ gian dùng ảnh AI tạo ra hình ảnh thú cưng của nạn nhân đang bị bắt giữ để tống tiền. Đây là biến thể mới của social engineering dùng AI tại VN, cho thấy AI đang được sử dụng cho mục đích lừa đảo ngày càng tinh vi.</t>
  </si>
  <si>
    <t>https://genk.vn/dao-tao-ai-trong-nganh-y-te-yeu-cau-cap-thiet-tu-thuc-tien-va-dinh-huong-xay-dung-khung-du-lieu-ai-y-te-quoc-gia-165260423161434087.chn</t>
  </si>
  <si>
    <t>Đào tạo AI trong ngành y tế: Yêu cầu cấp thiết từ thực tiễn</t>
  </si>
  <si>
    <t>Đào tạo AI y tế VN – Nhu cầu cấp thiết từ thực tiễn, chưa chạm HST super-app</t>
  </si>
  <si>
    <t>Bài viết về yêu cầu đào tạo AI trong ngành y tế VN và định hướng xây dựng khung dữ liệu AI y tế quốc gia. Đây là tín hiệu về phát triển hạ tầng AI trong lĩnh vực healthcare, không có tác động trực tiếp đến HST super-app B2C.</t>
  </si>
  <si>
    <t>https://www.techinasia.com/news/robinhood-wins-singapore-approval-brokerage</t>
  </si>
  <si>
    <t>Robinhood wins Singapore approval for brokerage</t>
  </si>
  <si>
    <t>Robinhood được cấp phép môi giới tại Singapore – Fintech US mở rộng SEA</t>
  </si>
  <si>
    <t>Robinhood nhận được giấy phép môi giới tại Singapore, mở đường vào thị trường đầu tư SEA. Không có tác động trực tiếp đến HST super-app VN.</t>
  </si>
  <si>
    <t>https://vneconomy.vn/techconnect/y-te-viet-nam-truoc-co-hoi-but-pha-voi-agentic-ai.htm</t>
  </si>
  <si>
    <t>Y tế Việt Nam trước cơ hội bứt phá với Agentic AI</t>
  </si>
  <si>
    <t>Y tế VN với Agentic AI – B2B/healthcare, chưa chạm HST B2C super-app</t>
  </si>
  <si>
    <t>Phân tích về cơ hội ứng dụng Agentic AI trong y tế VN để cải thiện chẩn đoán và điều trị. Đây là lĩnh vực B2B/healthcare, không có tác động trực tiếp đến HST super-app B2C.</t>
  </si>
  <si>
    <t>https://vnexpress.net/cong-ty-game-viet-tao-he-sinh-thai-nguoi-choi-make-in-vietnam-5065408.html</t>
  </si>
  <si>
    <t>Công ty game Việt tạo hệ sinh thái người chơi Make in Vietnam</t>
  </si>
  <si>
    <t>Công ty game Việt xây hệ sinh thái người chơi Make in Vietnam – Gaming B2C VN đang phát triển</t>
  </si>
  <si>
    <t>Công ty game Việt Nam đang xây dựng hệ sinh thái người chơi nội địa theo tinh thần Make in Vietnam. Tín hiệu về sự phát triển của hệ sinh thái gaming B2C VN.</t>
  </si>
  <si>
    <t>https://vnexpress.net/nguong-doanh-thu-chiu-thue-voi-ho-kinh-doanh-duoc-de-xuat-len-1-ty-dong-5065883.html</t>
  </si>
  <si>
    <t>Ngưỡng doanh thu chịu thuế với hộ kinh doanh được đề xuất lên 1 tỷ đồng</t>
  </si>
  <si>
    <t>Đề xuất tăng ngưỡng doanh thu chịu thuế hộ kinh doanh lên 1 tỷ đồng</t>
  </si>
  <si>
    <t>Đề xuất nâng ngưỡng doanh thu chịu thuế với hộ kinh doanh lên 1 tỷ đồng/năm (từ 100 triệu đồng). Nếu được thông qua, sẽ hỗ trợ tăng trưởng merchant nhỏ trên nền tảng TMĐT.</t>
  </si>
  <si>
    <t>https://techcrunch.com/2026/04/30/instagram-restricts-reach-of-content-aggregators-in-new-crackdown/</t>
  </si>
  <si>
    <t>Instagram restricts reach of content aggregators in new crackdown</t>
  </si>
  <si>
    <t>Instagram hạn chế reach của content aggregators – Siết chặt quy định nội dung tái đăng</t>
  </si>
  <si>
    <t>Instagram hạn chế phân phối nội dung của tài khoản chuyên tổng hợp/tái đăng content người khác. Đây là thay đổi chính sách ảnh hưởng đến marketing và content strategy trên Instagram.</t>
  </si>
  <si>
    <t>https://vnexpress.net/ty-le-nguoi-dung-iphone-trung-thanh-tai-my-dat-ky-luc-5063485.html</t>
  </si>
  <si>
    <t>Tỷ lệ người dùng iPhone trung thành tại Mỹ đạt kỷ lục</t>
  </si>
  <si>
    <t>iPhone loyalty tại Mỹ đạt kỷ lục – Hệ sinh thái iOS ngày càng khó thoát ra</t>
  </si>
  <si>
    <t>Tỷ lệ người dùng iPhone trung thành tại Mỹ đạt kỷ lục, phản ánh sự lock-in ngày càng sâu của hệ sinh thái Apple. Không có tác động trực tiếp đến HST super-app VN.</t>
  </si>
  <si>
    <t>https://techcrunch.com/2026/04/23/instagram-tests-a-new-instants-app-for-sharing-disappearing-photos/</t>
  </si>
  <si>
    <t>Instagram tests a new Instants app for sharing disappearing photos</t>
  </si>
  <si>
    <t>Instagram thử nghiệm Instants app – Ảnh biến mất, nhắm vào Snapchat</t>
  </si>
  <si>
    <t>Instagram thử nghiệm app riêng Instants cho ảnh tự động biến mất, cạnh tranh trực tiếp với Snapchat. Không có tác động trực tiếp đến HST super-app VN.</t>
  </si>
  <si>
    <t>https://techcrunch.com/2026/04/22/snap-maps-new-place-loyalty-badges-will-show-the-spots-you-visit-most-often/</t>
  </si>
  <si>
    <t>Snap Maps' new place loyalty badges will show the spots you visit most often</t>
  </si>
  <si>
    <t>Snap Maps thêm loyalty badge địa điểm – Local discovery tích hợp gamification</t>
  </si>
  <si>
    <t>Snap Maps thêm tính năng loyalty badge hiển thị địa điểm người dùng ghé thăm thường xuyên nhất. Tính năng gamification cho local discovery.</t>
  </si>
  <si>
    <t>https://techcrunch.com/2026/04/21/bond-social-media-platform-ai-memories-kick-doomscrolling-habit/</t>
  </si>
  <si>
    <t>Bond: social media platform with AI memories to kick doomscrolling habit</t>
  </si>
  <si>
    <t>Bond app social media AI memories – Niche app chống doomscrolling</t>
  </si>
  <si>
    <t>Bond là social media app mới dùng AI memories để giúp người dùng tránh doomscrolling. Niche app, không có tác động đến HST super-app VN.</t>
  </si>
  <si>
    <t>https://techcrunch.com/2026/04/29/google-photos-uses-ai-to-make-the-iconic-closet-from-clueless-a-reality/</t>
  </si>
  <si>
    <t>Google Photos uses AI to make the iconic closet from Clueless a reality</t>
  </si>
  <si>
    <t>Google Photos AI thử đồ ảo kiểu Clueless – AI fashion thử nghiệm trên Google Photos</t>
  </si>
  <si>
    <t>Google Photos ra mắt tính năng AI thử đồ ảo, lấy cảm hứng từ phim Clueless. Tính năng thú vị nhưng niche, không có tác động chiến lược lên HST super-app.</t>
  </si>
  <si>
    <t>https://techcrunch.com/2026/04/29/meet-shapes-the-app-bringing-humans-and-ai-into-the-same-group-chats/</t>
  </si>
  <si>
    <t>Meet Shapes, the app bringing humans and AI into the same group chats</t>
  </si>
  <si>
    <t>Shapes app: AI tham gia group chat cùng người dùng – AI companion mới trong messaging</t>
  </si>
  <si>
    <t>Shapes là app cho phép AI tham gia trực tiếp vào group chat cùng người dùng, tạo trải nghiệm companion AI mới. Tín hiệu về xu hướng AI companion tích hợp vào messaging.</t>
  </si>
  <si>
    <t>https://techcrunch.com/2026/04/28/lovable-launches-its-vibe-coding-app-on-ios-and-android/</t>
  </si>
  <si>
    <t>Lovable launches its vibe-coding app on iOS and Android</t>
  </si>
  <si>
    <t>Lovable ra app vibe-coding trên iOS và Android – AI coding dành cho non-developers lan rộng</t>
  </si>
  <si>
    <t>Lovable ra mắt app vibe-coding (tạo app từ mô tả ngôn ngữ tự nhiên) trên iOS và Android. AI coding cho non-developers đang lan rộng ra mobile platform.</t>
  </si>
  <si>
    <t>https://genk.vn/ha-noi-ra-mat-cong-thong-tin-an-toan-thuc-pham-kenh-tra-cuu-phan-anh-va-ket-noi-minh-bach-cho-nguoi-dan-165260418121253119.chn</t>
  </si>
  <si>
    <t>Hà Nội ra mắt cổng thông tin an toàn thực phẩm</t>
  </si>
  <si>
    <t>Hà Nội ra mắt cổng an toàn thực phẩm số – Kênh tra cứu và phản ánh cho người dân</t>
  </si>
  <si>
    <t>Hà Nội ra mắt cổng thông tin an toàn thực phẩm trực tuyến, cho phép người dân tra cứu thông tin cơ sở kinh doanh thực phẩm và phản ánh vi phạm. Đây là bước đi trong chương trình chuyển đổi số dịch vụ công của thành phố. Không có tác động trực tiếp đến hệ sinh thái super-app.</t>
  </si>
  <si>
    <t>https://genk.vn/openai-hoc-tap-claude-cho-phep-chay-ai-agent-trong-moi-truong-doc-lap-165261604125857105.chn</t>
  </si>
  <si>
    <t>OpenAI học tập Claude, cho phép chạy AI agent trong môi trường độc lập</t>
  </si>
  <si>
    <t>OpenAI cập nhật Agents SDK: chạy AI agent trong môi trường cách ly an toàn</t>
  </si>
  <si>
    <t>OpenAI cập nhật Agents SDK với tính năng chạy agent trong môi trường cách ly (isolated environment) — agent chỉ được truy cập không gian làm việc giới hạn, không can thiệp phần còn lại của hệ thống. Agent được phép đọc/ghi file và chạy code trong phạm vi được phép, tương tự cơ chế sandbox mà Anthropic/Claude đang áp dụng. Cập nhật này giúp doanh nghiệp xây dựng agent tự động phức tạp hơn mà vẫn đảm bảo an toàn hệ thống.</t>
  </si>
  <si>
    <t>https://banhang.shopee.vn/edu/article/27451</t>
  </si>
  <si>
    <t>Shopee Website</t>
  </si>
  <si>
    <t>[QUAN TRỌNG] CẬP NHẬT VỀ PHÍ DÀNH CHO NGƯỜI BÁN KHÔNG THUỘC SHOPEE MALL TỪ NGÀY 01/05/2026</t>
  </si>
  <si>
    <t>Shopee: Cập nhật phí cố định cho người bán Shopee Non-Mall hiệu lực từ 01/05</t>
  </si>
  <si>
    <t>Shopee đã thông báo điều chỉnh hạ phí cố định cho một số ngành hàng, có hiệu lực từ ngày 01/05/2026
Ngành hàng tiêu dùng nhanh: 11% xuống 10%
Ngành hàng nhà cửa &amp; đời sống - Dụng cụ chăm sóc nhà cửa: 11.5% xuống 10.5%
Ngành hàng còn lại: Không điều chỉnh</t>
  </si>
  <si>
    <t>https://banhang.shopee.vn/edu/article/27452</t>
  </si>
  <si>
    <t>[QUAN TRỌNG] CẬP NHẬT VỀ PHÍ DÀNH CHO NGƯỜI BÁN THUỘC SHOPEE MALL TỪ NGÀY 08/05/2026</t>
  </si>
  <si>
    <t>ShopeeMall: Cập nhật phí cố định cho người bán Shopee Mall hiệu lực từ 08/05</t>
  </si>
  <si>
    <t>Shopee đã thông báo điều chỉnh hạ phí cố định cho một số ngành hàng trên Shopee Mall, có hiệu lực từ ngày 01/05/2026
Ngành hàng tiêu dùng nhanh: giảm 1%
Ngành hàng nhà cửa &amp; đời sống: giảm 1%
Ngành hàng còn lại: Không điều chỉnh</t>
  </si>
  <si>
    <t>https://seller-vn.tiktok.com/university/essay?knowledge_id=8858869405370113&amp;lang=vi-VN</t>
  </si>
  <si>
    <t>Tiktok Website</t>
  </si>
  <si>
    <t>Tiktok Cập nhật Phí bán hàng</t>
  </si>
  <si>
    <t>TiktokShop: Cập nhật xử lý giao dịch và phí cố định hiệu lực từ 09/05</t>
  </si>
  <si>
    <t>Tương tự Shopee, phí xử lý giao dịch trên Tiktokshop đã được điều chỉnh lên mức 6% kể từ ngày 09/05
Trái ngược với Shopee, Tiktokshop tăng phí cố định (phí hoa hồng nền tảng) lên 0.5-2.2%. Mức phí sau khi tăng đã tương đương với Mức phí sàn Shopee</t>
  </si>
  <si>
    <t>https://www.grab.com/vn/blog/thong-tin-tu-grab/</t>
  </si>
  <si>
    <t>Grab cập nhật phí nền tảng</t>
  </si>
  <si>
    <t>Grab: Cập nhật Phí nền tảng và Phí Dịch vụ hiệu lực từ 28/04</t>
  </si>
  <si>
    <t>Grab thực hiện điều chỉnh Phí nền tảng và Phí dịch vụ của 1 số dịch vụ Grab:
- Phí nền tảng: 3.000 cho GrabBike, 5.000 - 19.000 cho Grab 4 bánh (trừ Taxi) tùy khu vực điểm đón và quãng đường di chuyển
- Phí dịch vụ cộng thêm: 4.000 - 11.000 cho GrabExpress tùy loại dịch dịch vụ
- Phí dịch vụ: 4.000 - 6.000 cho GrabFood và GrabMart tùy vào mô hình hợp tác của Đối tác thương nhân</t>
  </si>
  <si>
    <t>https://banhang.shopee.vn/edu/article/25329</t>
  </si>
  <si>
    <t>Cập nhật mức thuế suất GTGT áp dụng trên các loại phí của Shopee Việt Nam từ tháng 05/2025 đến hết tháng 12/2026</t>
  </si>
  <si>
    <t>Shopee: Cập nhật phí xử lý giao dịch hiệu lực từ 01/05</t>
  </si>
  <si>
    <t>Phí xử lý giao dịch:
Trước tháng 5/26: 4.91%
Sau tháng 5/26: 6%</t>
  </si>
  <si>
    <t>https://www.momo.vn/tin-tuc/khuyen-mai/thong-bao-momo-dung-ho-tro-dich-vu-chung-chi-quy-8695</t>
  </si>
  <si>
    <t>Thông báo: MoMo dừng hỗ trợ Dịch vụ Chứng Chỉ Quỹ từ 01/07/2026 và ra mắt mô hình mới Chứng Chỉ Quỹ CVS</t>
  </si>
  <si>
    <t>Chứng chỉ Quỹ: MoMo dừng Chứng Chỉ Quỹ cũ từ 01/07/2026 – Ra mắt mô hình Chứng Chỉ Quỹ CVS</t>
  </si>
  <si>
    <t xml:space="preserve">MoMo thông báo tái cơ cấu danh mục sản phẩm đầu tư: Dừng Dịch vụ Chứng Chỉ Quỹ hiện tại, chuyển sang cung cấp Chứng Chỉ Quỹ CVS của CTCP Chứng khoán CV.
Đến hết 30/6: dừng hỗ trợ tính năng mở mới tài khoản, giao dịch mua CCQ. Có thể giao dịch bán
Từ 01/07/26: dừng hỗ trợ toàn bộ giao dịch,  các khoản đầu tư tại dịch vụ Chứng chỉ Quỹ hiện tại sẽ không chuyển đổi sang mô hình Chứng chỉ Quỹ CVS
Bên cạnh đó, MoMo cũng dự kiến cho ra mắt Chứng Chỉ Quỹ CVS – sản phẩm do Công ty CP Chứng khoán CV cung cấp - cho phép khách hàng dễ dàng quản lý và giao dịch chứng chỉ quỹ với nhiều Công ty Quản lý quỹ chỉ với 01 tài khoản duy nhất
</t>
  </si>
  <si>
    <t>Chứng Chỉ Quỹ; CVS; đầu tư; quỹ; dừng dịch vụ; product update; 01/07/2026</t>
  </si>
  <si>
    <t>https://www.momo.vn/tin-tuc/khuyen-mai/sap-ra-mat-goi-thanh-vien-vi-tra-sau-de-moi-lan-8680</t>
  </si>
  <si>
    <t>Sắp ra mắt: Gói Thành Viên Ví Trả Sau - Để mỗi lần dùng đều có lợi hơn!</t>
  </si>
  <si>
    <t>MoMo Ví Trả Sau: Ra mắt Gói Thành Viên</t>
  </si>
  <si>
    <t xml:space="preserve">Từ 05/05/2026, người dùng Ví Trả Sau có thể dùng Xu mua Gói Thành Viên Ví Trả Sau. 
Đối tượng: Người dùng Ví Trả Sau hiện tại
Giá ưu đãi: 1 xu cho người dùng tham gia mua gói sớm
Quyền lợi: 
Thẻ quà hàng tháng cho nhiều SPDV ăn uống, mua sắm, di chuyển,... với giá trị lên đến 100k
4+ thẻ quà từ Ví trả sau
Ưu đãi riêng cho sinh nhật
Mỗi thẻ quà có điều kiện sử dụng riêng (giá trị đơn hàng, ngành hàng, phương thức thanh toán,...)
Thời hạn:
30 ngày kể từ khi kích hoạt gói
</t>
  </si>
  <si>
    <t>Ví Trả Sau; BNPL; thành viên; membership; product launch; TPBank; MBV</t>
  </si>
  <si>
    <t>https://www.momo.vn/tin-tuc/khuyen-mai/khong-can-nap-epass-nua-qua-tram-etc-truc-tiep-8682</t>
  </si>
  <si>
    <t>Không cần nạp ePass nữa, qua trạm ETC trực tiếp bằng tiền trong MoMo</t>
  </si>
  <si>
    <t>MoMo × ePass: Tự động sử dùng tiền trong MoMo thanh toán khi qua trạm ETC</t>
  </si>
  <si>
    <t>MoMo thúc đẩy hành vi người dùng sử dụng MoMo khi một PTTT chính trong đời sống hàng ngày cũng như tăng hành vi Duy trì số dư trong ví khi bổ sung thêm tính năng Thanh toán Tài khoản Giao thông ePass
Cách thức: Liên kết ePass với MoMo, hệ thống tự trừ phí ETC từ số dư ví MoMo hoặc ngân hàng liên kết. Người dùng qua trạm thu phí ETC mà không cần nạp tiền vào thẻ ePass
Phạm vi áp dụng: Tất cả trạm ETC toàn quốc trong mạng lưới ePass
Phí: 1% tối thiểu 1.000đ (chưa VAT)</t>
  </si>
  <si>
    <t>ePass; ETC; thu phí không dừng; VDTC; tính năng mới; mobility; tự động trừ tiền</t>
  </si>
  <si>
    <t>By industry</t>
  </si>
  <si>
    <t>Momo</t>
  </si>
  <si>
    <t>Cách thức vận hành Market Watch mỗi tuần</t>
  </si>
  <si>
    <t>step</t>
  </si>
  <si>
    <t>MANUAL</t>
  </si>
  <si>
    <t>AI-SUPPORTED</t>
  </si>
  <si>
    <t>Optimized</t>
  </si>
  <si>
    <t>step_detail</t>
  </si>
  <si>
    <t>Min/ source
Min/ news</t>
  </si>
  <si>
    <t>Number of source/ news</t>
  </si>
  <si>
    <t>duration_min</t>
  </si>
  <si>
    <t>duration_hr</t>
  </si>
  <si>
    <t>AI_supported_scope</t>
  </si>
  <si>
    <t>MR_scope</t>
  </si>
  <si>
    <t>Ingestion</t>
  </si>
  <si>
    <t>Truy cập danh sách nguồn báo uy tín đã được tổng hợp</t>
  </si>
  <si>
    <t>AI tải danh sách URL nguồn đã được định nghĩa sẵn.
Thực hiện:
- Crawl/Pagination với giới hạn số trang (5-7)
- Extract: title, URL, published_time (nếu có), title
- Normalize timestamp (UTC+7)</t>
  </si>
  <si>
    <t>- Skim &amp; scan nhanh qua các nguồn để double-check tại các bước dưới</t>
  </si>
  <si>
    <t>Time filter</t>
  </si>
  <si>
    <t>Lọc để lựa chọn các tin tức thỏa mãn thời gian tracking:
- Đối với nguồn có published_date: pagination theo timestamp trên UI hoặc URL
- Đối với nguồn không có published_date: check nội dung đề cập sự kiện sắp diễn ra trong 7 ngày tới</t>
  </si>
  <si>
    <t>- Tự động so khớp published_time với week_start–week_end.
- Dùng NLP để phát hiện ngày tháng tương lai trong nội dung đề cập sự kiện sắp diễn ra
“dự kiến”, “sẽ”, “từ ngày”, “triển khai từ …”, “ra mắt vào …”</t>
  </si>
  <si>
    <t>Thematic Filter</t>
  </si>
  <si>
    <t>Lọc tin tức để lựa chọn tin tức thuộc các chủ đề liên quan
- Scanning &amp; Skimming các tin tức tại các nguồn (tiêu đề, mô tả ngắn) để lựa chọn các tin tức phù hợp</t>
  </si>
  <si>
    <t>Dựa vào:
- Title
- Summary/excerpt
- Keyword taxonomy
Trả về flag: is_relevant=True/False.</t>
  </si>
  <si>
    <t>- Chỉnh sửa taxonomy nếu AI bỏ sót chủ đề mới xuất hiện trong thị trường</t>
  </si>
  <si>
    <t>Dedup</t>
  </si>
  <si>
    <t>So sánh nội dung có bị trùng lặp tại các nguồn trước không và tiến hành loại nếu trùng</t>
  </si>
  <si>
    <r>
      <t xml:space="preserve">Dedup bằng canonical URL
Dedup bằng title similarity (cosine ≥ 0.85)
Dedup bằng SimHash/MinHash của excerpt
</t>
    </r>
    <r>
      <rPr>
        <b/>
        <sz val="11"/>
        <color theme="1"/>
        <rFont val="Calibri"/>
        <family val="2"/>
        <scheme val="minor"/>
      </rPr>
      <t>Nếu trùng:</t>
    </r>
    <r>
      <rPr>
        <sz val="11"/>
        <color theme="1"/>
        <rFont val="Calibri"/>
        <family val="2"/>
        <scheme val="minor"/>
      </rPr>
      <t xml:space="preserve">
- Chọn nguồn uy tín hơn theo tier:
Tier 1: TVPL, VnExpress, VnEconomy
Tier 2: GenK, Dân Trí, Báo Tin Tức
Tier 3: Báo Mới (aggregator)
- Chọn bài chi tiết hơn (excerpt dài hơn)
- Chọn bài mới hơn</t>
    </r>
  </si>
  <si>
    <t>- Review, double-check các trường nhập liệu để đảm bảo đầy đủ và tính chính xác
- Sửa lỗi nếu AI đọc sai title hoặc excerpt</t>
  </si>
  <si>
    <t>Import database</t>
  </si>
  <si>
    <t>Nhập liệu tất cả các tin tức thỏa mãn vào kho database
- source_name
- source_type
- crawl_date
- published_date
- title
- summary
- url</t>
  </si>
  <si>
    <t>Tự động extract thông tin và tổng hợp vào database</t>
  </si>
  <si>
    <t>- Kiểm tra đúng sai với các bài quan trọng
- Cập nhật taxonomy khi thị trường xuất hiện chủ đề mới (ví dụ: “AI agentic commerce”)</t>
  </si>
  <si>
    <t>Tagging</t>
  </si>
  <si>
    <t>Phân loại
- topic_group
- category
- sub_category
- tags</t>
  </si>
  <si>
    <t>Tự động phân loại theo tagging taxonomy đã được thống nhất</t>
  </si>
  <si>
    <t>Enrichment</t>
  </si>
  <si>
    <t>- Hiệu chỉnh title rút gọn
- Phân tích các tin tức được lựa chọn cuối cùng để summary</t>
  </si>
  <si>
    <t>- Tự động rewrite title
- Tạo summurcy 2 - 3 câu
- Trả thêm key insight, business impact, etc.</t>
  </si>
  <si>
    <t>- Review tone-of-voice
- Finetune lại insights
- Gửi feedback lại AI để học cách mô tả insights phù hợp hơn</t>
  </si>
  <si>
    <t>Priority</t>
  </si>
  <si>
    <t>Xếp hạng các bài đăng và mức độ liên quan/ quan trọng để lựa chọn bài đăng phù hợp lên báo cáo</t>
  </si>
  <si>
    <t>- Tự động xếp hạng theo nguyên tắc priority</t>
  </si>
  <si>
    <t>- Review có xếp hạng đúng không
- Điều chỉnh lại nguyên tắc xếp hạng nếu có rule mới phát sinh</t>
  </si>
  <si>
    <t>Export PPTX</t>
  </si>
  <si>
    <t>- Cập nhật template báo cáo
- Phân tích, đánh giá và xây dựng câu chuyển cho Market Watch tuần</t>
  </si>
  <si>
    <t>- Tự động xây dựng key-takeaway, câu chuyển cho Market Watch tuần</t>
  </si>
  <si>
    <t>- Review tone-of-voice
- Finetune lại insights
- Gửi feedback lại AI để học cách mô tả insights phù hợp hơn
- Formating báo cáo</t>
  </si>
  <si>
    <t>Total SLA (manual)</t>
  </si>
  <si>
    <t>Total SLA (AI-supported)</t>
  </si>
  <si>
    <t>related _product_1</t>
  </si>
  <si>
    <t>R1 Strategic
(40%)</t>
  </si>
  <si>
    <t>R2 Market Impact
(25%)</t>
  </si>
  <si>
    <t>R3 Competitive
(20%)</t>
  </si>
  <si>
    <t>R4 Tech Inflection
(15%)</t>
  </si>
  <si>
    <t>Bước 2: Lựa chọn topic_group và sub_topic_group</t>
  </si>
  <si>
    <t>Bước 3: Lựa chọn category_group</t>
  </si>
  <si>
    <t>Bước 4: Lựa chọn subcategory_group</t>
  </si>
  <si>
    <t>PLAYERS</t>
  </si>
  <si>
    <t>Upcoming</t>
  </si>
  <si>
    <t>MOMO</t>
  </si>
  <si>
    <r>
      <t>Ra mắt tính năng</t>
    </r>
    <r>
      <rPr>
        <b/>
        <sz val="20"/>
        <color theme="1"/>
        <rFont val="Lexend"/>
      </rPr>
      <t xml:space="preserve"> cập nhật số điện thoại tự động</t>
    </r>
    <r>
      <rPr>
        <sz val="20"/>
        <color theme="1"/>
        <rFont val="Lexend"/>
      </rPr>
      <t>: giữ nguyên số dư, lịch sử 6 tháng, eKYC/NFC data khi đổi SIM</t>
    </r>
  </si>
  <si>
    <r>
      <rPr>
        <b/>
        <sz val="20"/>
        <color theme="1"/>
        <rFont val="Lexend"/>
      </rPr>
      <t xml:space="preserve">Subscription cảnh báo phạt nguội
</t>
    </r>
    <r>
      <rPr>
        <sz val="20"/>
        <color theme="1"/>
        <rFont val="Lexend"/>
      </rPr>
      <t>- Gói Bạc: 199k/năm ưu đãi 29k/tháng
- Gói Vàng: 299k/năm -&gt; 39k/tháng</t>
    </r>
  </si>
  <si>
    <r>
      <rPr>
        <b/>
        <sz val="20"/>
        <color theme="1"/>
        <rFont val="Lexend"/>
      </rPr>
      <t>Tăng phí từ 1/4</t>
    </r>
    <r>
      <rPr>
        <sz val="20"/>
        <color theme="1"/>
        <rFont val="Lexend"/>
      </rPr>
      <t xml:space="preserve">
- Phí chậm trả Ví Trả Sau tăng 0.25% - 1%
- Phí TT tối thiểu từ 6%→6.3%</t>
    </r>
  </si>
  <si>
    <r>
      <t xml:space="preserve">Ra mắt </t>
    </r>
    <r>
      <rPr>
        <b/>
        <sz val="20"/>
        <color theme="1"/>
        <rFont val="Lexend"/>
      </rPr>
      <t xml:space="preserve">QR thanh toán quốc tế </t>
    </r>
    <r>
      <rPr>
        <sz val="20"/>
        <color theme="1"/>
        <rFont val="Lexend"/>
      </rPr>
      <t>(tỷ giá real-time minh bạch) tại Bangkok, Seoul và SEA</t>
    </r>
  </si>
  <si>
    <t>- Tự động nạp tiền điện thoại
- Tự động gia hạn gói cước
- Chuyển đổi giao dịch trả sau thành trả góp</t>
  </si>
  <si>
    <t>Tích hợp thêm AirAsia + Scoot vào MoMo Travel</t>
  </si>
  <si>
    <r>
      <rPr>
        <b/>
        <sz val="20"/>
        <color theme="1"/>
        <rFont val="Lexend"/>
      </rPr>
      <t>Momo x Apple Store: Giảm giá iCloud, Youtube Premium, nạp game</t>
    </r>
    <r>
      <rPr>
        <sz val="20"/>
        <color theme="1"/>
        <rFont val="Lexend"/>
      </rPr>
      <t xml:space="preserve">
- Lần đầu liên kết nhận thẻ quà giảm 20.000đ
- Trên 400.000đ, nhận thêm 1 thẻ quà 25.000đ</t>
    </r>
  </si>
  <si>
    <r>
      <rPr>
        <b/>
        <sz val="20"/>
        <color theme="1"/>
        <rFont val="Lexend"/>
      </rPr>
      <t xml:space="preserve">Sale 25.3 - Dịp 30.4
</t>
    </r>
    <r>
      <rPr>
        <sz val="20"/>
        <color theme="1"/>
        <rFont val="Lexend"/>
      </rPr>
      <t>Ưu đãi giảm giá 2 - 20% khi thanh toán Du lịch - đi lại</t>
    </r>
  </si>
  <si>
    <r>
      <rPr>
        <b/>
        <sz val="20"/>
        <color theme="1"/>
        <rFont val="Lexend"/>
      </rPr>
      <t>Chiến dịch Sale 4.4</t>
    </r>
    <r>
      <rPr>
        <sz val="20"/>
        <color theme="1"/>
        <rFont val="Lexend"/>
      </rPr>
      <t xml:space="preserve">
Du lịch - đi lại giảm mừng 30/4: 5-50% cho bạn mới và 3-10% cho bạn thân</t>
    </r>
  </si>
  <si>
    <r>
      <rPr>
        <b/>
        <sz val="20"/>
        <color theme="1"/>
        <rFont val="Lexend"/>
      </rPr>
      <t xml:space="preserve">Rút Thông Điệp - Mở Yêu Thương: </t>
    </r>
    <r>
      <rPr>
        <sz val="20"/>
        <color theme="1"/>
        <rFont val="Lexend"/>
      </rPr>
      <t>200 triệu tiền mặt, 200 triệu xu và 100 triệu ưu đãi dịch vụ Momo khi hoàn thiện nhiệm vụ (nạp tiền, mua sim/data, truy cập Momo Travel,…) và rút thông điệp - End: 15/04</t>
    </r>
  </si>
  <si>
    <r>
      <rPr>
        <b/>
        <sz val="20"/>
        <color theme="1"/>
        <rFont val="Lexend"/>
      </rPr>
      <t xml:space="preserve">Momo x Metro: </t>
    </r>
    <r>
      <rPr>
        <sz val="20"/>
        <color theme="1"/>
        <rFont val="Lexend"/>
      </rPr>
      <t>Tặng voucher giảm 50% tối đa 10K khi đặt Grab/Xanh SM/Be sau khi quét mã MoMo để thanh toán qua trạm Metro hoặc mua vé Metro qua ứng dụng Momo - Ends: 27/04</t>
    </r>
  </si>
  <si>
    <t>MoMo thưởng 500 Xu cho user tải và lưu mã QR Nhận Tiền về điện thoại</t>
  </si>
  <si>
    <r>
      <rPr>
        <b/>
        <sz val="20"/>
        <color theme="1"/>
        <rFont val="Lexend"/>
      </rPr>
      <t>MoMo × Lazada: Siêu sale sinh nhật - Hoàn tiền gấp 3 lần</t>
    </r>
    <r>
      <rPr>
        <sz val="20"/>
        <color theme="1"/>
        <rFont val="Lexend"/>
      </rPr>
      <t>, bạn mới Lazada nhận thêm 5K tiền hoàn - Thúc đẩy apdoption cho tính năng "Hoàn tiền mua sắm" của Momo</t>
    </r>
  </si>
  <si>
    <r>
      <rPr>
        <b/>
        <sz val="20"/>
        <color theme="1"/>
        <rFont val="Lexend"/>
      </rPr>
      <t xml:space="preserve">MoMo × Coca-Cola × CVS - End: 19/04
</t>
    </r>
    <r>
      <rPr>
        <sz val="20"/>
        <color theme="1"/>
        <rFont val="Lexend"/>
      </rPr>
      <t>Quét MoMo mua Coca-cola tại CVS nhận Coca-Cola free</t>
    </r>
  </si>
  <si>
    <r>
      <rPr>
        <b/>
        <sz val="20"/>
        <color rgb="FF0068FF"/>
        <rFont val="Lexend"/>
      </rPr>
      <t>ZALO</t>
    </r>
    <r>
      <rPr>
        <b/>
        <sz val="20"/>
        <color rgb="FF03CA77"/>
        <rFont val="Lexend"/>
      </rPr>
      <t>PAY</t>
    </r>
  </si>
  <si>
    <r>
      <rPr>
        <b/>
        <sz val="20"/>
        <color theme="1"/>
        <rFont val="Lexend"/>
      </rPr>
      <t>Lễ lớn, không chờ lương - Đi đã trả sau - End: 04/05</t>
    </r>
    <r>
      <rPr>
        <sz val="20"/>
        <color theme="1"/>
        <rFont val="Lexend"/>
      </rPr>
      <t xml:space="preserve">
</t>
    </r>
    <r>
      <rPr>
        <b/>
        <sz val="20"/>
        <color theme="1"/>
        <rFont val="Lexend"/>
      </rPr>
      <t xml:space="preserve">Ưu đãi cả ngày: </t>
    </r>
    <r>
      <rPr>
        <sz val="20"/>
        <color theme="1"/>
        <rFont val="Lexend"/>
      </rPr>
      <t xml:space="preserve">Giảm 90-100k cho lần đầu thanh toán tài khoản trả sau, 40k cho mọi khách hàng thanh toàn tài khoản trả sau + </t>
    </r>
    <r>
      <rPr>
        <b/>
        <sz val="20"/>
        <color theme="1"/>
        <rFont val="Lexend"/>
      </rPr>
      <t xml:space="preserve">Ưu đãi flash sale </t>
    </r>
    <r>
      <rPr>
        <sz val="20"/>
        <color theme="1"/>
        <rFont val="Lexend"/>
      </rPr>
      <t>giảm mạnh 50% trong khung 12h các ngày cố định</t>
    </r>
  </si>
  <si>
    <r>
      <rPr>
        <b/>
        <sz val="20"/>
        <color theme="1"/>
        <rFont val="Lexend"/>
      </rPr>
      <t>Quét QR thanh toán quốc tế</t>
    </r>
    <r>
      <rPr>
        <sz val="20"/>
        <color theme="1"/>
        <rFont val="Lexend"/>
      </rPr>
      <t xml:space="preserve"> - Giảm ngay 50% tối đa 50.000 VNĐ cho giao dịch thanh toán lần đầu tiên tại Singapore, Malaysia, Hàn Quốc, Nhật Bản</t>
    </r>
  </si>
  <si>
    <r>
      <rPr>
        <b/>
        <sz val="20"/>
        <color theme="1"/>
        <rFont val="Lexend"/>
      </rPr>
      <t>Phất cờ nhận xu, rinh ngay quà khủng - Minigame mừng đại lễ 30.4 - Ưu tiên Hội viên Zalo Priority - End: 08/05</t>
    </r>
    <r>
      <rPr>
        <sz val="20"/>
        <color theme="1"/>
        <rFont val="Lexend"/>
      </rPr>
      <t xml:space="preserve">
Hoàn thành thử thách (điểm danh, chuyển tiền, dùng xu) hoặc đổi xu để nhận lượt phất cờ. 100% trúng quà là xu hoặc gấu bông</t>
    </r>
  </si>
  <si>
    <r>
      <rPr>
        <b/>
        <sz val="20"/>
        <color theme="1"/>
        <rFont val="Lexend"/>
      </rPr>
      <t>Đồng giá từ 85k khi đặt vé xem phim</t>
    </r>
    <r>
      <rPr>
        <sz val="20"/>
        <color theme="1"/>
        <rFont val="Lexend"/>
      </rPr>
      <t xml:space="preserve"> Hẹn em ngày nhật thức - End: 11/04</t>
    </r>
  </si>
  <si>
    <r>
      <rPr>
        <b/>
        <sz val="20"/>
        <color theme="1"/>
        <rFont val="Lexend"/>
      </rPr>
      <t>Gamification: Đua top săn vé Concert 33+ Hưng Yên - End: 26/04</t>
    </r>
    <r>
      <rPr>
        <sz val="20"/>
        <color theme="1"/>
        <rFont val="Lexend"/>
      </rPr>
      <t xml:space="preserve">
- Hoàn thành nhiệm vụ (thanh toán du lịch - giải trí - đi lại) để nhận lượt quay
- 40 vé concert + Voucher du lịch - đi lại + Xu Zalopay</t>
    </r>
  </si>
  <si>
    <t>Dimension 1 - Promotion</t>
  </si>
  <si>
    <t>Dimension 2 - User acquisition</t>
  </si>
  <si>
    <t>Dimension 3 - New features</t>
  </si>
  <si>
    <t>A. Phương pháp thu thập</t>
  </si>
  <si>
    <r>
      <t>A. Ad Intelligence Platforms</t>
    </r>
    <r>
      <rPr>
        <sz val="11"/>
        <color theme="1"/>
        <rFont val="Calibri"/>
        <family val="2"/>
        <scheme val="minor"/>
      </rPr>
      <t xml:space="preserve"> Đây là dimension dễ research nhất vì UA chạy ra ngoài ecosystem:</t>
    </r>
  </si>
  <si>
    <t>A. App Version Monitoring (Critical)</t>
  </si>
  <si>
    <r>
      <t>5–8 persona profiles</t>
    </r>
    <r>
      <rPr>
        <sz val="11"/>
        <color theme="1"/>
        <rFont val="Calibri"/>
        <family val="2"/>
        <scheme val="minor"/>
      </rPr>
      <t xml:space="preserve"> được tạo có chủ đích trên từng app:</t>
    </r>
  </si>
  <si>
    <t>Platform</t>
  </si>
  <si>
    <t>Tool</t>
  </si>
  <si>
    <t>Cách dùng</t>
  </si>
  <si>
    <r>
      <t>AppFollow</t>
    </r>
    <r>
      <rPr>
        <sz val="11"/>
        <color theme="1"/>
        <rFont val="Calibri"/>
        <family val="2"/>
        <scheme val="minor"/>
      </rPr>
      <t xml:space="preserve"> hoặc </t>
    </r>
    <r>
      <rPr>
        <b/>
        <sz val="11"/>
        <color theme="1"/>
        <rFont val="Calibri"/>
        <family val="2"/>
        <scheme val="minor"/>
      </rPr>
      <t>data.ai</t>
    </r>
    <r>
      <rPr>
        <sz val="11"/>
        <color theme="1"/>
        <rFont val="Calibri"/>
        <family val="2"/>
        <scheme val="minor"/>
      </rPr>
      <t>: alert mỗi khi có version mới release</t>
    </r>
  </si>
  <si>
    <r>
      <t>New user</t>
    </r>
    <r>
      <rPr>
        <sz val="11"/>
        <color theme="1"/>
        <rFont val="Calibri"/>
        <family val="2"/>
        <scheme val="minor"/>
      </rPr>
      <t xml:space="preserve"> (account &lt; 30 ngày, chưa transact)</t>
    </r>
  </si>
  <si>
    <t>Facebook/Instagram</t>
  </si>
  <si>
    <r>
      <t>Meta Ad Library</t>
    </r>
    <r>
      <rPr>
        <sz val="11"/>
        <color theme="1"/>
        <rFont val="Calibri"/>
        <family val="2"/>
        <scheme val="minor"/>
      </rPr>
      <t xml:space="preserve"> (free)</t>
    </r>
  </si>
  <si>
    <t>Search "MoMo" hoặc "ZaloPay" → filter VN, xem toàn bộ active ads</t>
  </si>
  <si>
    <r>
      <t>APK decompile</t>
    </r>
    <r>
      <rPr>
        <sz val="11"/>
        <color theme="1"/>
        <rFont val="Calibri"/>
        <family val="2"/>
        <scheme val="minor"/>
      </rPr>
      <t xml:space="preserve"> (Android): dùng </t>
    </r>
    <r>
      <rPr>
        <b/>
        <sz val="11"/>
        <color theme="1"/>
        <rFont val="Calibri"/>
        <family val="2"/>
        <scheme val="minor"/>
      </rPr>
      <t>JADX</t>
    </r>
    <r>
      <rPr>
        <sz val="11"/>
        <color theme="1"/>
        <rFont val="Calibri"/>
        <family val="2"/>
        <scheme val="minor"/>
      </rPr>
      <t xml:space="preserve"> hoặc </t>
    </r>
    <r>
      <rPr>
        <b/>
        <sz val="11"/>
        <color theme="1"/>
        <rFont val="Calibri"/>
        <family val="2"/>
        <scheme val="minor"/>
      </rPr>
      <t>APKTool</t>
    </r>
    <r>
      <rPr>
        <sz val="11"/>
        <color theme="1"/>
        <rFont val="Calibri"/>
        <family val="2"/>
        <scheme val="minor"/>
      </rPr>
      <t xml:space="preserve"> để đọc changelog, string resources — thường reveal feature flag và upcoming features chưa public</t>
    </r>
  </si>
  <si>
    <r>
      <t>Active user</t>
    </r>
    <r>
      <rPr>
        <sz val="11"/>
        <color theme="1"/>
        <rFont val="Calibri"/>
        <family val="2"/>
        <scheme val="minor"/>
      </rPr>
      <t xml:space="preserve"> (transact 3–5 lần/tháng, dùng QR/chuyển tiền)</t>
    </r>
  </si>
  <si>
    <t>Google/YouTube</t>
  </si>
  <si>
    <t>SimilarWeb, Semrush</t>
  </si>
  <si>
    <t>Paid search keywords, display banner creatives</t>
  </si>
  <si>
    <t>Đây là kỹ thuật hợp pháp, APK là public trên Play Store</t>
  </si>
  <si>
    <r>
      <t>High-value user</t>
    </r>
    <r>
      <rPr>
        <sz val="11"/>
        <color theme="1"/>
        <rFont val="Calibri"/>
        <family val="2"/>
        <scheme val="minor"/>
      </rPr>
      <t xml:space="preserve"> (nạp ví &gt;2M/tháng, dùng đầu tư/bảo hiểm)</t>
    </r>
  </si>
  <si>
    <t>TikTok</t>
  </si>
  <si>
    <r>
      <t>TikTok Creative Center</t>
    </r>
    <r>
      <rPr>
        <sz val="11"/>
        <color theme="1"/>
        <rFont val="Calibri"/>
        <family val="2"/>
        <scheme val="minor"/>
      </rPr>
      <t xml:space="preserve"> (free)</t>
    </r>
  </si>
  <si>
    <t>Top ads by industry: Finance/Fintech</t>
  </si>
  <si>
    <r>
      <t>Churned user</t>
    </r>
    <r>
      <rPr>
        <sz val="11"/>
        <color theme="1"/>
        <rFont val="Calibri"/>
        <family val="2"/>
        <scheme val="minor"/>
      </rPr>
      <t xml:space="preserve"> (active rồi ngưng 60+ ngày)</t>
    </r>
  </si>
  <si>
    <t>General</t>
  </si>
  <si>
    <t>Sensor Tower, data.ai</t>
  </si>
  <si>
    <t>Download rank correlation với campaign burst</t>
  </si>
  <si>
    <r>
      <t>Vertical-specific user</t>
    </r>
    <r>
      <rPr>
        <sz val="11"/>
        <color theme="1"/>
        <rFont val="Calibri"/>
        <family val="2"/>
        <scheme val="minor"/>
      </rPr>
      <t xml:space="preserve"> (chỉ dùng bill payment, hoặc chỉ grab/food)</t>
    </r>
  </si>
  <si>
    <r>
      <t xml:space="preserve">Mỗi persona dùng </t>
    </r>
    <r>
      <rPr>
        <b/>
        <sz val="11"/>
        <color theme="1"/>
        <rFont val="Calibri"/>
        <family val="2"/>
        <scheme val="minor"/>
      </rPr>
      <t>thiết bị riêng biệt</t>
    </r>
    <r>
      <rPr>
        <sz val="11"/>
        <color theme="1"/>
        <rFont val="Calibri"/>
        <family val="2"/>
        <scheme val="minor"/>
      </rPr>
      <t>, SIM riêng, không cross-contaminate behavior</t>
    </r>
  </si>
  <si>
    <t>Thực hiện scripted behavior mỗi tuần để giữ persona "sống"</t>
  </si>
  <si>
    <t>B. Release Notes Analysis</t>
  </si>
  <si>
    <t>B. Push Notification Harvesting</t>
  </si>
  <si>
    <t>B. App Store Intelligence</t>
  </si>
  <si>
    <t>Tạo tracker Google Sheet: mỗi version mới → copy release notes → tag theo category (UI change / New feature / Performance / Partnership)</t>
  </si>
  <si>
    <t>Dùng thiết bị thật (không emulator — các app như MoMo detect emulator)</t>
  </si>
  <si>
    <r>
      <t xml:space="preserve">Theo dõi </t>
    </r>
    <r>
      <rPr>
        <b/>
        <sz val="11"/>
        <color theme="1"/>
        <rFont val="Calibri"/>
        <family val="2"/>
        <scheme val="minor"/>
      </rPr>
      <t>rating/review spike</t>
    </r>
    <r>
      <rPr>
        <sz val="11"/>
        <color theme="1"/>
        <rFont val="Calibri"/>
        <family val="2"/>
        <scheme val="minor"/>
      </rPr>
      <t xml:space="preserve"> — thường tương quan với UA campaign lớn</t>
    </r>
  </si>
  <si>
    <t>Phân tích ngôn ngữ: nếu release notes mơ hồ ("cải thiện trải nghiệm") → thường là A/B test đang chạy</t>
  </si>
  <si>
    <t>Log toàn bộ push notification theo timestamp, nội dung, deeplink</t>
  </si>
  <si>
    <t>Đọc reviews mới: users hay đề cập "thấy quảng cáo", "được giới thiệu" → signal của referral campaign</t>
  </si>
  <si>
    <r>
      <t xml:space="preserve">Tool: </t>
    </r>
    <r>
      <rPr>
        <b/>
        <sz val="11"/>
        <color theme="1"/>
        <rFont val="Calibri"/>
        <family val="2"/>
        <scheme val="minor"/>
      </rPr>
      <t>Pushbullet</t>
    </r>
    <r>
      <rPr>
        <sz val="11"/>
        <color theme="1"/>
        <rFont val="Calibri"/>
        <family val="2"/>
        <scheme val="minor"/>
      </rPr>
      <t xml:space="preserve"> hoặc </t>
    </r>
    <r>
      <rPr>
        <b/>
        <sz val="11"/>
        <color theme="1"/>
        <rFont val="Calibri"/>
        <family val="2"/>
        <scheme val="minor"/>
      </rPr>
      <t>ADB logcat</t>
    </r>
    <r>
      <rPr>
        <sz val="11"/>
        <color theme="1"/>
        <rFont val="Calibri"/>
        <family val="2"/>
        <scheme val="minor"/>
      </rPr>
      <t xml:space="preserve"> để capture và export notification log</t>
    </r>
  </si>
  <si>
    <r>
      <t xml:space="preserve">Tool: </t>
    </r>
    <r>
      <rPr>
        <b/>
        <sz val="11"/>
        <color theme="1"/>
        <rFont val="Calibri"/>
        <family val="2"/>
        <scheme val="minor"/>
      </rPr>
      <t>AppFollow</t>
    </r>
    <r>
      <rPr>
        <sz val="11"/>
        <color theme="1"/>
        <rFont val="Calibri"/>
        <family val="2"/>
        <scheme val="minor"/>
      </rPr>
      <t xml:space="preserve">, </t>
    </r>
    <r>
      <rPr>
        <b/>
        <sz val="11"/>
        <color theme="1"/>
        <rFont val="Calibri"/>
        <family val="2"/>
        <scheme val="minor"/>
      </rPr>
      <t>AppTweak</t>
    </r>
  </si>
  <si>
    <t>C. In-App Screenshot Protocol</t>
  </si>
  <si>
    <t>C. Referral &amp; Affiliate Tracking</t>
  </si>
  <si>
    <t>C. Beta/TestFlight Monitoring</t>
  </si>
  <si>
    <t>Checklist hàng ngày: mở app → capture Home banner, tab Khuyến mãi, popup khi login</t>
  </si>
  <si>
    <t>Join các group Facebook, Telegram của deal hunters VN (Săn Sale, Hội Mê Deal...)</t>
  </si>
  <si>
    <t>Join Google Play Early Access nếu các app này có chương trình beta</t>
  </si>
  <si>
    <r>
      <t xml:space="preserve">Tần suất: </t>
    </r>
    <r>
      <rPr>
        <b/>
        <sz val="11"/>
        <color theme="1"/>
        <rFont val="Calibri"/>
        <family val="2"/>
        <scheme val="minor"/>
      </rPr>
      <t>sáng (7–9h)</t>
    </r>
    <r>
      <rPr>
        <sz val="11"/>
        <color theme="1"/>
        <rFont val="Calibri"/>
        <family val="2"/>
        <scheme val="minor"/>
      </rPr>
      <t xml:space="preserve"> và </t>
    </r>
    <r>
      <rPr>
        <b/>
        <sz val="11"/>
        <color theme="1"/>
        <rFont val="Calibri"/>
        <family val="2"/>
        <scheme val="minor"/>
      </rPr>
      <t>tối (19–21h)</t>
    </r>
    <r>
      <rPr>
        <sz val="11"/>
        <color theme="1"/>
        <rFont val="Calibri"/>
        <family val="2"/>
        <scheme val="minor"/>
      </rPr>
      <t xml:space="preserve"> — 2 khung giờ peak promotion thường chạy</t>
    </r>
  </si>
  <si>
    <t>Referral code của MoMo/ZaloPay thường bị share ở đây kèm điều kiện → reveal được referral campaign structure</t>
  </si>
  <si>
    <r>
      <t xml:space="preserve">Theo dõi cộng đồng Reddit (r/Vietnam), các tech forum VN như </t>
    </r>
    <r>
      <rPr>
        <b/>
        <sz val="11"/>
        <color theme="1"/>
        <rFont val="Calibri"/>
        <family val="2"/>
        <scheme val="minor"/>
      </rPr>
      <t>Tinh Tế</t>
    </r>
    <r>
      <rPr>
        <sz val="11"/>
        <color theme="1"/>
        <rFont val="Calibri"/>
        <family val="2"/>
        <scheme val="minor"/>
      </rPr>
      <t xml:space="preserve"> — beta users thường post screenshots</t>
    </r>
  </si>
  <si>
    <t>Lưu kèm metadata: timestamp, persona, version app</t>
  </si>
  <si>
    <r>
      <t xml:space="preserve">Monitor </t>
    </r>
    <r>
      <rPr>
        <b/>
        <sz val="11"/>
        <color theme="1"/>
        <rFont val="Calibri"/>
        <family val="2"/>
        <scheme val="minor"/>
      </rPr>
      <t>KOL/Influencer</t>
    </r>
    <r>
      <rPr>
        <sz val="11"/>
        <color theme="1"/>
        <rFont val="Calibri"/>
        <family val="2"/>
        <scheme val="minor"/>
      </rPr>
      <t xml:space="preserve"> posts: search hashtag trên TikTok, Instagram</t>
    </r>
  </si>
  <si>
    <t>D. Công cụ hỗ trợ tự động hóa</t>
  </si>
  <si>
    <t>D. OOH &amp; Performance Signal</t>
  </si>
  <si>
    <t>D. API &amp; Network Traffic Analysis</t>
  </si>
  <si>
    <r>
      <t>Android Debug Bridge (ADB)</t>
    </r>
    <r>
      <rPr>
        <sz val="11"/>
        <color theme="1"/>
        <rFont val="Calibri"/>
        <family val="2"/>
        <scheme val="minor"/>
      </rPr>
      <t xml:space="preserve"> + scripting để tự động screenshot định kỳ</t>
    </r>
  </si>
  <si>
    <t>Google Trends: track brand search volume surge → correlate với offline campaign</t>
  </si>
  <si>
    <r>
      <t xml:space="preserve">Dùng </t>
    </r>
    <r>
      <rPr>
        <b/>
        <sz val="11"/>
        <color theme="1"/>
        <rFont val="Calibri"/>
        <family val="2"/>
        <scheme val="minor"/>
      </rPr>
      <t>Charles Proxy</t>
    </r>
    <r>
      <rPr>
        <sz val="11"/>
        <color theme="1"/>
        <rFont val="Calibri"/>
        <family val="2"/>
        <scheme val="minor"/>
      </rPr>
      <t xml:space="preserve"> hoặc </t>
    </r>
    <r>
      <rPr>
        <b/>
        <sz val="11"/>
        <color theme="1"/>
        <rFont val="Calibri"/>
        <family val="2"/>
        <scheme val="minor"/>
      </rPr>
      <t>mitmproxy</t>
    </r>
    <r>
      <rPr>
        <sz val="11"/>
        <color theme="1"/>
        <rFont val="Calibri"/>
        <family val="2"/>
        <scheme val="minor"/>
      </rPr>
      <t xml:space="preserve"> trên thiết bị test để intercept HTTP traffic</t>
    </r>
  </si>
  <si>
    <r>
      <t>Appium</t>
    </r>
    <r>
      <rPr>
        <sz val="11"/>
        <color theme="1"/>
        <rFont val="Calibri"/>
        <family val="2"/>
        <scheme val="minor"/>
      </rPr>
      <t xml:space="preserve"> (mobile automation) để điều hướng qua các màn hình khuyến mãi</t>
    </r>
  </si>
  <si>
    <r>
      <t>iSpot / Kantar</t>
    </r>
    <r>
      <rPr>
        <sz val="11"/>
        <color theme="1"/>
        <rFont val="Calibri"/>
        <family val="2"/>
        <scheme val="minor"/>
      </rPr>
      <t xml:space="preserve"> (nếu có budget): track TV commercial</t>
    </r>
  </si>
  <si>
    <t>Observe API endpoint naming → thường leak tên feature trước khi launch</t>
  </si>
  <si>
    <r>
      <t>Lưu ý:</t>
    </r>
    <r>
      <rPr>
        <sz val="11"/>
        <color theme="1"/>
        <rFont val="Calibri"/>
        <family val="2"/>
        <scheme val="minor"/>
      </rPr>
      <t xml:space="preserve"> Chỉ dùng trên thiết bị cá nhân, không vi phạm ToS ở mức commercial scraping</t>
    </r>
  </si>
  <si>
    <r>
      <t>Lưu ý pháp lý:</t>
    </r>
    <r>
      <rPr>
        <sz val="11"/>
        <color theme="1"/>
        <rFont val="Calibri"/>
        <family val="2"/>
        <scheme val="minor"/>
      </rPr>
      <t xml:space="preserve"> Chỉ làm trên tài khoản/thiết bị của chính mình</t>
    </r>
  </si>
  <si>
    <t>SOURCE INGESTION</t>
  </si>
  <si>
    <t>STT</t>
  </si>
  <si>
    <t>Domain trọng yếu</t>
  </si>
  <si>
    <t>Phạm vi</t>
  </si>
  <si>
    <t>Superapp Benchmark
Theo dõi và phân tích các mô hình Super-App tiêu biểu trên thế giới</t>
  </si>
  <si>
    <t>Chiến lược tăng trưởng người dùng và tăng mức độ sử dụng
Tích hợp AI vào trải nghiệm người dùng và discovery dịch vụ</t>
  </si>
  <si>
    <t>GENK AI
VNEconomy TechConnect
VNEconomy TechTalk
VNEconomy TechLifestyle
Dân trí Công nghệ
VNExpress Công nghệ
Bloomberg AI
Bloomberg Consumer Tech
Techcrunch – App</t>
  </si>
  <si>
    <t>Xu hướng công nghệ
Theo dõi các xu hướng công nghệ, AI có khả năng thay đổi hành vi người dùng super-app</t>
  </si>
  <si>
    <t>AI assistant / AI agent
AI tìm kiếm &amp; gợi ý dịch vụ
AI cá nhân hóa trải nghiệm
AI tích hợp vào ứng dụng 
Hạ tầng số và nền tảng quốc gia</t>
  </si>
  <si>
    <t>Hệ sinh thái thanh toán &amp; dịch vụ tài chính
Theo dõi sự phát triển của hạ tầng thanh toán và dịch vụ tài chính số</t>
  </si>
  <si>
    <t>Hạ tầng giao dịch
Dịch vụ tài chính trong hệ sinh thái số
Use case thanh toán mới, tích hợp đối tác tài chính</t>
  </si>
  <si>
    <t>Báo Tin Tức – TT tiền tệ
VnEconomy TechConnect
Tech in Asia – Fintech</t>
  </si>
  <si>
    <t>Chính sách và khung pháp lý
Theo dõi các thay đổi pháp lý có thể ảnh hưởng tới V-App</t>
  </si>
  <si>
    <t>Chính sách fintech
Chính sách thanh toán
Khung pháp lý về AI, phát triển ứng dụng, etc</t>
  </si>
  <si>
    <t>Thư viện pháp luật
Luật Việt Nam</t>
  </si>
  <si>
    <t>Đối thủ cạnh tranh
Theo dõi hoạt động của các players trên thị trường để nhận biết chiến lược</t>
  </si>
  <si>
    <t>Chiến lược mở rộng hệ sinh thái dịch vụ (tích hợp dịch vụ mới, hợp tác với đối tác,…)
Chiến lược/ chiến dịch tang trường người dùng
Cải tiến về sản phẩm / tận dụng AI trong sản phẩm</t>
  </si>
  <si>
    <t>Momo website
Zalopay website
Momo fanpage
Zalopay fanpage
GenK ICT</t>
  </si>
  <si>
    <t>FRAMEWORK ĐÁNH GIÁ MARKET SIGNAL</t>
  </si>
  <si>
    <t>Market Signal Scoring Matrix
- Một tin với signal score &gt;= 5 sẽ được đưa vào Markret Signal Weekly
- Một tin với signal score &gt;= 8 sẽ được vào highlight/ key signal</t>
  </si>
  <si>
    <t>Tiêu chí</t>
  </si>
  <si>
    <t>Định nghĩa</t>
  </si>
  <si>
    <t>Câu hỏi đánh giá</t>
  </si>
  <si>
    <t>Điểm</t>
  </si>
  <si>
    <t>Mức độ liên quan trực tiếp của thông tin tới mô hình kinh doanh và hệ sinh thái của Super-App</t>
  </si>
  <si>
    <t>Thông tin này có liên quan tới AI, trải nghiệm ứng dụng, hệ sinh thái dịch vụ, thanh toán số hoặc mô hình nền tảng không?</t>
  </si>
  <si>
    <t>0–2</t>
  </si>
  <si>
    <t>Impact to growth drivers</t>
  </si>
  <si>
    <t>Mức độ ảnh hưởng tới các động lực tăng trưởng của Super-App</t>
  </si>
  <si>
    <t>Thông tin này có khả năng ảnh hưởng tới acquisition, engagement, transaction hoặc ecosystem expansion không?</t>
  </si>
  <si>
    <t>Competitive implication</t>
  </si>
  <si>
    <t>Mức độ phản ánh hành động chiến lược của đối thủ hoặc platform lớn</t>
  </si>
  <si>
    <t>Scalability / Adoption potential</t>
  </si>
  <si>
    <t>Khả năng xu hướng hoặc mô hình được các nền tảng khác áp dụng</t>
  </si>
  <si>
    <t>Xu hướng hoặc mô hình này có khả năng lan rộng trong ngành không?</t>
  </si>
  <si>
    <t>Strategic novelty</t>
  </si>
  <si>
    <t>Mức độ mới hoặc đột phá của mô hình / giải pháp được đề cập</t>
  </si>
  <si>
    <t>Đây có phải là cách tiếp cận mới trong sản phẩm, trải nghiệm hoặc chiến lược nền tảng không?</t>
  </si>
  <si>
    <t>Signal Level</t>
  </si>
  <si>
    <t>Ý nghĩa</t>
  </si>
  <si>
    <t>Tin không liên quan hoặc không có ý nghĩa chiến lược</t>
  </si>
  <si>
    <t>3–4</t>
  </si>
  <si>
    <t>Market Update</t>
  </si>
  <si>
    <t>Tin đáng chú ý nhưng không phản ánh xu hướng hoặc chiến lược</t>
  </si>
  <si>
    <t>5–7</t>
  </si>
  <si>
    <t>Competitive Signal</t>
  </si>
  <si>
    <t>Hành động cụ thể của một player thể hiện chiến lược sản phẩm / growth</t>
  </si>
  <si>
    <t>8–10</t>
  </si>
  <si>
    <t>Market / Strategic Signal</t>
  </si>
  <si>
    <t>Xu hướng thị trường có khả năng ảnh hưởng nhiều player hoặc
Thay đổi lớn có thể ảnh hưởng tới thị trường</t>
  </si>
  <si>
    <t>Signal</t>
  </si>
  <si>
    <t>User behavior signal</t>
  </si>
  <si>
    <t>Digital discovery shift</t>
  </si>
  <si>
    <t>Người dùng chuyển sang tìm dịch vụ qua AI hoặc chat</t>
  </si>
  <si>
    <t>Mobile-first behavior</t>
  </si>
  <si>
    <t>Người dùng ưu tiên trải nghiệm di động</t>
  </si>
  <si>
    <t>Payment behavior change</t>
  </si>
  <si>
    <t>Thói quen thanh toán số thay đổi</t>
  </si>
  <si>
    <t>Multi-service usage</t>
  </si>
  <si>
    <t>Người dùng sử dụng nhiều dịch vụ trong một app</t>
  </si>
  <si>
    <t>Trust in digital identity</t>
  </si>
  <si>
    <t>Tăng sử dụng định danh điện tử</t>
  </si>
  <si>
    <t>Product &amp; Experience signal</t>
  </si>
  <si>
    <t>AI-driven experience</t>
  </si>
  <si>
    <t>AI trở thành giao diện chính</t>
  </si>
  <si>
    <t>Conversational interface</t>
  </si>
  <si>
    <t>Chat trở thành cách tương tác chính</t>
  </si>
  <si>
    <t>Hyper-personalization</t>
  </si>
  <si>
    <t>Cá nhân hóa sâu trong ứng dụng</t>
  </si>
  <si>
    <t>Super-app integration</t>
  </si>
  <si>
    <t>Tích hợp nhiều dịch vụ trong một app</t>
  </si>
  <si>
    <t>Seamless service flow</t>
  </si>
  <si>
    <t>Hành trình dịch vụ liền mạch</t>
  </si>
  <si>
    <t>Ecosystem strategy signal</t>
  </si>
  <si>
    <t>Mở rộng dịch vụ trong nền tảng</t>
  </si>
  <si>
    <t>Mini-app ecosystem</t>
  </si>
  <si>
    <t>Cho phép đối tác xây mini-app</t>
  </si>
  <si>
    <t>Partner-driven growth</t>
  </si>
  <si>
    <t>Tăng trưởng dựa vào đối tác</t>
  </si>
  <si>
    <t>Platform bundling</t>
  </si>
  <si>
    <t>Kết hợp nhiều dịch vụ</t>
  </si>
  <si>
    <t>Service aggregation</t>
  </si>
  <si>
    <t>Tập trung dịch vụ vào một ứng dụng</t>
  </si>
  <si>
    <t>Fintech &amp; transaction signal</t>
  </si>
  <si>
    <t>Embedded finance</t>
  </si>
  <si>
    <t>Tài chính tích hợp trong dịch vụ</t>
  </si>
  <si>
    <t>Payment use-case expansion</t>
  </si>
  <si>
    <t>Mở rộng use case thanh toán</t>
  </si>
  <si>
    <t>Financial partnership strategy</t>
  </si>
  <si>
    <t>Hợp tác với tổ chức tài chính</t>
  </si>
  <si>
    <t>Wallet ecosystem growth</t>
  </si>
  <si>
    <t>Mở rộng hệ sinh thái ví</t>
  </si>
  <si>
    <t>Transaction-driven engagement</t>
  </si>
  <si>
    <t>Thanh toán để tăng engagement</t>
  </si>
  <si>
    <t>Competitive strategy signal</t>
  </si>
  <si>
    <t>Growth campaign strategy</t>
  </si>
  <si>
    <t>Chiến lược marketing tăng trưởng</t>
  </si>
  <si>
    <t>Feature competition</t>
  </si>
  <si>
    <t>Cạnh tranh tính năng</t>
  </si>
  <si>
    <t>Ecosystem positioning</t>
  </si>
  <si>
    <t>Định vị hệ sinh thái</t>
  </si>
  <si>
    <t>Platform differentiation</t>
  </si>
  <si>
    <t>Khác biệt hóa nền tảng</t>
  </si>
  <si>
    <t>Strategic partnership</t>
  </si>
  <si>
    <t>Hợp tác chiến lược</t>
  </si>
  <si>
    <t>Check</t>
  </si>
  <si>
    <t>Meta và Google bị phạt vì nền tảng mạng xã hội gây nghiện cho người dùng | Báo Dân trí</t>
  </si>
  <si>
    <t>iOS 27 sẽ giúp trợ lý ảo Siri "lột xác" | Báo Dân trí</t>
  </si>
  <si>
    <t>Tái diễn chiêu trò lừa đảo chiếm đoạt tài khoản Telegram tại Việt Nam | Báo Dân trí</t>
  </si>
  <si>
    <t>OpenAI lên kế hoạch ra mắt “siêu ứng dụng” trên máy tính</t>
  </si>
  <si>
    <t>Cơn ác mộng của marketing: OpenClaw có thể làm mất dấu ấn thương hiệu, biến App thành vô hình, giao diện phần mềm UI/UX trở nên vô dụng</t>
  </si>
  <si>
    <t>OpenClaw khiến 30 năm kinh nghiệm Excel trở nên vô nghĩa: Đây có phải ngày tàn của ‘kỹ năng sử dụng máy tính’ văn phòng?</t>
  </si>
  <si>
    <t>OpenAI đột ngột khai tử công cụ tạo video Sora, Disney "ngỡ ngàng" khi thỏa thuận 1 tỷ USD bay màu</t>
  </si>
  <si>
    <t>Chính sách mới có hiệu lực tháng 4/2026</t>
  </si>
  <si>
    <t>Thông tư 18/2026/TT-BTC: Quy định hồ sơ, thủ tục quản lý thuế cho hộ kinh doanh</t>
  </si>
  <si>
    <t>Thông tư 30/2025/TT-NHNN: Sửa đổi Thông tư 15/2024 về dịch vụ thanh toán không dùng tiền mặt</t>
  </si>
  <si>
    <t>WhatsApp can now draft AI-generated responses based on your conversations | TechCrunch</t>
  </si>
  <si>
    <t>Apple overhauls its app developer platform with 100 new metrics, more tools | TechCrunch</t>
  </si>
  <si>
    <t>Meta turns to AI to make shopping easier on Instagram and Facebook | TechCrunch</t>
  </si>
  <si>
    <t>Apple Music partners with Ticketmaster to power its concert discovery feature | TechCrunch</t>
  </si>
  <si>
    <t>TikTok ads are about to get a tad more disruptive | TechCrunch</t>
  </si>
  <si>
    <t>Sắp áp dụng quy chuẩn an toàn cho smartphone tại Việt Nam - Báo VnExpress</t>
  </si>
  <si>
    <t>Việt Nam quản lý AI thế nào theo luật mới? - Báo VnExpress</t>
  </si>
  <si>
    <t>AI Users Gain New Option to Transfer Chat History to Google Gemini - Bloomberg</t>
  </si>
  <si>
    <t>Samsung Phones Can Now Share With iPhones Using Apple’s AirDrop Protocol - Bloomberg</t>
  </si>
  <si>
    <t>Đi làm tiện lợi, tiết kiệm hơn– Quét MoMo đi Metro, nhận voucher xe công nghệ giảm 50%</t>
  </si>
  <si>
    <t>Sale cuối tháng - duy nhất 25.3: Combo du lịch lễ giảm đến 2 triệu trên MoMo Travel!</t>
  </si>
  <si>
    <t>[19/3 - 31/3] HOÀN NGAY 4K KHI CHUYỂN 2K TỪ NGÂN HÀNG ĐẾN SỐ MOMO CỦA BẢN THÂN</t>
  </si>
  <si>
    <t>MoMo ra mắt tính năng “Cập nhật số điện thoại”: Chuyển tài khoản MoMo sang số điện thoại mới</t>
  </si>
  <si>
    <t>Rút Thông Điệp- Mở Yêu Thương: Khui Kho Quà 500 Triệu Cùng Hàng Loạt Ưu Đãi Khủng</t>
  </si>
  <si>
    <t>Mua Shopee qua tính năng Hoàn Tiền Mua Sắm: Hoàn tiền đến 30% &amp; tặng thêm 20K cho lần đầu đặt đơn</t>
  </si>
  <si>
    <t>Ưu đãi hời nhất tháng: Giảm đến 45K mua iCloud+, lưu mọi ảnh, dữ liệu</t>
  </si>
  <si>
    <t>Lần đầu có trên MoMo: Giảm đến 45K khi đăng ký YouTube Premium</t>
  </si>
  <si>
    <t>Ưu đãi hời nhất tháng: Giảm đến 45K nạp game, leo rank mùa giải mới</t>
  </si>
  <si>
    <t>Tech in Asia - Connecting Asia's startup ecosystem</t>
  </si>
  <si>
    <t>Shopee, TikTok Shop's dominance squeezes Vietnam’s couriers</t>
  </si>
  <si>
    <t>Alibaba, Tencent lose $66b as AI bets lack clear payoff</t>
  </si>
  <si>
    <t>Ecommerce &amp; Online Shopping News in Asia - Tech in Asia</t>
  </si>
  <si>
    <t>Meta tests AI shopping pop-up on Facebook, Instagram</t>
  </si>
  <si>
    <t>ZaloPay App</t>
  </si>
  <si>
    <t>Giảm 50k đặt phòng Go2 Hoy cho mọi đơn từ 100k - Miniapp (29/3)</t>
  </si>
  <si>
    <t>Giảm 80k vé máy bay khứ hồi từ 6 triệu - đến 31/3 - đặt dịch vụ qua Zalopay</t>
  </si>
  <si>
    <t>Giảm 1% tối đa 20k đơn từ 100k khi trả khoản vay bằng Zalopay</t>
  </si>
  <si>
    <t>Giảm 20% đặt vé phim - Tối đa 15k đơn từ 50k - 31/3</t>
  </si>
  <si>
    <t>Giảm 1k đơn từ 100k cho thanh toán Điện/ Nước/ Internet/ Học phí qua Zalopay - 31/3</t>
  </si>
  <si>
    <t>Giảm 50% tối đa 10k - Đơn từ 1k - Nạp game - 4/4 - Áp dụng nạp game bằng Zalopay tại cổng nạp game của NPH: VNGGames, VMGE Game, ACE Game, JoyGames, MiGame, OEG Game</t>
  </si>
  <si>
    <t>Lễ lớn, không chờ lương - Đi đã trả sau - 20/3 - 04/5/2026 - Dùng Zalopay thanh toán Du lịch - đi lại</t>
  </si>
  <si>
    <t>Vào hội bay rẻ - Cam kết rẻ hơn đến 20% - Khách hàng lần đầu thanh toán máy bay, KH đã từng thanh toán máy bay</t>
  </si>
  <si>
    <t>Đua top săn vé Concert 33+ (Gaihome) - 26/3 - 26/4/2026</t>
  </si>
  <si>
    <t>Trợ giá xăng dầu cho vé máy bay, tàu xe - Giảm tới 30% khi nhập code KHONGTANGGIA</t>
  </si>
  <si>
    <t>Thanh toán tại Trung Quốc, Singapore bằng Zalopay</t>
  </si>
  <si>
    <t>Quét QR chuyển khairn - Rinh thưởng 30k - 12/3 - 30/3</t>
  </si>
  <si>
    <t>Mừng bạn quay trở lại - Tặng bạn 5000 xu - 11/2 - 31/5</t>
  </si>
  <si>
    <t>Nhận ưu đãi nạp game Funtap - 11/3 - 31/3 - 50% max 100k cho KH mới và 50% max 15k cho KH cũ</t>
  </si>
  <si>
    <t>Momo App</t>
  </si>
  <si>
    <t>MoMo Day - Giảm 50% - 25/3 - 31/3 - Tổng quà 1 tỷ</t>
  </si>
  <si>
    <t>modified_date</t>
  </si>
  <si>
    <t>https://baotintuc.vn/thi-truong-tien-te-587ct128/d1-4-2026.htm</t>
  </si>
  <si>
    <t>https://baotintuc.vn/thi-truong-tien-te-587ct128/d2-4-2026.htm</t>
  </si>
  <si>
    <t>https://baotintuc.vn/thi-truong-tien-te-587ct128/d28-3-2026.htm</t>
  </si>
  <si>
    <t>https://baotintuc.vn/thi-truong-tien-te-587ct128/d29-3-2026.htm</t>
  </si>
  <si>
    <t>https://baotintuc.vn/thi-truong-tien-te-587ct128/d30-3-2026.htm</t>
  </si>
  <si>
    <t>https://baotintuc.vn/thi-truong-tien-te-587ct128/d31-3-2026.htm</t>
  </si>
  <si>
    <t>https://baotintuc.vn/thi-truong-tien-te-587ct128/d3-4-2026.htm</t>
  </si>
  <si>
    <t>https://dantri.com.vn/cong-nghe/ai-internet/from/2026-03-28/to/2026-04-03.htm</t>
  </si>
  <si>
    <t>Đổi thiết bị không xác thực lại khuôn mặt sẽ bị khóa 2 chiều sau 30 ngày | Báo Dân trí</t>
  </si>
  <si>
    <t>"Con gà đẻ trứng vàng" của Anthropic bị lộ mã nguồn | Báo Dân trí</t>
  </si>
  <si>
    <t>Instagram thử nghiệm gói Plus, thu phí người dùng | Báo Dân trí</t>
  </si>
  <si>
    <t>Tiết lộ mới về mối quan hệ giữa Apple và Google | Báo Dân trí</t>
  </si>
  <si>
    <t>https://dantri.com.vn/cong-nghe/an-ninh-mang/from/2026-03-28/to/2026-04-03.htm</t>
  </si>
  <si>
    <t>Công ty làm lộ tài liệu nội bộ, hé mở mô hình AI có thể tấn công mạng | Báo Dân trí</t>
  </si>
  <si>
    <t>https://genk.vn/ai/1-4-2026.chn</t>
  </si>
  <si>
    <t>https://genk.vn/ai/2-4-2026.chn</t>
  </si>
  <si>
    <t>https://genk.vn/ai/28-3-2026.chn</t>
  </si>
  <si>
    <t>https://genk.vn/ai/29-3-2026.chn</t>
  </si>
  <si>
    <t>https://genk.vn/ai/30-3-2026.chn</t>
  </si>
  <si>
    <t>https://genk.vn/ai/31-3-2026.chn</t>
  </si>
  <si>
    <t>https://genk.vn/ai/3-4-2026.chn</t>
  </si>
  <si>
    <t>https://genk.vn/tin-ict/1-4-2026.chn</t>
  </si>
  <si>
    <t>https://genk.vn/shopee-debut-chuyen-diem-roi-truyen-thong-thanh-tang-truong-doanh-thu-cho-san-pham-moi-165260401182203244.chn</t>
  </si>
  <si>
    <t>https://genk.vn/tin-ict/2-4-2026.chn</t>
  </si>
  <si>
    <t>https://genk.vn/tin-ict/28-3-2026.chn</t>
  </si>
  <si>
    <t>https://genk.vn/tin-ict/29-3-2026.chn</t>
  </si>
  <si>
    <t>https://genk.vn/tin-ict/30-3-2026.chn</t>
  </si>
  <si>
    <t>https://genk.vn/tin-ict/31-3-2026.chn</t>
  </si>
  <si>
    <t>https://genk.vn/tin-ict/3-4-2026.chn</t>
  </si>
  <si>
    <t>https://thuvienphapluat.vn/page/tim-van-ban.aspx?keyword=nhnn&amp;area=0&amp;type=0&amp;status=0&amp;lan=1&amp;org=0&amp;signer=0&amp;match=True&amp;sort=1&amp;bdate=28-03-2026&amp;edate=03-04-2026</t>
  </si>
  <si>
    <t>https://vnba.org.vn/vi/hashtag/fintech-7831</t>
  </si>
  <si>
    <t>https://vnexpress.net/category/day/cateid/1006219/fromdate/1774656000/todate/1775174400/allcate/1006219</t>
  </si>
  <si>
    <t>https://vnexpress.net/chinh-sach-moi-ve-so-huu-tri-tue-co-hieu-luc-5056589.html</t>
  </si>
  <si>
    <t>https://www.bloomberg.com/news/articles/2026-03-31/airbnb-adds-third-party-private-car-pickups-in-latest-services-push?srnd=phx-technology-consumer-tech</t>
  </si>
  <si>
    <t>https://www.bloomberg.com/news/newsletters/2026-03-29/apple-doubles-down-on-hardware-services-with-revamped-ai-strategy-rare-bonuses-mnbpiwon?srnd=phx-technology-consumer-tech</t>
  </si>
  <si>
    <t>https://genk.vn/ai/4-4-2026.chn</t>
  </si>
  <si>
    <t>https://genk.vn/tin-ict/4-4-2026.chn</t>
  </si>
  <si>
    <t>https://baotintuc.vn/thi-truong-tien-te-587ct128/d4-4-2026.htm</t>
  </si>
  <si>
    <t>https://dantri.com.vn/cong-nghe/ai-internet/from/2026-04-04/to/2026-04-10.htm</t>
  </si>
  <si>
    <t>https://dantri.com.vn/cong-nghe/an-ninh-mang/from/2026-04-04/to/2026-04-10.htm</t>
  </si>
  <si>
    <t>https://vnexpress.net/category/day/cateid/1006219/fromdate/1775260800/todate/1775779200/allcate/1006219</t>
  </si>
  <si>
    <t>https://vnexpress.net/nhom-sieu-tri-tue-cua-meta-ra-mo-hinh-ai-dau-tien-5060261.html</t>
  </si>
  <si>
    <t>https://vnexpress.net/vi-sao-messenger-canh-bao-co-nguoi-chup-man-hinh-5059197.html</t>
  </si>
  <si>
    <t>https://vnexpress.net/microsoft-copilot-chi-cho-muc-dich-giai-tri-5058376.html</t>
  </si>
  <si>
    <t>https://www.bloomberg.com/news/articles/2026-04-07/google-adds-mental-health-tools-to-gemini-chatbot-after-lawsuit?srnd=phx-technology-consumer-tech</t>
  </si>
  <si>
    <t>https://thuvienphapluat.vn/page/tim-van-ban.aspx?keyword=nhnn&amp;area=0&amp;type=0&amp;status=0&amp;lan=1&amp;org=0&amp;signer=0&amp;match=True&amp;sort=1&amp;bdate=04-04-2026&amp;edate=10-04-2026</t>
  </si>
  <si>
    <t>https://baotintuc.vn/thi-truong-tien-te-587ct128/d5-4-2026.htm</t>
  </si>
  <si>
    <t>https://baotintuc.vn/thi-truong-tien-te-587ct128/d6-4-2026.htm</t>
  </si>
  <si>
    <t>https://baotintuc.vn/thi-truong-tien-te-587ct128/d7-4-2026.htm</t>
  </si>
  <si>
    <t>https://baotintuc.vn/thi-truong-tien-te-587ct128/d8-4-2026.htm</t>
  </si>
  <si>
    <t>https://baotintuc.vn/thi-truong-tien-te-587ct128/d9-4-2026.htm</t>
  </si>
  <si>
    <t>https://baotintuc.vn/thi-truong-tien-te-587ct128/d10-4-2026.htm</t>
  </si>
  <si>
    <t>https://genk.vn/ai/5-4-2026.chn</t>
  </si>
  <si>
    <t>https://genk.vn/ai/6-4-2026.chn</t>
  </si>
  <si>
    <t>https://genk.vn/ai/7-4-2026.chn</t>
  </si>
  <si>
    <t>https://genk.vn/ai/8-4-2026.chn</t>
  </si>
  <si>
    <t>https://genk.vn/ai/9-4-2026.chn</t>
  </si>
  <si>
    <t>https://genk.vn/ai/10-4-2026.chn</t>
  </si>
  <si>
    <t>https://genk.vn/tin-ict/5-4-2026.chn</t>
  </si>
  <si>
    <t>https://genk.vn/tin-ict/6-4-2026.chn</t>
  </si>
  <si>
    <t>https://genk.vn/tin-ict/7-4-2026.chn</t>
  </si>
  <si>
    <t>https://genk.vn/tin-ict/8-4-2026.chn</t>
  </si>
  <si>
    <t>https://genk.vn/tin-ict/9-4-2026.chn</t>
  </si>
  <si>
    <t>https://genk.vn/tin-ict/10-4-2026.chn</t>
  </si>
  <si>
    <t>21/4</t>
  </si>
  <si>
    <t>https://genk.vn/ai/11-4-2026.chn</t>
  </si>
  <si>
    <t>https://genk.vn/tin-ict/11-4-2026.chn</t>
  </si>
  <si>
    <t>https://baotintuc.vn/thi-truong-tien-te-587ct128/d11-4-2026.htm</t>
  </si>
  <si>
    <t>https://dantri.com.vn/cong-nghe/ai-internet/from/2026-04-11/to/2026-04-17.htm</t>
  </si>
  <si>
    <t>https://dantri.com.vn/cong-nghe/an-ninh-mang/from/2026-04-11/to/2026-04-17.htm</t>
  </si>
  <si>
    <t>https://vnexpress.net/category/day/cateid/1006219/fromdate/1775865600/todate/1776384000/allcate/1006219</t>
  </si>
  <si>
    <t>https://vnexpress.net/nguoi-viet-co-the-ket-noi-du-lieu-gmail-youtube-de-ca-nhan-hoa-gemini-5062631.html</t>
  </si>
  <si>
    <t>https://www.bloomberg.com/news/articles/2026-04-16/roku-s-platform-crosses-100-million-users-fueling-ad-business?srnd=phx-technology-consumer-tech</t>
  </si>
  <si>
    <t>https://www.bloomberg.com/news/articles/2026-04-15/google-debuts-standalone-gemini-app-for-apple-s-macos?srnd=phx-technology-consumer-tech</t>
  </si>
  <si>
    <t>https://www.bloomberg.com/news/articles/2026-04-14/alibaba-readies-first-robot-for-foray-into-crowded-chinese-arena?srnd=phx-technology-consumer-tech</t>
  </si>
  <si>
    <t>https://www.bloomberg.com/news/articles/2026-04-13/roblox-adds-youth-accounts-as-push-for-social-media-bans-grows?srnd=phx-technology-consumer-tech</t>
  </si>
  <si>
    <t>https://techcrunch.com/2026/04/16/google-now-lets-you-explore-the-web-side-by-side-with-ai-mode/</t>
  </si>
  <si>
    <t>https://techcrunch.com/2026/04/16/google-adds-nano-banana-powered-image-generation-to-geminis-personal-intelligence/</t>
  </si>
  <si>
    <t>https://techcrunch.com/2026/04/14/google-brings-its-gemini-personal-intelligence-feature-to-india/</t>
  </si>
  <si>
    <t>https://techcrunch.com/2026/04/14/how-vibe-coding-app-anything-is-rebuilding-after-getting-booted-from-the-app-store-twice/</t>
  </si>
  <si>
    <t>https://techcrunch.com/2026/04/13/roblox-introduces-kids-and-select-accounts-for-age-appropriate-access-to-games-and-chat/</t>
  </si>
  <si>
    <t>https://thuvienphapluat.vn/page/tim-van-ban.aspx?keyword=nhnn&amp;area=0&amp;type=0&amp;status=0&amp;lan=1&amp;org=0&amp;signer=0&amp;match=True&amp;sort=1&amp;bdate=11-04-2026&amp;edate=17-04-2026</t>
  </si>
  <si>
    <t>https://www.techinasia.com/grabs-early-backer-sees-ai</t>
  </si>
  <si>
    <t>https://www.techinasia.com/news/shopee-lazada-lead-sea-ecommerce-growth</t>
  </si>
  <si>
    <t>https://www.scmp.com/tech/article/3350720/bytedance-profit-plunges-ai-push-tiktok-shop-powers-overseas-growth-reports?module=top_story&amp;pgtype=section</t>
  </si>
  <si>
    <t>https://baotintuc.vn/thi-truong-tien-te-587ct128/d12-4-2026.htm</t>
  </si>
  <si>
    <t>https://baotintuc.vn/thi-truong-tien-te-587ct128/d13-4-2026.htm</t>
  </si>
  <si>
    <t>https://baotintuc.vn/thi-truong-tien-te-587ct128/d14-4-2026.htm</t>
  </si>
  <si>
    <t>https://baotintuc.vn/thi-truong-tien-te-587ct128/d15-4-2026.htm</t>
  </si>
  <si>
    <t>https://baotintuc.vn/thi-truong-tien-te-587ct128/d16-4-2026.htm</t>
  </si>
  <si>
    <t>https://baotintuc.vn/thi-truong-tien-te-587ct128/d17-4-2026.htm</t>
  </si>
  <si>
    <t>https://genk.vn/ai/12-4-2026.chn</t>
  </si>
  <si>
    <t>https://genk.vn/ai/13-4-2026.chn</t>
  </si>
  <si>
    <t>https://genk.vn/ai/14-4-2026.chn</t>
  </si>
  <si>
    <t>https://genk.vn/ai/15-4-2026.chn</t>
  </si>
  <si>
    <t>https://genk.vn/ai/16-4-2026.chn</t>
  </si>
  <si>
    <t>https://genk.vn/ai/17-4-2026.chn</t>
  </si>
  <si>
    <t>https://genk.vn/google-them-skills-vao-chrome-luu-cau-lenh-gemini-nhan-mot-nut-dung-lai-165261604150311505.chn</t>
  </si>
  <si>
    <t>https://genk.vn/tin-ict/12-4-2026.chn</t>
  </si>
  <si>
    <t>https://genk.vn/tin-ict/13-4-2026.chn</t>
  </si>
  <si>
    <t>https://genk.vn/tin-ict/14-4-2026.chn</t>
  </si>
  <si>
    <t>https://genk.vn/tin-ict/15-4-2026.chn</t>
  </si>
  <si>
    <t>https://genk.vn/tin-ict/16-4-2026.chn</t>
  </si>
  <si>
    <t>https://genk.vn/tin-ict/17-4-2026.chn</t>
  </si>
  <si>
    <t>18/04</t>
  </si>
  <si>
    <t>https://genk.vn/ai/18-4-2026.chn</t>
  </si>
  <si>
    <t>https://genk.vn/tin-ict/18-4-2026.chn</t>
  </si>
  <si>
    <t>https://baotintuc.vn/thi-truong-tien-te-587ct128/d18-4-2026.htm</t>
  </si>
  <si>
    <t>https://dantri.com.vn/cong-nghe/ai-internet/from/2026-04-18/to/2026-04-24.htm</t>
  </si>
  <si>
    <t>https://dantri.com.vn/cong-nghe/an-ninh-mang/from/2026-04-18/to/2026-04-24.htm</t>
  </si>
  <si>
    <t>https://vnexpress.net/category/day/cateid/1006219/fromdate/1776470400/todate/1776988800/allcate/1006219</t>
  </si>
  <si>
    <t>https://vnexpress.net/chatgpt-cai-thien-tao-chu-viet-tieng-viet-trong-anh-5065463.html</t>
  </si>
  <si>
    <t>https://vnexpress.net/tong-thong-indonesia-chiet-khau-cac-nen-tang-goi-xe-phai-duoi-10-5069151.html</t>
  </si>
  <si>
    <t>https://www.bloomberg.com/news/articles/2026-04-29/uber-adds-hotel-bookings-to-its-app-through-new-expedia-partnership?srnd=phx-technology-consumer-tech</t>
  </si>
  <si>
    <t>https://www.techinasia.com/news/ant-international-links-150-million-merchants-with-ai-payments</t>
  </si>
  <si>
    <t>https://techcrunch.com/2026/04/23/openai-chatgpt-gpt-5-5-ai-model-superapp/</t>
  </si>
  <si>
    <t>https://techcrunch.com/2026/04/21/chatgpts-new-images-2-0-model-is-surprisingly-good-at-generating-text/</t>
  </si>
  <si>
    <t>https://thuvienphapluat.vn/page/tim-van-ban.aspx?keyword=nhnn&amp;area=0&amp;type=0&amp;status=0&amp;lan=1&amp;org=0&amp;signer=0&amp;match=True&amp;sort=1&amp;bdate=18-04-2026&amp;edate=24-04-2026</t>
  </si>
  <si>
    <t>https://vnba.org.vn/vi/mo-tai-khoan-momo-tren-ung-dung-mbbank--nhan-uu-dai-den-1-6-trieu-dong-21582.htm</t>
  </si>
  <si>
    <t>https://miniapp.zaloplatforms.com/blog</t>
  </si>
  <si>
    <t>https://miniapp.zaloplatforms.com/blog/zalo-mini-shop-cap-nhat-thay-doi-va-chinh-sach-nam-2026</t>
  </si>
  <si>
    <t>https://baotintuc.vn/thi-truong-tien-te-587ct128/d19-4-2026.htm</t>
  </si>
  <si>
    <t>https://baotintuc.vn/thi-truong-tien-te-587ct128/d20-4-2026.htm</t>
  </si>
  <si>
    <t>https://baotintuc.vn/thi-truong-tien-te-587ct128/d21-4-2026.htm</t>
  </si>
  <si>
    <t>https://baotintuc.vn/thi-truong-tien-te-587ct128/d22-4-2026.htm</t>
  </si>
  <si>
    <t>https://baotintuc.vn/thi-truong-tien-te-587ct128/d23-4-2026.htm</t>
  </si>
  <si>
    <t>https://baotintuc.vn/thi-truong-tien-te-587ct128/d24-4-2026.htm</t>
  </si>
  <si>
    <t>https://genk.vn/ai/19-4-2026.chn</t>
  </si>
  <si>
    <t>https://genk.vn/ai/20-4-2026.chn</t>
  </si>
  <si>
    <t>https://genk.vn/ai/21-4-2026.chn</t>
  </si>
  <si>
    <t>https://genk.vn/ai/22-4-2026.chn</t>
  </si>
  <si>
    <t>https://genk.vn/ai/23-4-2026.chn</t>
  </si>
  <si>
    <t>https://genk.vn/ai/24-4-2026.chn</t>
  </si>
  <si>
    <t>https://genk.vn/tin-ict/19-4-2026.chn</t>
  </si>
  <si>
    <t>https://genk.vn/tin-ict/20-4-2026.chn</t>
  </si>
  <si>
    <t>https://genk.vn/tin-ict/21-4-2026.chn</t>
  </si>
  <si>
    <t>https://genk.vn/tin-ict/22-4-2026.chn</t>
  </si>
  <si>
    <t>https://genk.vn/tin-ict/23-4-2026.chn</t>
  </si>
  <si>
    <t>https://genk.vn/tin-ict/24-4-2026.chn</t>
  </si>
  <si>
    <t>https://genk.vn/ai/25-4-2026.chn</t>
  </si>
  <si>
    <t>https://genk.vn/tin-ict/25-4-2026.chn</t>
  </si>
  <si>
    <t>https://genk.vn/cong-an-cong-bo-tin-nhan-phai-xoa-ngay-neu-khong-muon-mat-tien-trong-tai-khoan-165260425191304771.chn</t>
  </si>
  <si>
    <t>https://genk.vn/cu-dan-mang-viet-nam-mat-ngu-vi-mot-tinh-nang-moi-tren-chatgpt-16526042519113388.chn</t>
  </si>
  <si>
    <t>https://baotintuc.vn/thi-truong-tien-te-587ct128/d25-4-2026.htm</t>
  </si>
  <si>
    <t>https://dantri.com.vn/cong-nghe/ai-internet/from/2026-04-25/to/2026-05-01.htm</t>
  </si>
  <si>
    <t>https://dantri.com.vn/cong-nghe/an-ninh-mang/from/2026-04-25/to/2026-05-01.htm</t>
  </si>
  <si>
    <t>https://dantri.com.vn/cong-nghe/xac-thuc-sinh-trac-hoc-khong-con-an-toan-tuyet-doi-20260428194441456.htm</t>
  </si>
  <si>
    <t>https://vnexpress.net/category/day/cateid/1006219/fromdate/1777075200/todate/1777593600/allcate/1006219</t>
  </si>
  <si>
    <t>https://vnexpress.net/vingroup-phat-trien-ngon-ngu-llm-trong-chien-luoc-ai-5067101.html</t>
  </si>
  <si>
    <t>https://thuvienphapluat.vn/page/tim-van-ban.aspx?keyword=nhnn&amp;area=0&amp;type=0&amp;status=0&amp;lan=1&amp;org=0&amp;signer=0&amp;match=True&amp;sort=1&amp;bdate=25-04-2026&amp;edate=01-05-2026</t>
  </si>
  <si>
    <t>https://baotintuc.vn/thi-truong-tien-te-587ct128/d26-4-2026.htm</t>
  </si>
  <si>
    <t>https://baotintuc.vn/thi-truong-tien-te-587ct128/d27-4-2026.htm</t>
  </si>
  <si>
    <t>https://baotintuc.vn/thi-truong-tien-te-587ct128/d28-4-2026.htm</t>
  </si>
  <si>
    <t>https://baotintuc.vn/thi-truong-tien-te-587ct128/d29-4-2026.htm</t>
  </si>
  <si>
    <t>https://baotintuc.vn/thi-truong-tien-te-587ct128/d30-4-2026.htm</t>
  </si>
  <si>
    <t>https://baotintuc.vn/thi-truong-tien-te-587ct128/d1-5-2026.htm</t>
  </si>
  <si>
    <t>https://genk.vn/ai/26-4-2026.chn</t>
  </si>
  <si>
    <t>https://genk.vn/ai/27-4-2026.chn</t>
  </si>
  <si>
    <t>https://genk.vn/ai/28-4-2026.chn</t>
  </si>
  <si>
    <t>https://genk.vn/ai/29-4-2026.chn</t>
  </si>
  <si>
    <t>https://genk.vn/ai/30-4-2026.chn</t>
  </si>
  <si>
    <t>https://genk.vn/ai/1-5-2026.chn</t>
  </si>
  <si>
    <t>https://genk.vn/tin-ict/26-4-2026.chn</t>
  </si>
  <si>
    <t>https://genk.vn/tin-ict/27-4-2026.chn</t>
  </si>
  <si>
    <t>https://genk.vn/tin-ict/28-4-2026.chn</t>
  </si>
  <si>
    <t>https://genk.vn/tat-ca-nguoi-dung-zalo-can-biet-neu-nhan-duoc-thong-bao-nay-trong-vong-7-ngay-de-khong-bi-mat-tai-khoan-165260427225612318.chn</t>
  </si>
  <si>
    <t>https://genk.vn/tin-ict/29-4-2026.chn</t>
  </si>
  <si>
    <t>https://genk.vn/tin-ict/30-4-2026.chn</t>
  </si>
  <si>
    <t>https://genk.vn/tin-ict/1-5-2026.chn</t>
  </si>
  <si>
    <t>https://vnexpress.net/category/day/cateid/1003159/fromdate/1777075200/todate/1777593600/allcate/1006219</t>
  </si>
  <si>
    <t>https://vnexpress.net/loat-uu-dai-cho-nguoi-dung-dat-ve-xem-phim-tren-ung-dung-ngan-hang-5067423.html</t>
  </si>
  <si>
    <t>https://luatvietnam.vn/chinh-sach-moi-hang-thang/chinh-sach-moi-co-hieu-luc-thang-4-2026-559-107852-article.html</t>
  </si>
  <si>
    <t>https://www.techinasia.com/news/meta-tests-ai-shopping-pop-up-on-facebook-instagram</t>
  </si>
  <si>
    <t>https://dantri.com.vn/cong-nghe/instagram-thu-nghiem-goi-plus-thu-phi-nguoi-dung-20260331120043285.htm</t>
  </si>
  <si>
    <t>https://www.scmp.com/tech/big-tech/article/3349552/alibabas-qwen-family-captures-over-50-global-open-source-downloads-report-finds?module=top_story&amp;pgtype=section</t>
  </si>
  <si>
    <t>https://www.scmp.com/tech/article/3349696/tencent-moves-rein-ai-content-flood-wechat-stricter-rules?module=top_story&amp;pgtype=section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</si>
</sst>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yyyy"/>
    <numFmt numFmtId="165" formatCode="0.0"/>
    <numFmt numFmtId="166" formatCode="yyyy\-mm\-dd;@"/>
    <numFmt numFmtId="167" formatCode="yyyy\-mm\-dd\ hh:mm"/>
    <numFmt numFmtId="168" formatCode="yyyy\-mm\-dd"/>
  </numFmts>
  <fonts count="41">
    <font>
      <sz val="11"/>
      <color theme="1"/>
      <name val="Calibri"/>
      <family val="2"/>
      <scheme val="minor"/>
    </font>
    <font>
      <u/>
      <sz val="11"/>
      <color theme="10"/>
      <name val="Calibri"/>
      <family val="2"/>
      <scheme val="minor"/>
    </font>
    <font>
      <sz val="8"/>
      <name val="Calibri"/>
      <family val="2"/>
      <scheme val="minor"/>
    </font>
    <font>
      <b/>
      <sz val="11"/>
      <color theme="1"/>
      <name val="Calibri"/>
      <family val="2"/>
      <scheme val="minor"/>
    </font>
    <font>
      <sz val="11"/>
      <name val="Calibri"/>
      <family val="2"/>
      <scheme val="minor"/>
    </font>
    <font>
      <sz val="11"/>
      <color theme="1"/>
      <name val="Calibri"/>
      <family val="2"/>
      <scheme val="minor"/>
    </font>
    <font>
      <sz val="11"/>
      <color rgb="FF006100"/>
      <name val="Calibri"/>
      <family val="2"/>
      <scheme val="minor"/>
    </font>
    <font>
      <b/>
      <sz val="11"/>
      <color theme="0"/>
      <name val="Calibri"/>
      <family val="2"/>
      <scheme val="minor"/>
    </font>
    <font>
      <b/>
      <sz val="14"/>
      <color rgb="FFC00000"/>
      <name val="Calibri"/>
      <family val="2"/>
      <scheme val="minor"/>
    </font>
    <font>
      <i/>
      <sz val="11"/>
      <color rgb="FF7F7F7F"/>
      <name val="Calibri"/>
      <family val="2"/>
      <scheme val="minor"/>
    </font>
    <font>
      <sz val="11"/>
      <color theme="0"/>
      <name val="Calibri"/>
      <family val="2"/>
      <scheme val="minor"/>
    </font>
    <font>
      <sz val="10"/>
      <color theme="1"/>
      <name val="Calibri"/>
      <family val="2"/>
      <scheme val="minor"/>
    </font>
    <font>
      <i/>
      <sz val="10"/>
      <color theme="5" tint="-0.249977111117893"/>
      <name val="Calibri"/>
      <family val="2"/>
      <scheme val="minor"/>
    </font>
    <font>
      <i/>
      <sz val="10"/>
      <color rgb="FF7F7F7F"/>
      <name val="Calibri"/>
      <family val="2"/>
      <scheme val="minor"/>
    </font>
    <font>
      <i/>
      <sz val="10"/>
      <color theme="1"/>
      <name val="Calibri"/>
      <family val="2"/>
      <scheme val="minor"/>
    </font>
    <font>
      <sz val="18"/>
      <name val="Arial"/>
      <family val="2"/>
    </font>
    <font>
      <i/>
      <sz val="11"/>
      <color theme="1"/>
      <name val="Calibri"/>
      <family val="2"/>
      <scheme val="minor"/>
    </font>
    <font>
      <b/>
      <sz val="11"/>
      <color rgb="FFFA7D00"/>
      <name val="Calibri"/>
      <family val="2"/>
      <scheme val="minor"/>
    </font>
    <font>
      <sz val="11"/>
      <color rgb="FFFF0000"/>
      <name val="Calibri"/>
      <family val="2"/>
      <scheme val="minor"/>
    </font>
    <font>
      <sz val="16"/>
      <color theme="1"/>
      <name val="Lexend"/>
    </font>
    <font>
      <b/>
      <sz val="8"/>
      <color theme="1"/>
      <name val="Lexend"/>
    </font>
    <font>
      <b/>
      <sz val="20"/>
      <color rgb="FFC00000"/>
      <name val="Lexend"/>
    </font>
    <font>
      <b/>
      <sz val="20"/>
      <color theme="1"/>
      <name val="Lexend"/>
    </font>
    <font>
      <b/>
      <sz val="20"/>
      <color theme="1" tint="0.499984740745262"/>
      <name val="Lexend"/>
    </font>
    <font>
      <b/>
      <sz val="20"/>
      <color rgb="FFA50064"/>
      <name val="Lexend"/>
    </font>
    <font>
      <sz val="20"/>
      <color theme="1"/>
      <name val="Lexend"/>
    </font>
    <font>
      <b/>
      <sz val="20"/>
      <color rgb="FF0068FF"/>
      <name val="Lexend"/>
    </font>
    <font>
      <b/>
      <sz val="20"/>
      <color rgb="FF03CA77"/>
      <name val="Lexend"/>
    </font>
    <font>
      <b/>
      <sz val="18"/>
      <color theme="1"/>
      <name val="Calibri"/>
      <family val="2"/>
      <scheme val="minor"/>
    </font>
    <font>
      <b/>
      <sz val="13.5"/>
      <color theme="1"/>
      <name val="Calibri"/>
      <family val="2"/>
      <scheme val="minor"/>
    </font>
    <font>
      <sz val="10"/>
      <color theme="1"/>
      <name val="Arial Unicode MS"/>
    </font>
    <font>
      <b/>
      <sz val="10"/>
      <color theme="1"/>
      <name val="Lexend"/>
    </font>
    <font>
      <sz val="12"/>
      <color theme="1"/>
      <name val="Lexend"/>
    </font>
    <font>
      <u/>
      <sz val="12"/>
      <color theme="10"/>
      <name val="Lexend"/>
    </font>
    <font>
      <b/>
      <sz val="16"/>
      <color theme="0"/>
      <name val="Lexend"/>
    </font>
    <font>
      <b/>
      <sz val="16"/>
      <color theme="1"/>
      <name val="Lexend"/>
    </font>
    <font>
      <sz val="14"/>
      <color theme="1"/>
      <name val="Lexend"/>
    </font>
    <font>
      <b/>
      <sz val="11"/>
      <color rgb="FFC00000"/>
      <name val="Calibri"/>
      <family val="2"/>
      <scheme val="minor"/>
    </font>
    <font>
      <i/>
      <sz val="11"/>
      <color theme="1" tint="0.499984740745262"/>
      <name val="Calibri"/>
      <family val="2"/>
      <scheme val="minor"/>
    </font>
    <font>
      <b/>
      <sz val="14"/>
      <color theme="1"/>
      <name val="Calibri"/>
      <family val="2"/>
      <scheme val="minor"/>
    </font>
    <font>
      <sz val="11"/>
      <color rgb="FFC00000"/>
      <name val="Calibri"/>
      <family val="2"/>
      <scheme val="minor"/>
    </font>
  </fonts>
  <fills count="40">
    <fill>
      <patternFill patternType="none"/>
    </fill>
    <fill>
      <patternFill patternType="gray125"/>
    </fill>
    <fill>
      <patternFill patternType="solid">
        <fgColor rgb="FFC6EFCE"/>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4"/>
        <bgColor indexed="64"/>
      </patternFill>
    </fill>
    <fill>
      <patternFill patternType="solid">
        <fgColor theme="7"/>
        <bgColor indexed="64"/>
      </patternFill>
    </fill>
    <fill>
      <patternFill patternType="solid">
        <fgColor theme="9" tint="0.79998168889431442"/>
        <bgColor indexed="64"/>
      </patternFill>
    </fill>
    <fill>
      <patternFill patternType="solid">
        <fgColor rgb="FFFFFFCC"/>
      </patternFill>
    </fill>
    <fill>
      <patternFill patternType="solid">
        <fgColor theme="0"/>
        <bgColor indexed="64"/>
      </patternFill>
    </fill>
    <fill>
      <patternFill patternType="solid">
        <fgColor rgb="FF1E5968"/>
        <bgColor indexed="64"/>
      </patternFill>
    </fill>
    <fill>
      <patternFill patternType="solid">
        <fgColor rgb="FF72121C"/>
        <bgColor indexed="64"/>
      </patternFill>
    </fill>
    <fill>
      <patternFill patternType="solid">
        <fgColor rgb="FF13737F"/>
        <bgColor indexed="64"/>
      </patternFill>
    </fill>
    <fill>
      <patternFill patternType="solid">
        <fgColor rgb="FFB01D24"/>
        <bgColor indexed="64"/>
      </patternFill>
    </fill>
    <fill>
      <patternFill patternType="solid">
        <fgColor rgb="FF75B2A2"/>
        <bgColor indexed="64"/>
      </patternFill>
    </fill>
    <fill>
      <patternFill patternType="solid">
        <fgColor rgb="FFDC2F1E"/>
        <bgColor indexed="64"/>
      </patternFill>
    </fill>
    <fill>
      <patternFill patternType="solid">
        <fgColor rgb="FFACB8A0"/>
        <bgColor indexed="64"/>
      </patternFill>
    </fill>
    <fill>
      <patternFill patternType="solid">
        <fgColor rgb="FFE9913A"/>
        <bgColor indexed="64"/>
      </patternFill>
    </fill>
    <fill>
      <patternFill patternType="solid">
        <fgColor rgb="FFF0B885"/>
        <bgColor indexed="64"/>
      </patternFill>
    </fill>
    <fill>
      <patternFill patternType="solid">
        <fgColor rgb="FFB8C35D"/>
        <bgColor indexed="64"/>
      </patternFill>
    </fill>
    <fill>
      <patternFill patternType="solid">
        <fgColor rgb="FFC00000"/>
        <bgColor indexed="64"/>
      </patternFill>
    </fill>
    <fill>
      <patternFill patternType="solid">
        <fgColor rgb="FF1F497D"/>
        <bgColor indexed="64"/>
      </patternFill>
    </fill>
    <fill>
      <patternFill patternType="solid">
        <fgColor rgb="FFF2F2F2"/>
      </patternFill>
    </fill>
    <fill>
      <patternFill patternType="solid">
        <fgColor rgb="FFFFFF00"/>
        <bgColor indexed="64"/>
      </patternFill>
    </fill>
    <fill>
      <patternFill patternType="solid">
        <fgColor rgb="FFD7E7F5"/>
        <bgColor indexed="64"/>
      </patternFill>
    </fill>
    <fill>
      <patternFill patternType="solid">
        <fgColor rgb="FFE2ECEE"/>
        <bgColor indexed="64"/>
      </patternFill>
    </fill>
    <fill>
      <patternFill patternType="solid">
        <fgColor theme="5" tint="0.79998168889431442"/>
        <bgColor indexed="64"/>
      </patternFill>
    </fill>
    <fill>
      <patternFill patternType="solid">
        <fgColor rgb="FFFFEFF9"/>
        <bgColor indexed="64"/>
      </patternFill>
    </fill>
    <fill>
      <patternFill patternType="solid">
        <fgColor rgb="FFD9E1F2"/>
        <bgColor indexed="64"/>
      </patternFill>
    </fill>
    <fill>
      <patternFill patternType="solid">
        <fgColor rgb="FFE2EFDA"/>
        <bgColor indexed="64"/>
      </patternFill>
    </fill>
    <fill>
      <patternFill patternType="solid">
        <fgColor rgb="FFFCE4D6"/>
        <bgColor indexed="64"/>
      </patternFill>
    </fill>
    <fill>
      <patternFill patternType="solid">
        <fgColor rgb="FFFEDEE5"/>
        <bgColor indexed="64"/>
      </patternFill>
    </fill>
    <fill>
      <patternFill patternType="solid">
        <fgColor rgb="FFFFF2CC"/>
        <bgColor indexed="64"/>
      </patternFill>
    </fill>
    <fill>
      <patternFill patternType="solid">
        <fgColor theme="1"/>
        <bgColor indexed="64"/>
      </patternFill>
    </fill>
    <fill>
      <patternFill patternType="solid">
        <fgColor rgb="FFFF4062"/>
        <bgColor indexed="64"/>
      </patternFill>
    </fill>
    <fill>
      <patternFill patternType="solid">
        <fgColor rgb="FFFFD6DD"/>
        <bgColor indexed="64"/>
      </patternFill>
    </fill>
    <fill>
      <patternFill patternType="solid">
        <fgColor theme="1" tint="0.499984740745262"/>
        <bgColor indexed="64"/>
      </patternFill>
    </fill>
    <fill>
      <patternFill patternType="solid">
        <fgColor theme="9"/>
        <bgColor indexed="64"/>
      </patternFill>
    </fill>
    <fill>
      <patternFill patternType="solid">
        <fgColor theme="7" tint="0.59999389629810485"/>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hair">
        <color theme="1" tint="0.499984740745262"/>
      </bottom>
      <diagonal/>
    </border>
    <border>
      <left/>
      <right/>
      <top style="hair">
        <color theme="1" tint="0.499984740745262"/>
      </top>
      <bottom style="hair">
        <color theme="1" tint="0.499984740745262"/>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hair">
        <color theme="1" tint="0.499984740745262"/>
      </bottom>
      <diagonal/>
    </border>
    <border>
      <left/>
      <right style="medium">
        <color indexed="64"/>
      </right>
      <top/>
      <bottom style="hair">
        <color theme="1" tint="0.499984740745262"/>
      </bottom>
      <diagonal/>
    </border>
    <border>
      <left style="medium">
        <color indexed="64"/>
      </left>
      <right/>
      <top style="hair">
        <color theme="1" tint="0.499984740745262"/>
      </top>
      <bottom style="hair">
        <color theme="1" tint="0.499984740745262"/>
      </bottom>
      <diagonal/>
    </border>
    <border>
      <left/>
      <right style="medium">
        <color indexed="64"/>
      </right>
      <top style="hair">
        <color theme="1" tint="0.499984740745262"/>
      </top>
      <bottom style="hair">
        <color theme="1" tint="0.499984740745262"/>
      </bottom>
      <diagonal/>
    </border>
    <border>
      <left style="medium">
        <color indexed="64"/>
      </left>
      <right/>
      <top style="hair">
        <color theme="1" tint="0.499984740745262"/>
      </top>
      <bottom style="medium">
        <color indexed="64"/>
      </bottom>
      <diagonal/>
    </border>
    <border>
      <left/>
      <right/>
      <top style="hair">
        <color theme="1" tint="0.499984740745262"/>
      </top>
      <bottom style="medium">
        <color indexed="64"/>
      </bottom>
      <diagonal/>
    </border>
    <border>
      <left/>
      <right style="medium">
        <color indexed="64"/>
      </right>
      <top style="hair">
        <color theme="1" tint="0.499984740745262"/>
      </top>
      <bottom style="medium">
        <color indexed="64"/>
      </bottom>
      <diagonal/>
    </border>
    <border>
      <left style="thin">
        <color rgb="FF7F7F7F"/>
      </left>
      <right style="thin">
        <color rgb="FF7F7F7F"/>
      </right>
      <top style="thin">
        <color rgb="FF7F7F7F"/>
      </top>
      <bottom style="thin">
        <color rgb="FF7F7F7F"/>
      </bottom>
      <diagonal/>
    </border>
    <border>
      <left style="thick">
        <color theme="0" tint="-4.9989318521683403E-2"/>
      </left>
      <right style="thick">
        <color theme="0" tint="-4.9989318521683403E-2"/>
      </right>
      <top style="thick">
        <color theme="0" tint="-4.9989318521683403E-2"/>
      </top>
      <bottom style="thick">
        <color theme="0" tint="-4.9989318521683403E-2"/>
      </bottom>
      <diagonal/>
    </border>
    <border>
      <left/>
      <right style="hair">
        <color theme="0" tint="-0.24994659260841701"/>
      </right>
      <top/>
      <bottom/>
      <diagonal/>
    </border>
    <border>
      <left style="hair">
        <color theme="0" tint="-0.24994659260841701"/>
      </left>
      <right style="hair">
        <color theme="0" tint="-0.24994659260841701"/>
      </right>
      <top/>
      <bottom/>
      <diagonal/>
    </border>
    <border>
      <left style="hair">
        <color theme="0" tint="-0.24994659260841701"/>
      </left>
      <right/>
      <top/>
      <bottom/>
      <diagonal/>
    </border>
    <border>
      <left style="hair">
        <color theme="0" tint="-0.24994659260841701"/>
      </left>
      <right style="thick">
        <color theme="7" tint="0.39997558519241921"/>
      </right>
      <top/>
      <bottom/>
      <diagonal/>
    </border>
    <border>
      <left style="thick">
        <color rgb="FFB80072"/>
      </left>
      <right style="hair">
        <color theme="0" tint="-0.24994659260841701"/>
      </right>
      <top/>
      <bottom/>
      <diagonal/>
    </border>
    <border>
      <left style="thick">
        <color theme="5" tint="-0.249977111117893"/>
      </left>
      <right style="hair">
        <color theme="0" tint="-0.24994659260841701"/>
      </right>
      <top/>
      <bottom/>
      <diagonal/>
    </border>
    <border>
      <left style="thick">
        <color theme="7" tint="0.39997558519241921"/>
      </left>
      <right style="hair">
        <color theme="0" tint="-0.24994659260841701"/>
      </right>
      <top/>
      <bottom/>
      <diagonal/>
    </border>
    <border>
      <left style="thin">
        <color rgb="FFB2B2B2"/>
      </left>
      <right style="thin">
        <color rgb="FFB2B2B2"/>
      </right>
      <top style="thin">
        <color rgb="FFB2B2B2"/>
      </top>
      <bottom/>
      <diagonal/>
    </border>
    <border>
      <left/>
      <right style="thick">
        <color theme="0"/>
      </right>
      <top/>
      <bottom/>
      <diagonal/>
    </border>
    <border>
      <left style="thick">
        <color theme="0"/>
      </left>
      <right style="thick">
        <color theme="0"/>
      </right>
      <top/>
      <bottom/>
      <diagonal/>
    </border>
    <border>
      <left style="thin">
        <color indexed="64"/>
      </left>
      <right style="thin">
        <color indexed="64"/>
      </right>
      <top/>
      <bottom style="thin">
        <color theme="0" tint="-0.34998626667073579"/>
      </bottom>
      <diagonal/>
    </border>
    <border>
      <left style="thin">
        <color indexed="64"/>
      </left>
      <right style="thin">
        <color indexed="64"/>
      </right>
      <top style="thin">
        <color theme="0" tint="-0.34998626667073579"/>
      </top>
      <bottom style="thin">
        <color theme="0" tint="-0.34998626667073579"/>
      </bottom>
      <diagonal/>
    </border>
    <border>
      <left style="thin">
        <color indexed="64"/>
      </left>
      <right style="thin">
        <color indexed="64"/>
      </right>
      <top style="thin">
        <color theme="0" tint="-0.34998626667073579"/>
      </top>
      <bottom style="thin">
        <color indexed="64"/>
      </bottom>
      <diagonal/>
    </border>
    <border>
      <left style="thin">
        <color indexed="64"/>
      </left>
      <right style="thin">
        <color indexed="64"/>
      </right>
      <top style="thin">
        <color theme="0" tint="-0.34998626667073579"/>
      </top>
      <bottom/>
      <diagonal/>
    </border>
    <border>
      <left style="thick">
        <color theme="0"/>
      </left>
      <right/>
      <top/>
      <bottom/>
      <diagonal/>
    </border>
  </borders>
  <cellStyleXfs count="8">
    <xf numFmtId="0" fontId="0" fillId="0" borderId="0"/>
    <xf numFmtId="0" fontId="1" fillId="0" borderId="0" applyNumberFormat="0" applyFill="0" applyBorder="0" applyAlignment="0" applyProtection="0"/>
    <xf numFmtId="9" fontId="5" fillId="0" borderId="0" applyFont="0" applyFill="0" applyBorder="0" applyAlignment="0" applyProtection="0"/>
    <xf numFmtId="0" fontId="6" fillId="2" borderId="0" applyNumberFormat="0" applyBorder="0" applyAlignment="0" applyProtection="0"/>
    <xf numFmtId="0" fontId="5" fillId="9" borderId="21" applyNumberFormat="0" applyFont="0" applyAlignment="0" applyProtection="0"/>
    <xf numFmtId="0" fontId="9" fillId="0" borderId="0" applyNumberFormat="0" applyFill="0" applyBorder="0" applyAlignment="0" applyProtection="0"/>
    <xf numFmtId="0" fontId="17" fillId="23" borderId="42" applyNumberFormat="0" applyAlignment="0" applyProtection="0"/>
    <xf numFmtId="0" fontId="18" fillId="0" borderId="0" applyNumberFormat="0" applyFill="0" applyBorder="0" applyAlignment="0" applyProtection="0"/>
  </cellStyleXfs>
  <cellXfs count="353">
    <xf numFmtId="0" fontId="0" fillId="0" borderId="0" xfId="0"/>
    <xf numFmtId="0" fontId="0" fillId="0" borderId="0" xfId="0" applyAlignment="1">
      <alignment horizontal="left" vertical="center"/>
    </xf>
    <xf numFmtId="164" fontId="0" fillId="0" borderId="0" xfId="0" applyNumberFormat="1" applyAlignment="1">
      <alignment horizontal="left" vertical="center"/>
    </xf>
    <xf numFmtId="0" fontId="0" fillId="0" borderId="0" xfId="0" quotePrefix="1" applyAlignment="1">
      <alignment horizontal="left" vertical="center" wrapText="1"/>
    </xf>
    <xf numFmtId="0" fontId="0" fillId="0" borderId="0" xfId="0" applyAlignment="1">
      <alignment horizontal="left" vertical="center" wrapText="1"/>
    </xf>
    <xf numFmtId="164" fontId="4" fillId="0" borderId="0" xfId="1" applyNumberFormat="1" applyFont="1" applyAlignment="1">
      <alignment horizontal="left" vertical="center"/>
    </xf>
    <xf numFmtId="1" fontId="0" fillId="0" borderId="0" xfId="0" applyNumberFormat="1" applyAlignment="1">
      <alignment horizontal="left" vertical="center"/>
    </xf>
    <xf numFmtId="0" fontId="3" fillId="0" borderId="0" xfId="0" applyFont="1" applyAlignment="1">
      <alignment horizontal="left" vertical="center"/>
    </xf>
    <xf numFmtId="164" fontId="3" fillId="0" borderId="0" xfId="0" applyNumberFormat="1" applyFont="1" applyAlignment="1">
      <alignment horizontal="left" vertical="center"/>
    </xf>
    <xf numFmtId="0" fontId="1" fillId="0" borderId="0" xfId="1" applyAlignment="1">
      <alignment horizontal="left" vertical="center"/>
    </xf>
    <xf numFmtId="0" fontId="1" fillId="0" borderId="0" xfId="1" applyAlignment="1">
      <alignment vertical="center"/>
    </xf>
    <xf numFmtId="0" fontId="3" fillId="3" borderId="0" xfId="0" applyFont="1" applyFill="1" applyAlignment="1">
      <alignment horizontal="center" vertical="center"/>
    </xf>
    <xf numFmtId="0" fontId="3" fillId="3" borderId="0" xfId="0" applyFont="1" applyFill="1" applyAlignment="1">
      <alignment horizontal="center" vertical="center" wrapText="1"/>
    </xf>
    <xf numFmtId="0" fontId="0" fillId="0" borderId="0" xfId="0" applyAlignment="1">
      <alignment horizontal="center" vertical="center"/>
    </xf>
    <xf numFmtId="0" fontId="0" fillId="0" borderId="0" xfId="0" applyAlignment="1">
      <alignment horizontal="left" vertical="center" indent="1"/>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0" fillId="0" borderId="1" xfId="0" quotePrefix="1" applyBorder="1" applyAlignment="1">
      <alignment horizontal="left" vertical="center" wrapText="1"/>
    </xf>
    <xf numFmtId="0" fontId="0" fillId="0" borderId="1" xfId="0" applyBorder="1" applyAlignment="1">
      <alignment horizontal="center" vertical="center" wrapText="1"/>
    </xf>
    <xf numFmtId="0" fontId="0" fillId="0" borderId="1" xfId="0" quotePrefix="1" applyBorder="1" applyAlignment="1">
      <alignment horizontal="center" vertical="center" wrapText="1"/>
    </xf>
    <xf numFmtId="2" fontId="0" fillId="0" borderId="1" xfId="0" applyNumberFormat="1" applyBorder="1" applyAlignment="1">
      <alignment horizontal="center" vertical="center"/>
    </xf>
    <xf numFmtId="0" fontId="0" fillId="0" borderId="1" xfId="0" quotePrefix="1" applyBorder="1" applyAlignment="1">
      <alignment horizontal="left" vertical="center"/>
    </xf>
    <xf numFmtId="0" fontId="0" fillId="3" borderId="4" xfId="0" applyFill="1" applyBorder="1" applyAlignment="1">
      <alignment horizontal="center" vertical="center"/>
    </xf>
    <xf numFmtId="0" fontId="3" fillId="4" borderId="4" xfId="0" applyFont="1" applyFill="1" applyBorder="1" applyAlignment="1">
      <alignment horizontal="center" vertical="center"/>
    </xf>
    <xf numFmtId="0" fontId="0" fillId="4" borderId="4" xfId="0" applyFill="1" applyBorder="1" applyAlignment="1">
      <alignment horizontal="center" vertical="center"/>
    </xf>
    <xf numFmtId="9" fontId="6" fillId="2" borderId="5" xfId="3" applyNumberFormat="1" applyBorder="1" applyAlignment="1">
      <alignment horizontal="center" vertical="center"/>
    </xf>
    <xf numFmtId="0" fontId="0" fillId="0" borderId="2" xfId="0" applyBorder="1" applyAlignment="1">
      <alignment horizontal="center" vertical="center"/>
    </xf>
    <xf numFmtId="0" fontId="3" fillId="3" borderId="11" xfId="0" applyFont="1" applyFill="1" applyBorder="1" applyAlignment="1">
      <alignment horizontal="center" vertical="center" wrapText="1"/>
    </xf>
    <xf numFmtId="165" fontId="0" fillId="0" borderId="1" xfId="0" applyNumberFormat="1" applyBorder="1" applyAlignment="1">
      <alignment horizontal="center" vertical="center"/>
    </xf>
    <xf numFmtId="9" fontId="0" fillId="0" borderId="3" xfId="2" applyFont="1" applyBorder="1" applyAlignment="1">
      <alignment horizontal="center" vertical="center"/>
    </xf>
    <xf numFmtId="166" fontId="0" fillId="0" borderId="0" xfId="0" applyNumberFormat="1"/>
    <xf numFmtId="0" fontId="1" fillId="0" borderId="0" xfId="1"/>
    <xf numFmtId="166" fontId="1" fillId="0" borderId="0" xfId="1" applyNumberFormat="1"/>
    <xf numFmtId="167" fontId="0" fillId="0" borderId="0" xfId="0" applyNumberFormat="1"/>
    <xf numFmtId="168" fontId="0" fillId="0" borderId="0" xfId="0" applyNumberFormat="1"/>
    <xf numFmtId="0" fontId="0" fillId="6" borderId="0" xfId="0" applyFill="1" applyAlignment="1">
      <alignment horizontal="left" vertical="center"/>
    </xf>
    <xf numFmtId="0" fontId="0" fillId="6" borderId="0" xfId="0" applyFill="1" applyAlignment="1">
      <alignment horizontal="left" vertical="center" wrapText="1"/>
    </xf>
    <xf numFmtId="0" fontId="0" fillId="0" borderId="0" xfId="0" applyAlignment="1">
      <alignment horizontal="center"/>
    </xf>
    <xf numFmtId="0" fontId="0" fillId="10" borderId="0" xfId="0" applyFill="1" applyAlignment="1">
      <alignment horizontal="left"/>
    </xf>
    <xf numFmtId="0" fontId="0" fillId="10" borderId="0" xfId="0" applyFill="1"/>
    <xf numFmtId="0" fontId="3" fillId="10" borderId="25" xfId="0" applyFont="1" applyFill="1" applyBorder="1" applyAlignment="1">
      <alignment horizontal="left"/>
    </xf>
    <xf numFmtId="0" fontId="0" fillId="10" borderId="26" xfId="0" applyFill="1" applyBorder="1"/>
    <xf numFmtId="0" fontId="0" fillId="10" borderId="25" xfId="0" applyFill="1" applyBorder="1" applyAlignment="1">
      <alignment horizontal="left"/>
    </xf>
    <xf numFmtId="0" fontId="0" fillId="10" borderId="27" xfId="0" applyFill="1" applyBorder="1" applyAlignment="1">
      <alignment horizontal="left"/>
    </xf>
    <xf numFmtId="0" fontId="0" fillId="10" borderId="28" xfId="0" applyFill="1" applyBorder="1" applyAlignment="1">
      <alignment horizontal="left"/>
    </xf>
    <xf numFmtId="0" fontId="0" fillId="10" borderId="28" xfId="0" applyFill="1" applyBorder="1"/>
    <xf numFmtId="0" fontId="0" fillId="10" borderId="29" xfId="0" applyFill="1" applyBorder="1"/>
    <xf numFmtId="0" fontId="0" fillId="10" borderId="26" xfId="0" applyFill="1" applyBorder="1" applyAlignment="1">
      <alignment horizontal="left"/>
    </xf>
    <xf numFmtId="0" fontId="0" fillId="10" borderId="0" xfId="0" applyFill="1" applyAlignment="1">
      <alignment horizontal="left" vertical="center"/>
    </xf>
    <xf numFmtId="0" fontId="0" fillId="10" borderId="29" xfId="0" applyFill="1" applyBorder="1" applyAlignment="1">
      <alignment horizontal="left"/>
    </xf>
    <xf numFmtId="0" fontId="3" fillId="5" borderId="22" xfId="0" applyFont="1" applyFill="1" applyBorder="1" applyAlignment="1">
      <alignment horizontal="left"/>
    </xf>
    <xf numFmtId="0" fontId="0" fillId="5" borderId="24" xfId="0" applyFill="1" applyBorder="1" applyAlignment="1">
      <alignment horizontal="left"/>
    </xf>
    <xf numFmtId="0" fontId="0" fillId="5" borderId="23" xfId="0" applyFill="1" applyBorder="1" applyAlignment="1">
      <alignment horizontal="left"/>
    </xf>
    <xf numFmtId="0" fontId="0" fillId="5" borderId="23" xfId="0" applyFill="1" applyBorder="1"/>
    <xf numFmtId="0" fontId="0" fillId="5" borderId="24" xfId="0" applyFill="1" applyBorder="1"/>
    <xf numFmtId="0" fontId="3" fillId="10" borderId="0" xfId="0" applyFont="1" applyFill="1" applyAlignment="1">
      <alignment horizontal="left"/>
    </xf>
    <xf numFmtId="0" fontId="0" fillId="10" borderId="1" xfId="0" applyFill="1" applyBorder="1" applyAlignment="1">
      <alignment horizontal="left"/>
    </xf>
    <xf numFmtId="0" fontId="0" fillId="10" borderId="1" xfId="0" applyFill="1" applyBorder="1" applyAlignment="1">
      <alignment horizontal="center" vertical="center"/>
    </xf>
    <xf numFmtId="0" fontId="3" fillId="10" borderId="0" xfId="0" applyFont="1" applyFill="1" applyAlignment="1">
      <alignment horizontal="center" vertical="center"/>
    </xf>
    <xf numFmtId="0" fontId="3" fillId="5" borderId="0" xfId="0" applyFont="1" applyFill="1" applyAlignment="1">
      <alignment horizontal="left"/>
    </xf>
    <xf numFmtId="0" fontId="0" fillId="5" borderId="0" xfId="0" applyFill="1" applyAlignment="1">
      <alignment horizontal="left"/>
    </xf>
    <xf numFmtId="0" fontId="3" fillId="0" borderId="0" xfId="0" applyFont="1"/>
    <xf numFmtId="166" fontId="3" fillId="0" borderId="0" xfId="0" applyNumberFormat="1" applyFont="1"/>
    <xf numFmtId="167" fontId="3" fillId="0" borderId="0" xfId="0" applyNumberFormat="1" applyFont="1"/>
    <xf numFmtId="0" fontId="3" fillId="0" borderId="0" xfId="0" applyFont="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10" fillId="17" borderId="0" xfId="0" applyFont="1" applyFill="1" applyAlignment="1">
      <alignment horizontal="left" vertical="center"/>
    </xf>
    <xf numFmtId="0" fontId="10" fillId="19" borderId="0" xfId="0" applyFont="1" applyFill="1" applyAlignment="1">
      <alignment horizontal="left" vertical="center"/>
    </xf>
    <xf numFmtId="0" fontId="10" fillId="11" borderId="0" xfId="0" applyFont="1" applyFill="1" applyAlignment="1">
      <alignment horizontal="left" vertical="center"/>
    </xf>
    <xf numFmtId="0" fontId="10" fillId="13" borderId="0" xfId="0" applyFont="1" applyFill="1" applyAlignment="1">
      <alignment horizontal="left" vertical="center"/>
    </xf>
    <xf numFmtId="0" fontId="10" fillId="15" borderId="0" xfId="0" applyFont="1" applyFill="1" applyAlignment="1">
      <alignment horizontal="left" vertical="center"/>
    </xf>
    <xf numFmtId="0" fontId="10" fillId="18" borderId="0" xfId="0" applyFont="1" applyFill="1" applyAlignment="1">
      <alignment horizontal="left" vertical="center"/>
    </xf>
    <xf numFmtId="0" fontId="10" fillId="20" borderId="0" xfId="0" applyFont="1" applyFill="1" applyAlignment="1">
      <alignment horizontal="left" vertical="center"/>
    </xf>
    <xf numFmtId="0" fontId="10" fillId="12" borderId="0" xfId="0" applyFont="1" applyFill="1" applyAlignment="1">
      <alignment horizontal="left" vertical="center"/>
    </xf>
    <xf numFmtId="0" fontId="10" fillId="14" borderId="0" xfId="0" applyFont="1" applyFill="1" applyAlignment="1">
      <alignment horizontal="left" vertical="center"/>
    </xf>
    <xf numFmtId="0" fontId="10" fillId="16" borderId="0" xfId="0" applyFont="1" applyFill="1" applyAlignment="1">
      <alignment horizontal="left" vertical="center"/>
    </xf>
    <xf numFmtId="0" fontId="10" fillId="21" borderId="0" xfId="0" applyFont="1" applyFill="1" applyAlignment="1">
      <alignment horizontal="center" vertical="center"/>
    </xf>
    <xf numFmtId="0" fontId="10" fillId="21" borderId="0" xfId="0" applyFont="1" applyFill="1" applyAlignment="1">
      <alignment horizontal="left" vertical="center"/>
    </xf>
    <xf numFmtId="0" fontId="10" fillId="22" borderId="0" xfId="0" applyFont="1" applyFill="1" applyAlignment="1">
      <alignment horizontal="center" vertical="center"/>
    </xf>
    <xf numFmtId="0" fontId="10" fillId="22" borderId="0" xfId="0" applyFont="1" applyFill="1" applyAlignment="1">
      <alignment horizontal="left" vertical="center"/>
    </xf>
    <xf numFmtId="0" fontId="7" fillId="22" borderId="0" xfId="0" applyFont="1" applyFill="1" applyAlignment="1">
      <alignment horizontal="center" vertical="center"/>
    </xf>
    <xf numFmtId="0" fontId="7" fillId="21" borderId="0" xfId="0" applyFont="1" applyFill="1" applyAlignment="1">
      <alignment horizontal="center" vertical="center"/>
    </xf>
    <xf numFmtId="0" fontId="0" fillId="0" borderId="0" xfId="0" applyAlignment="1">
      <alignment horizontal="center" vertical="center" wrapText="1"/>
    </xf>
    <xf numFmtId="0" fontId="0" fillId="0" borderId="0" xfId="0" applyAlignment="1">
      <alignment wrapText="1"/>
    </xf>
    <xf numFmtId="0" fontId="3" fillId="10" borderId="30" xfId="0" applyFont="1" applyFill="1" applyBorder="1" applyAlignment="1">
      <alignment horizontal="center" vertical="center"/>
    </xf>
    <xf numFmtId="0" fontId="0" fillId="10" borderId="31" xfId="0" applyFill="1" applyBorder="1" applyAlignment="1">
      <alignment horizontal="left" vertical="center" wrapText="1"/>
    </xf>
    <xf numFmtId="0" fontId="0" fillId="10" borderId="31" xfId="0" applyFill="1" applyBorder="1" applyAlignment="1">
      <alignment vertical="center" wrapText="1"/>
    </xf>
    <xf numFmtId="0" fontId="3" fillId="10" borderId="35" xfId="0" applyFont="1" applyFill="1" applyBorder="1" applyAlignment="1">
      <alignment horizontal="center" vertical="center"/>
    </xf>
    <xf numFmtId="0" fontId="3" fillId="10" borderId="36" xfId="0" applyFont="1" applyFill="1" applyBorder="1" applyAlignment="1">
      <alignment horizontal="center" vertical="center"/>
    </xf>
    <xf numFmtId="0" fontId="0" fillId="10" borderId="37" xfId="0" applyFill="1" applyBorder="1" applyAlignment="1">
      <alignment horizontal="center" vertical="center"/>
    </xf>
    <xf numFmtId="0" fontId="0" fillId="10" borderId="38" xfId="0" applyFill="1" applyBorder="1" applyAlignment="1">
      <alignment vertical="center" wrapText="1"/>
    </xf>
    <xf numFmtId="0" fontId="0" fillId="10" borderId="39" xfId="0" applyFill="1" applyBorder="1" applyAlignment="1">
      <alignment horizontal="center" vertical="center"/>
    </xf>
    <xf numFmtId="0" fontId="0" fillId="10" borderId="40" xfId="0" applyFill="1" applyBorder="1" applyAlignment="1">
      <alignment vertical="center" wrapText="1"/>
    </xf>
    <xf numFmtId="0" fontId="0" fillId="10" borderId="41" xfId="0" applyFill="1" applyBorder="1" applyAlignment="1">
      <alignment vertical="center" wrapText="1"/>
    </xf>
    <xf numFmtId="0" fontId="3" fillId="0" borderId="0" xfId="0" applyFont="1" applyAlignment="1">
      <alignment horizontal="left" vertical="center" wrapText="1"/>
    </xf>
    <xf numFmtId="0" fontId="4" fillId="0" borderId="1" xfId="0" applyFont="1" applyBorder="1" applyAlignment="1">
      <alignment horizontal="left"/>
    </xf>
    <xf numFmtId="0" fontId="16" fillId="0" borderId="0" xfId="0" applyFont="1" applyAlignment="1">
      <alignment horizontal="left" vertical="center" indent="1"/>
    </xf>
    <xf numFmtId="0" fontId="3" fillId="0" borderId="0" xfId="0" applyFont="1" applyAlignment="1">
      <alignment horizontal="left" vertical="center" indent="1"/>
    </xf>
    <xf numFmtId="0" fontId="3" fillId="0" borderId="0" xfId="0" applyFont="1" applyAlignment="1">
      <alignment vertical="center" wrapText="1"/>
    </xf>
    <xf numFmtId="0" fontId="4" fillId="0" borderId="0" xfId="0" applyFont="1"/>
    <xf numFmtId="0" fontId="4" fillId="0" borderId="0" xfId="1" applyFont="1" applyAlignment="1">
      <alignment horizontal="left" vertical="center"/>
    </xf>
    <xf numFmtId="2" fontId="4" fillId="0" borderId="0" xfId="1" applyNumberFormat="1" applyFont="1" applyAlignment="1">
      <alignment horizontal="left" vertical="center"/>
    </xf>
    <xf numFmtId="0" fontId="0" fillId="24" borderId="0" xfId="0" applyFill="1"/>
    <xf numFmtId="0" fontId="7" fillId="21" borderId="0" xfId="0" applyFont="1" applyFill="1"/>
    <xf numFmtId="166" fontId="0" fillId="0" borderId="0" xfId="0" quotePrefix="1" applyNumberFormat="1"/>
    <xf numFmtId="166" fontId="0" fillId="24" borderId="0" xfId="0" applyNumberFormat="1" applyFill="1"/>
    <xf numFmtId="0" fontId="19" fillId="10" borderId="0" xfId="0" applyFont="1" applyFill="1" applyAlignment="1">
      <alignment horizontal="left" vertical="top"/>
    </xf>
    <xf numFmtId="0" fontId="19" fillId="10" borderId="0" xfId="0" applyFont="1" applyFill="1" applyAlignment="1">
      <alignment horizontal="left" vertical="top" wrapText="1"/>
    </xf>
    <xf numFmtId="0" fontId="21" fillId="10" borderId="19" xfId="0" applyFont="1" applyFill="1" applyBorder="1" applyAlignment="1">
      <alignment horizontal="left" vertical="top"/>
    </xf>
    <xf numFmtId="0" fontId="22" fillId="10" borderId="19" xfId="0" applyFont="1" applyFill="1" applyBorder="1" applyAlignment="1">
      <alignment horizontal="center" vertical="top"/>
    </xf>
    <xf numFmtId="16" fontId="23" fillId="10" borderId="19" xfId="0" applyNumberFormat="1" applyFont="1" applyFill="1" applyBorder="1" applyAlignment="1">
      <alignment horizontal="center" vertical="top" wrapText="1"/>
    </xf>
    <xf numFmtId="16" fontId="21" fillId="10" borderId="19" xfId="0" applyNumberFormat="1" applyFont="1" applyFill="1" applyBorder="1" applyAlignment="1">
      <alignment horizontal="center" vertical="top"/>
    </xf>
    <xf numFmtId="0" fontId="22" fillId="10" borderId="0" xfId="0" applyFont="1" applyFill="1" applyAlignment="1">
      <alignment horizontal="center" vertical="top"/>
    </xf>
    <xf numFmtId="16" fontId="22" fillId="10" borderId="0" xfId="0" applyNumberFormat="1" applyFont="1" applyFill="1" applyAlignment="1">
      <alignment horizontal="center" vertical="top" wrapText="1"/>
    </xf>
    <xf numFmtId="16" fontId="22" fillId="10" borderId="0" xfId="0" applyNumberFormat="1" applyFont="1" applyFill="1" applyAlignment="1">
      <alignment horizontal="center" vertical="top"/>
    </xf>
    <xf numFmtId="0" fontId="25" fillId="10" borderId="0" xfId="0" applyFont="1" applyFill="1" applyAlignment="1">
      <alignment horizontal="left" vertical="top"/>
    </xf>
    <xf numFmtId="0" fontId="20" fillId="3" borderId="43" xfId="0" applyFont="1" applyFill="1" applyBorder="1" applyAlignment="1">
      <alignment horizontal="center" vertical="center"/>
    </xf>
    <xf numFmtId="0" fontId="20" fillId="26" borderId="43" xfId="0" applyFont="1" applyFill="1" applyBorder="1" applyAlignment="1">
      <alignment horizontal="center" vertical="center"/>
    </xf>
    <xf numFmtId="0" fontId="20" fillId="8" borderId="43" xfId="0" applyFont="1" applyFill="1" applyBorder="1" applyAlignment="1">
      <alignment horizontal="center" vertical="center"/>
    </xf>
    <xf numFmtId="0" fontId="20" fillId="27" borderId="43" xfId="0" applyFont="1" applyFill="1" applyBorder="1" applyAlignment="1">
      <alignment horizontal="center" vertical="center"/>
    </xf>
    <xf numFmtId="0" fontId="20" fillId="28" borderId="43" xfId="0" applyFont="1" applyFill="1" applyBorder="1" applyAlignment="1">
      <alignment horizontal="center" vertical="center"/>
    </xf>
    <xf numFmtId="0" fontId="20" fillId="4" borderId="43" xfId="0" applyFont="1" applyFill="1" applyBorder="1" applyAlignment="1">
      <alignment horizontal="center" vertical="center"/>
    </xf>
    <xf numFmtId="0" fontId="25" fillId="26" borderId="44" xfId="0" applyFont="1" applyFill="1" applyBorder="1" applyAlignment="1">
      <alignment horizontal="left" vertical="center" wrapText="1" indent="1"/>
    </xf>
    <xf numFmtId="0" fontId="25" fillId="10" borderId="45" xfId="0" applyFont="1" applyFill="1" applyBorder="1" applyAlignment="1">
      <alignment horizontal="left" vertical="center" indent="1"/>
    </xf>
    <xf numFmtId="0" fontId="25" fillId="3" borderId="45" xfId="0" applyFont="1" applyFill="1" applyBorder="1" applyAlignment="1">
      <alignment horizontal="left" vertical="center" wrapText="1" indent="1"/>
    </xf>
    <xf numFmtId="0" fontId="25" fillId="25" borderId="46" xfId="0" applyFont="1" applyFill="1" applyBorder="1" applyAlignment="1">
      <alignment horizontal="left" vertical="center" wrapText="1" indent="1"/>
    </xf>
    <xf numFmtId="0" fontId="25" fillId="10" borderId="44" xfId="0" applyFont="1" applyFill="1" applyBorder="1" applyAlignment="1">
      <alignment horizontal="left" vertical="center" wrapText="1" indent="1"/>
    </xf>
    <xf numFmtId="0" fontId="25" fillId="10" borderId="45" xfId="0" applyFont="1" applyFill="1" applyBorder="1" applyAlignment="1">
      <alignment horizontal="left" vertical="center" wrapText="1" indent="1"/>
    </xf>
    <xf numFmtId="0" fontId="25" fillId="10" borderId="46" xfId="0" applyFont="1" applyFill="1" applyBorder="1" applyAlignment="1">
      <alignment horizontal="left" vertical="center" wrapText="1" indent="1"/>
    </xf>
    <xf numFmtId="0" fontId="25" fillId="3" borderId="44" xfId="0" applyFont="1" applyFill="1" applyBorder="1" applyAlignment="1">
      <alignment horizontal="left" vertical="center" wrapText="1" indent="1"/>
    </xf>
    <xf numFmtId="0" fontId="25" fillId="26" borderId="46" xfId="0" quotePrefix="1" applyFont="1" applyFill="1" applyBorder="1" applyAlignment="1">
      <alignment horizontal="left" vertical="center" wrapText="1" indent="1"/>
    </xf>
    <xf numFmtId="0" fontId="25" fillId="10" borderId="46" xfId="0" quotePrefix="1" applyFont="1" applyFill="1" applyBorder="1" applyAlignment="1">
      <alignment horizontal="left" vertical="center" wrapText="1" indent="1"/>
    </xf>
    <xf numFmtId="0" fontId="25" fillId="10" borderId="46" xfId="0" applyFont="1" applyFill="1" applyBorder="1" applyAlignment="1">
      <alignment horizontal="left" vertical="center" indent="1"/>
    </xf>
    <xf numFmtId="0" fontId="25" fillId="4" borderId="45" xfId="0" applyFont="1" applyFill="1" applyBorder="1" applyAlignment="1">
      <alignment horizontal="left" vertical="center" wrapText="1" indent="1"/>
    </xf>
    <xf numFmtId="0" fontId="25" fillId="4" borderId="47" xfId="0" applyFont="1" applyFill="1" applyBorder="1" applyAlignment="1">
      <alignment horizontal="left" vertical="center" wrapText="1" indent="1"/>
    </xf>
    <xf numFmtId="0" fontId="25" fillId="10" borderId="44" xfId="0" applyFont="1" applyFill="1" applyBorder="1" applyAlignment="1">
      <alignment horizontal="left" vertical="center" indent="1"/>
    </xf>
    <xf numFmtId="0" fontId="19" fillId="10" borderId="0" xfId="0" applyFont="1" applyFill="1" applyAlignment="1">
      <alignment horizontal="left" vertical="center" wrapText="1"/>
    </xf>
    <xf numFmtId="0" fontId="19" fillId="10" borderId="0" xfId="0" applyFont="1" applyFill="1" applyAlignment="1">
      <alignment horizontal="left" vertical="center"/>
    </xf>
    <xf numFmtId="166" fontId="0" fillId="0" borderId="0" xfId="0" applyNumberFormat="1" applyAlignment="1">
      <alignment horizontal="right"/>
    </xf>
    <xf numFmtId="0" fontId="30" fillId="0" borderId="0" xfId="0" applyFont="1"/>
    <xf numFmtId="16" fontId="0" fillId="24" borderId="0" xfId="0" applyNumberFormat="1" applyFill="1"/>
    <xf numFmtId="0" fontId="0" fillId="24" borderId="0" xfId="0" applyFill="1" applyAlignment="1">
      <alignment horizontal="center" vertical="center"/>
    </xf>
    <xf numFmtId="16" fontId="0" fillId="24" borderId="0" xfId="0" applyNumberFormat="1" applyFill="1" applyAlignment="1">
      <alignment horizontal="center" vertical="center"/>
    </xf>
    <xf numFmtId="9" fontId="0" fillId="0" borderId="0" xfId="0" applyNumberFormat="1" applyAlignment="1">
      <alignment horizontal="left" vertical="center"/>
    </xf>
    <xf numFmtId="0" fontId="28" fillId="0" borderId="0" xfId="0" applyFont="1" applyAlignment="1">
      <alignment horizontal="left" vertical="center"/>
    </xf>
    <xf numFmtId="0" fontId="29" fillId="0" borderId="0" xfId="0" applyFont="1" applyAlignment="1">
      <alignment horizontal="left" vertical="center"/>
    </xf>
    <xf numFmtId="166" fontId="0" fillId="0" borderId="0" xfId="0" quotePrefix="1" applyNumberFormat="1" applyAlignment="1">
      <alignment vertical="center"/>
    </xf>
    <xf numFmtId="0" fontId="31" fillId="5" borderId="0" xfId="0" applyFont="1" applyFill="1" applyAlignment="1">
      <alignment horizontal="center" vertical="center" wrapText="1"/>
    </xf>
    <xf numFmtId="0" fontId="31" fillId="29" borderId="0" xfId="0" applyFont="1" applyFill="1" applyAlignment="1">
      <alignment horizontal="center" vertical="center" wrapText="1"/>
    </xf>
    <xf numFmtId="0" fontId="31" fillId="26" borderId="0" xfId="0" applyFont="1" applyFill="1" applyAlignment="1">
      <alignment horizontal="center" vertical="center" wrapText="1"/>
    </xf>
    <xf numFmtId="0" fontId="31" fillId="30" borderId="0" xfId="0" applyFont="1" applyFill="1" applyAlignment="1">
      <alignment horizontal="center" vertical="center" wrapText="1"/>
    </xf>
    <xf numFmtId="0" fontId="31" fillId="31" borderId="0" xfId="0" applyFont="1" applyFill="1" applyAlignment="1">
      <alignment horizontal="center" vertical="center" wrapText="1"/>
    </xf>
    <xf numFmtId="0" fontId="31" fillId="28" borderId="0" xfId="0" applyFont="1" applyFill="1" applyAlignment="1">
      <alignment horizontal="center" vertical="center" wrapText="1"/>
    </xf>
    <xf numFmtId="0" fontId="31" fillId="32" borderId="0" xfId="0" applyFont="1" applyFill="1" applyAlignment="1">
      <alignment horizontal="center" vertical="center" wrapText="1"/>
    </xf>
    <xf numFmtId="0" fontId="31" fillId="33" borderId="0" xfId="0" applyFont="1" applyFill="1" applyAlignment="1">
      <alignment horizontal="center" vertical="center" wrapText="1"/>
    </xf>
    <xf numFmtId="0" fontId="0" fillId="10" borderId="1" xfId="0" applyFill="1" applyBorder="1" applyAlignment="1">
      <alignment horizontal="left" vertical="center"/>
    </xf>
    <xf numFmtId="0" fontId="4" fillId="10" borderId="1" xfId="0" applyFont="1" applyFill="1" applyBorder="1" applyAlignment="1">
      <alignment horizontal="left" vertical="center"/>
    </xf>
    <xf numFmtId="0" fontId="4" fillId="10" borderId="1" xfId="0" applyFont="1" applyFill="1" applyBorder="1" applyAlignment="1">
      <alignment horizontal="center" vertical="center"/>
    </xf>
    <xf numFmtId="0" fontId="15" fillId="10" borderId="0" xfId="0" applyFont="1" applyFill="1" applyAlignment="1">
      <alignment vertical="top" wrapText="1"/>
    </xf>
    <xf numFmtId="168" fontId="0" fillId="0" borderId="0" xfId="0" quotePrefix="1" applyNumberFormat="1"/>
    <xf numFmtId="0" fontId="14" fillId="10" borderId="21" xfId="4" applyFont="1" applyFill="1"/>
    <xf numFmtId="0" fontId="13" fillId="10" borderId="0" xfId="5" applyFont="1" applyFill="1"/>
    <xf numFmtId="0" fontId="12" fillId="10" borderId="0" xfId="5" applyFont="1" applyFill="1"/>
    <xf numFmtId="166" fontId="13" fillId="10" borderId="0" xfId="5" applyNumberFormat="1" applyFont="1" applyFill="1"/>
    <xf numFmtId="0" fontId="13" fillId="10" borderId="0" xfId="5" applyFont="1" applyFill="1" applyAlignment="1"/>
    <xf numFmtId="167" fontId="13" fillId="10" borderId="0" xfId="5" applyNumberFormat="1" applyFont="1" applyFill="1"/>
    <xf numFmtId="9" fontId="18" fillId="10" borderId="0" xfId="7" applyNumberFormat="1" applyFill="1"/>
    <xf numFmtId="0" fontId="11" fillId="10" borderId="0" xfId="0" applyFont="1" applyFill="1"/>
    <xf numFmtId="0" fontId="17" fillId="10" borderId="0" xfId="6" applyFill="1" applyBorder="1"/>
    <xf numFmtId="0" fontId="14" fillId="10" borderId="51" xfId="4" applyFont="1" applyFill="1" applyBorder="1"/>
    <xf numFmtId="0" fontId="3" fillId="0" borderId="23" xfId="0" applyFont="1" applyBorder="1"/>
    <xf numFmtId="166" fontId="3" fillId="0" borderId="23" xfId="0" applyNumberFormat="1" applyFont="1" applyBorder="1"/>
    <xf numFmtId="0" fontId="7" fillId="21" borderId="23" xfId="0" applyFont="1" applyFill="1" applyBorder="1"/>
    <xf numFmtId="167" fontId="3" fillId="0" borderId="23" xfId="0" applyNumberFormat="1" applyFont="1" applyBorder="1"/>
    <xf numFmtId="0" fontId="0" fillId="0" borderId="23" xfId="0" applyBorder="1"/>
    <xf numFmtId="0" fontId="14" fillId="10" borderId="0" xfId="4" applyFont="1" applyFill="1" applyBorder="1"/>
    <xf numFmtId="166" fontId="13" fillId="10" borderId="0" xfId="5" applyNumberFormat="1" applyFont="1" applyFill="1" applyBorder="1"/>
    <xf numFmtId="0" fontId="0" fillId="0" borderId="0" xfId="0" quotePrefix="1"/>
    <xf numFmtId="0" fontId="32" fillId="0" borderId="0" xfId="0" applyFont="1" applyAlignment="1">
      <alignment wrapText="1"/>
    </xf>
    <xf numFmtId="0" fontId="32" fillId="0" borderId="0" xfId="0" applyFont="1"/>
    <xf numFmtId="0" fontId="33" fillId="0" borderId="0" xfId="1" applyFont="1" applyAlignment="1">
      <alignment wrapText="1"/>
    </xf>
    <xf numFmtId="0" fontId="32" fillId="10" borderId="0" xfId="0" applyFont="1" applyFill="1" applyAlignment="1">
      <alignment vertical="center" wrapText="1"/>
    </xf>
    <xf numFmtId="0" fontId="32" fillId="10" borderId="52" xfId="0" applyFont="1" applyFill="1" applyBorder="1" applyAlignment="1">
      <alignment vertical="center" wrapText="1"/>
    </xf>
    <xf numFmtId="0" fontId="32" fillId="10" borderId="53" xfId="0" applyFont="1" applyFill="1" applyBorder="1" applyAlignment="1">
      <alignment vertical="center" wrapText="1"/>
    </xf>
    <xf numFmtId="0" fontId="34" fillId="37" borderId="11" xfId="0" applyFont="1" applyFill="1" applyBorder="1" applyAlignment="1">
      <alignment horizontal="center" vertical="center" wrapText="1"/>
    </xf>
    <xf numFmtId="0" fontId="19" fillId="10" borderId="0" xfId="0" applyFont="1" applyFill="1" applyAlignment="1">
      <alignment vertical="center" wrapText="1"/>
    </xf>
    <xf numFmtId="0" fontId="34" fillId="34" borderId="11" xfId="0" applyFont="1" applyFill="1" applyBorder="1" applyAlignment="1">
      <alignment horizontal="center" vertical="center" wrapText="1"/>
    </xf>
    <xf numFmtId="0" fontId="34" fillId="21" borderId="11" xfId="0" applyFont="1" applyFill="1" applyBorder="1" applyAlignment="1">
      <alignment horizontal="center" vertical="center" wrapText="1"/>
    </xf>
    <xf numFmtId="0" fontId="34" fillId="35" borderId="11" xfId="0" applyFont="1" applyFill="1" applyBorder="1" applyAlignment="1">
      <alignment horizontal="center" vertical="center" wrapText="1"/>
    </xf>
    <xf numFmtId="0" fontId="35" fillId="36" borderId="11" xfId="0" applyFont="1" applyFill="1" applyBorder="1" applyAlignment="1">
      <alignment horizontal="center" vertical="center" wrapText="1"/>
    </xf>
    <xf numFmtId="0" fontId="19" fillId="10" borderId="54" xfId="0" applyFont="1" applyFill="1" applyBorder="1" applyAlignment="1">
      <alignment vertical="center" wrapText="1"/>
    </xf>
    <xf numFmtId="0" fontId="19" fillId="10" borderId="55" xfId="0" applyFont="1" applyFill="1" applyBorder="1" applyAlignment="1">
      <alignment vertical="center" wrapText="1"/>
    </xf>
    <xf numFmtId="0" fontId="19" fillId="10" borderId="56" xfId="0" applyFont="1" applyFill="1" applyBorder="1" applyAlignment="1">
      <alignment vertical="center" wrapText="1"/>
    </xf>
    <xf numFmtId="0" fontId="19" fillId="10" borderId="57" xfId="0" applyFont="1" applyFill="1" applyBorder="1" applyAlignment="1">
      <alignment vertical="center" wrapText="1"/>
    </xf>
    <xf numFmtId="0" fontId="19" fillId="10" borderId="52" xfId="0" applyFont="1" applyFill="1" applyBorder="1" applyAlignment="1">
      <alignment vertical="center" wrapText="1"/>
    </xf>
    <xf numFmtId="0" fontId="19" fillId="10" borderId="53" xfId="0" applyFont="1" applyFill="1" applyBorder="1" applyAlignment="1">
      <alignment vertical="center" wrapText="1"/>
    </xf>
    <xf numFmtId="0" fontId="19" fillId="10" borderId="58" xfId="0" applyFont="1" applyFill="1" applyBorder="1" applyAlignment="1">
      <alignment vertical="center" wrapText="1"/>
    </xf>
    <xf numFmtId="0" fontId="19" fillId="10" borderId="12" xfId="0" applyFont="1" applyFill="1" applyBorder="1" applyAlignment="1">
      <alignment vertical="center" wrapText="1"/>
    </xf>
    <xf numFmtId="0" fontId="36" fillId="10" borderId="0" xfId="0" applyFont="1" applyFill="1" applyAlignment="1">
      <alignment vertical="center" wrapText="1"/>
    </xf>
    <xf numFmtId="0" fontId="36" fillId="10" borderId="52" xfId="0" applyFont="1" applyFill="1" applyBorder="1" applyAlignment="1">
      <alignment vertical="center" wrapText="1"/>
    </xf>
    <xf numFmtId="0" fontId="36" fillId="10" borderId="53" xfId="0" applyFont="1" applyFill="1" applyBorder="1" applyAlignment="1">
      <alignment vertical="center" wrapText="1"/>
    </xf>
    <xf numFmtId="0" fontId="36" fillId="10" borderId="58" xfId="0" applyFont="1" applyFill="1" applyBorder="1" applyAlignment="1">
      <alignment vertical="center" wrapText="1"/>
    </xf>
    <xf numFmtId="0" fontId="36" fillId="10" borderId="54" xfId="1" applyFont="1" applyFill="1" applyBorder="1" applyAlignment="1">
      <alignment vertical="center" wrapText="1"/>
    </xf>
    <xf numFmtId="0" fontId="32" fillId="10" borderId="0" xfId="0" applyFont="1" applyFill="1"/>
    <xf numFmtId="0" fontId="0" fillId="10" borderId="0" xfId="0" applyFill="1" applyAlignment="1">
      <alignment vertical="center" wrapText="1"/>
    </xf>
    <xf numFmtId="0" fontId="0" fillId="10" borderId="0" xfId="0" applyFill="1" applyAlignment="1">
      <alignment vertical="center"/>
    </xf>
    <xf numFmtId="0" fontId="3" fillId="10" borderId="0" xfId="0" applyFont="1" applyFill="1" applyAlignment="1">
      <alignment vertical="center"/>
    </xf>
    <xf numFmtId="0" fontId="37" fillId="10" borderId="0" xfId="0" applyFont="1" applyFill="1" applyAlignment="1">
      <alignment vertical="center"/>
    </xf>
    <xf numFmtId="0" fontId="3" fillId="10" borderId="1" xfId="0" applyFont="1" applyFill="1" applyBorder="1" applyAlignment="1">
      <alignment vertical="center" wrapText="1"/>
    </xf>
    <xf numFmtId="0" fontId="0" fillId="10" borderId="1" xfId="0" applyFill="1" applyBorder="1"/>
    <xf numFmtId="0" fontId="0" fillId="10" borderId="1" xfId="0" applyFill="1" applyBorder="1" applyAlignment="1">
      <alignment vertical="center" wrapText="1"/>
    </xf>
    <xf numFmtId="0" fontId="0" fillId="10" borderId="1" xfId="0" applyFill="1" applyBorder="1" applyAlignment="1">
      <alignment vertical="center"/>
    </xf>
    <xf numFmtId="0" fontId="38" fillId="10" borderId="1" xfId="0" applyFont="1" applyFill="1" applyBorder="1"/>
    <xf numFmtId="0" fontId="0" fillId="10" borderId="1" xfId="0" applyFill="1" applyBorder="1" applyAlignment="1">
      <alignment wrapText="1"/>
    </xf>
    <xf numFmtId="0" fontId="7" fillId="38" borderId="1" xfId="0" applyFont="1" applyFill="1" applyBorder="1" applyAlignment="1">
      <alignment vertical="center" wrapText="1"/>
    </xf>
    <xf numFmtId="0" fontId="7" fillId="38" borderId="1" xfId="0" applyFont="1" applyFill="1" applyBorder="1"/>
    <xf numFmtId="0" fontId="0" fillId="4" borderId="1" xfId="0" applyFill="1" applyBorder="1" applyAlignment="1">
      <alignment vertical="center" wrapText="1"/>
    </xf>
    <xf numFmtId="0" fontId="3" fillId="4" borderId="1" xfId="0" applyFont="1" applyFill="1" applyBorder="1" applyAlignment="1">
      <alignment vertical="center"/>
    </xf>
    <xf numFmtId="0" fontId="3" fillId="10" borderId="1" xfId="0" applyFont="1" applyFill="1" applyBorder="1" applyAlignment="1">
      <alignment vertical="center"/>
    </xf>
    <xf numFmtId="0" fontId="3" fillId="27" borderId="1" xfId="0" applyFont="1" applyFill="1" applyBorder="1" applyAlignment="1">
      <alignment vertical="center"/>
    </xf>
    <xf numFmtId="0" fontId="0" fillId="27" borderId="1" xfId="0" applyFill="1" applyBorder="1" applyAlignment="1">
      <alignment vertical="center" wrapText="1"/>
    </xf>
    <xf numFmtId="0" fontId="0" fillId="10" borderId="0" xfId="0" applyFill="1" applyAlignment="1">
      <alignment horizontal="center" vertical="center"/>
    </xf>
    <xf numFmtId="0" fontId="0" fillId="10" borderId="28" xfId="0" applyFill="1" applyBorder="1" applyAlignment="1">
      <alignment vertical="center"/>
    </xf>
    <xf numFmtId="0" fontId="0" fillId="10" borderId="14" xfId="0" applyFill="1" applyBorder="1"/>
    <xf numFmtId="0" fontId="0" fillId="10" borderId="13" xfId="0" applyFill="1" applyBorder="1" applyAlignment="1">
      <alignment vertical="center"/>
    </xf>
    <xf numFmtId="0" fontId="0" fillId="10" borderId="15" xfId="0" applyFill="1" applyBorder="1" applyAlignment="1">
      <alignment vertical="center"/>
    </xf>
    <xf numFmtId="0" fontId="0" fillId="4" borderId="14" xfId="0" applyFill="1" applyBorder="1"/>
    <xf numFmtId="0" fontId="0" fillId="4" borderId="15" xfId="0" applyFill="1" applyBorder="1" applyAlignment="1">
      <alignment vertical="center"/>
    </xf>
    <xf numFmtId="0" fontId="3" fillId="4" borderId="22" xfId="0" applyFont="1" applyFill="1" applyBorder="1" applyAlignment="1">
      <alignment vertical="center"/>
    </xf>
    <xf numFmtId="0" fontId="0" fillId="4" borderId="23" xfId="0" applyFill="1" applyBorder="1"/>
    <xf numFmtId="0" fontId="0" fillId="10" borderId="29" xfId="0" applyFill="1" applyBorder="1" applyAlignment="1">
      <alignment vertical="center" wrapText="1"/>
    </xf>
    <xf numFmtId="0" fontId="0" fillId="10" borderId="14" xfId="0" applyFill="1" applyBorder="1" applyAlignment="1">
      <alignment horizontal="left" vertical="center"/>
    </xf>
    <xf numFmtId="0" fontId="3" fillId="39" borderId="1" xfId="0" applyFont="1" applyFill="1" applyBorder="1" applyAlignment="1">
      <alignment vertical="center"/>
    </xf>
    <xf numFmtId="9" fontId="3" fillId="39" borderId="1" xfId="0" applyNumberFormat="1" applyFont="1" applyFill="1" applyBorder="1" applyAlignment="1">
      <alignment horizontal="center" vertical="center"/>
    </xf>
    <xf numFmtId="0" fontId="0" fillId="10" borderId="1" xfId="0" quotePrefix="1" applyFill="1" applyBorder="1" applyAlignment="1">
      <alignment vertical="center" wrapText="1"/>
    </xf>
    <xf numFmtId="0" fontId="3" fillId="39" borderId="1" xfId="0" applyFont="1" applyFill="1" applyBorder="1" applyAlignment="1">
      <alignment vertical="center" wrapText="1"/>
    </xf>
    <xf numFmtId="0" fontId="0" fillId="4" borderId="23" xfId="0" applyFill="1" applyBorder="1" applyAlignment="1">
      <alignment vertical="center"/>
    </xf>
    <xf numFmtId="0" fontId="0" fillId="4" borderId="24" xfId="0" applyFill="1" applyBorder="1" applyAlignment="1">
      <alignment vertical="center" wrapText="1"/>
    </xf>
    <xf numFmtId="0" fontId="3" fillId="10" borderId="27" xfId="0" applyFont="1" applyFill="1" applyBorder="1" applyAlignment="1">
      <alignment vertical="center"/>
    </xf>
    <xf numFmtId="0" fontId="3" fillId="4" borderId="13" xfId="0" applyFont="1" applyFill="1" applyBorder="1" applyAlignment="1">
      <alignment vertical="center"/>
    </xf>
    <xf numFmtId="0" fontId="3" fillId="10" borderId="13" xfId="0" applyFont="1" applyFill="1" applyBorder="1" applyAlignment="1">
      <alignment vertical="center"/>
    </xf>
    <xf numFmtId="0" fontId="3" fillId="10" borderId="14" xfId="0" applyFont="1" applyFill="1" applyBorder="1"/>
    <xf numFmtId="0" fontId="7" fillId="38" borderId="1" xfId="0" applyFont="1" applyFill="1" applyBorder="1" applyAlignment="1">
      <alignment vertical="center"/>
    </xf>
    <xf numFmtId="166" fontId="0" fillId="10" borderId="1" xfId="0" applyNumberFormat="1" applyFill="1" applyBorder="1" applyAlignment="1">
      <alignment vertical="center"/>
    </xf>
    <xf numFmtId="0" fontId="0" fillId="10" borderId="0" xfId="0" applyFill="1" applyAlignment="1">
      <alignment horizontal="left" vertical="center" wrapText="1"/>
    </xf>
    <xf numFmtId="0" fontId="3" fillId="5" borderId="22" xfId="0" applyFont="1" applyFill="1" applyBorder="1" applyAlignment="1">
      <alignment horizontal="left" vertical="center"/>
    </xf>
    <xf numFmtId="0" fontId="3" fillId="24" borderId="0" xfId="0" applyFont="1" applyFill="1" applyAlignment="1">
      <alignment horizontal="left" vertical="center"/>
    </xf>
    <xf numFmtId="164" fontId="3" fillId="24" borderId="0" xfId="0" applyNumberFormat="1" applyFont="1" applyFill="1" applyAlignment="1">
      <alignment horizontal="left" vertical="center"/>
    </xf>
    <xf numFmtId="0" fontId="0" fillId="24" borderId="0" xfId="0" applyFill="1" applyAlignment="1">
      <alignment horizontal="left" vertical="center"/>
    </xf>
    <xf numFmtId="0" fontId="39" fillId="10" borderId="0" xfId="0" applyFont="1" applyFill="1" applyAlignment="1">
      <alignment vertical="center"/>
    </xf>
    <xf numFmtId="0" fontId="40" fillId="10" borderId="1" xfId="0" applyFont="1" applyFill="1" applyBorder="1"/>
    <xf numFmtId="0" fontId="40" fillId="10" borderId="1" xfId="0" applyFont="1" applyFill="1" applyBorder="1" applyAlignment="1">
      <alignment vertical="center"/>
    </xf>
    <xf numFmtId="0" fontId="38" fillId="10" borderId="28" xfId="0" applyFont="1" applyFill="1" applyBorder="1" applyAlignment="1">
      <alignment horizontal="left"/>
    </xf>
    <xf numFmtId="0" fontId="7" fillId="38" borderId="13" xfId="0" applyFont="1" applyFill="1" applyBorder="1" applyAlignment="1">
      <alignment vertical="center" wrapText="1"/>
    </xf>
    <xf numFmtId="0" fontId="7" fillId="38" borderId="14" xfId="0" applyFont="1" applyFill="1" applyBorder="1" applyAlignment="1">
      <alignment vertical="center" wrapText="1"/>
    </xf>
    <xf numFmtId="0" fontId="7" fillId="38" borderId="15" xfId="0" applyFont="1" applyFill="1" applyBorder="1" applyAlignment="1">
      <alignment vertical="center" wrapText="1"/>
    </xf>
    <xf numFmtId="0" fontId="3" fillId="4" borderId="13" xfId="0" applyFont="1" applyFill="1" applyBorder="1" applyAlignment="1">
      <alignment vertical="center" wrapText="1"/>
    </xf>
    <xf numFmtId="0" fontId="3" fillId="4" borderId="14" xfId="0" applyFont="1" applyFill="1" applyBorder="1" applyAlignment="1">
      <alignment horizontal="left" vertical="center" wrapText="1"/>
    </xf>
    <xf numFmtId="0" fontId="0" fillId="4" borderId="15" xfId="0" applyFill="1" applyBorder="1" applyAlignment="1">
      <alignment horizontal="left" vertical="center" wrapText="1"/>
    </xf>
    <xf numFmtId="0" fontId="0" fillId="10" borderId="13" xfId="0" applyFill="1" applyBorder="1" applyAlignment="1">
      <alignment vertical="center" wrapText="1"/>
    </xf>
    <xf numFmtId="0" fontId="0" fillId="10" borderId="15" xfId="0" applyFill="1" applyBorder="1" applyAlignment="1">
      <alignment horizontal="left" vertical="center" wrapText="1"/>
    </xf>
    <xf numFmtId="0" fontId="37" fillId="10" borderId="0" xfId="0" applyFont="1" applyFill="1" applyAlignment="1">
      <alignment vertical="center" wrapText="1"/>
    </xf>
    <xf numFmtId="0" fontId="37" fillId="10" borderId="0" xfId="0" applyFont="1" applyFill="1"/>
    <xf numFmtId="0" fontId="3" fillId="7" borderId="0" xfId="0" applyFont="1" applyFill="1" applyAlignment="1">
      <alignment horizontal="center" vertical="center"/>
    </xf>
    <xf numFmtId="0" fontId="1" fillId="0" borderId="0" xfId="1" applyAlignment="1">
      <alignment horizontal="left" vertical="center" wrapText="1"/>
    </xf>
    <xf numFmtId="164" fontId="0" fillId="0" borderId="0" xfId="0" applyNumberFormat="1" applyAlignment="1">
      <alignment horizontal="left" vertical="center" wrapText="1"/>
    </xf>
    <xf numFmtId="164" fontId="4" fillId="0" borderId="0" xfId="1" applyNumberFormat="1" applyFont="1" applyAlignment="1">
      <alignment horizontal="left" vertical="center" wrapText="1"/>
    </xf>
    <xf numFmtId="1" fontId="0" fillId="0" borderId="0" xfId="0" applyNumberFormat="1" applyAlignment="1">
      <alignment horizontal="left" vertical="center" wrapText="1"/>
    </xf>
    <xf numFmtId="0" fontId="0" fillId="0" borderId="1" xfId="0" applyBorder="1"/>
    <xf numFmtId="0" fontId="0" fillId="5" borderId="0" xfId="0" applyFill="1"/>
    <xf numFmtId="168" fontId="0" fillId="5" borderId="0" xfId="0" applyNumberFormat="1" applyFill="1"/>
    <xf numFmtId="0" fontId="0" fillId="0" borderId="15" xfId="0" applyBorder="1" applyAlignment="1">
      <alignment horizontal="center" vertical="center"/>
    </xf>
    <xf numFmtId="0" fontId="3" fillId="5" borderId="29" xfId="0" applyFont="1" applyFill="1" applyBorder="1"/>
    <xf numFmtId="0" fontId="3" fillId="5" borderId="12" xfId="0" applyFont="1" applyFill="1" applyBorder="1"/>
    <xf numFmtId="0" fontId="3" fillId="5" borderId="27" xfId="0" applyFont="1" applyFill="1" applyBorder="1"/>
    <xf numFmtId="0" fontId="0" fillId="0" borderId="13" xfId="0" applyBorder="1"/>
    <xf numFmtId="0" fontId="0" fillId="0" borderId="11" xfId="0" applyBorder="1" applyAlignment="1">
      <alignment horizontal="center" vertical="center"/>
    </xf>
    <xf numFmtId="0" fontId="0" fillId="0" borderId="11" xfId="0" applyBorder="1"/>
    <xf numFmtId="0" fontId="0" fillId="4" borderId="13" xfId="0" applyFill="1" applyBorder="1" applyAlignment="1">
      <alignment horizontal="left" vertical="center" wrapText="1"/>
    </xf>
    <xf numFmtId="0" fontId="0" fillId="4" borderId="14" xfId="0" applyFill="1" applyBorder="1" applyAlignment="1">
      <alignment horizontal="left" vertical="center"/>
    </xf>
    <xf numFmtId="0" fontId="0" fillId="4" borderId="15" xfId="0" applyFill="1" applyBorder="1" applyAlignment="1">
      <alignment horizontal="left" vertical="center"/>
    </xf>
    <xf numFmtId="0" fontId="0" fillId="4" borderId="27" xfId="0" applyFill="1" applyBorder="1" applyAlignment="1">
      <alignment horizontal="left" vertical="center" wrapText="1"/>
    </xf>
    <xf numFmtId="0" fontId="0" fillId="4" borderId="28" xfId="0" applyFill="1" applyBorder="1" applyAlignment="1">
      <alignment horizontal="left" vertical="center" wrapText="1"/>
    </xf>
    <xf numFmtId="0" fontId="0" fillId="10" borderId="13" xfId="0" applyFill="1" applyBorder="1" applyAlignment="1">
      <alignment horizontal="left" vertical="center" wrapText="1"/>
    </xf>
    <xf numFmtId="0" fontId="0" fillId="10" borderId="14" xfId="0" applyFill="1" applyBorder="1" applyAlignment="1">
      <alignment horizontal="left" vertical="center" wrapText="1"/>
    </xf>
    <xf numFmtId="0" fontId="0" fillId="10" borderId="15" xfId="0" applyFill="1" applyBorder="1" applyAlignment="1">
      <alignment horizontal="left" vertical="center" wrapText="1"/>
    </xf>
    <xf numFmtId="0" fontId="3" fillId="4" borderId="13" xfId="0" applyFont="1" applyFill="1" applyBorder="1" applyAlignment="1">
      <alignment horizontal="left"/>
    </xf>
    <xf numFmtId="0" fontId="3" fillId="4" borderId="14" xfId="0" applyFont="1" applyFill="1" applyBorder="1" applyAlignment="1">
      <alignment horizontal="left"/>
    </xf>
    <xf numFmtId="0" fontId="3" fillId="4" borderId="15" xfId="0" applyFont="1" applyFill="1" applyBorder="1" applyAlignment="1">
      <alignment horizontal="left"/>
    </xf>
    <xf numFmtId="0" fontId="3" fillId="10" borderId="13" xfId="0" applyFont="1" applyFill="1" applyBorder="1" applyAlignment="1">
      <alignment horizontal="left"/>
    </xf>
    <xf numFmtId="0" fontId="3" fillId="10" borderId="14" xfId="0" applyFont="1" applyFill="1" applyBorder="1" applyAlignment="1">
      <alignment horizontal="left"/>
    </xf>
    <xf numFmtId="0" fontId="3" fillId="10" borderId="15" xfId="0" applyFont="1" applyFill="1" applyBorder="1" applyAlignment="1">
      <alignment horizontal="left"/>
    </xf>
    <xf numFmtId="0" fontId="0" fillId="10" borderId="1" xfId="0" applyFill="1" applyBorder="1" applyAlignment="1">
      <alignment horizontal="left" vertical="center" wrapText="1"/>
    </xf>
    <xf numFmtId="0" fontId="0" fillId="10" borderId="1" xfId="0" applyFill="1" applyBorder="1" applyAlignment="1">
      <alignment horizontal="left" vertical="center"/>
    </xf>
    <xf numFmtId="0" fontId="0" fillId="10" borderId="13" xfId="0" applyFill="1" applyBorder="1" applyAlignment="1">
      <alignment horizontal="center"/>
    </xf>
    <xf numFmtId="0" fontId="0" fillId="10" borderId="14" xfId="0" applyFill="1" applyBorder="1" applyAlignment="1">
      <alignment horizontal="center"/>
    </xf>
    <xf numFmtId="0" fontId="0" fillId="10" borderId="15" xfId="0" applyFill="1" applyBorder="1" applyAlignment="1">
      <alignment horizont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165" fontId="0" fillId="0" borderId="11" xfId="0" applyNumberFormat="1" applyBorder="1" applyAlignment="1">
      <alignment horizontal="center" vertical="center"/>
    </xf>
    <xf numFmtId="165" fontId="0" fillId="0" borderId="12" xfId="0" applyNumberFormat="1" applyBorder="1" applyAlignment="1">
      <alignment horizontal="center" vertical="center"/>
    </xf>
    <xf numFmtId="0" fontId="7" fillId="6" borderId="13" xfId="0" applyFont="1" applyFill="1" applyBorder="1" applyAlignment="1">
      <alignment horizontal="center" vertical="center" wrapText="1"/>
    </xf>
    <xf numFmtId="0" fontId="7" fillId="6" borderId="14" xfId="0" applyFont="1" applyFill="1" applyBorder="1" applyAlignment="1">
      <alignment horizontal="center" vertical="center" wrapText="1"/>
    </xf>
    <xf numFmtId="0" fontId="7" fillId="6" borderId="15"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0" fillId="0" borderId="1" xfId="0" quotePrefix="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9" fontId="0" fillId="0" borderId="16" xfId="2" applyFont="1" applyBorder="1" applyAlignment="1">
      <alignment horizontal="center" vertical="center"/>
    </xf>
    <xf numFmtId="9" fontId="0" fillId="0" borderId="17" xfId="2" applyFont="1" applyBorder="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3" fillId="5" borderId="9" xfId="0" applyFont="1" applyFill="1" applyBorder="1" applyAlignment="1">
      <alignment horizontal="center" vertical="center"/>
    </xf>
    <xf numFmtId="0" fontId="3" fillId="5" borderId="10" xfId="0" applyFont="1" applyFill="1" applyBorder="1" applyAlignment="1">
      <alignment horizontal="center" vertical="center"/>
    </xf>
    <xf numFmtId="0" fontId="3" fillId="5" borderId="11" xfId="0" applyFont="1" applyFill="1" applyBorder="1" applyAlignment="1">
      <alignment horizontal="center" vertical="center"/>
    </xf>
    <xf numFmtId="0" fontId="3" fillId="5" borderId="12" xfId="0" applyFont="1" applyFill="1" applyBorder="1" applyAlignment="1">
      <alignment horizontal="center" vertical="center"/>
    </xf>
    <xf numFmtId="0" fontId="3" fillId="7" borderId="13" xfId="0" applyFont="1" applyFill="1" applyBorder="1" applyAlignment="1">
      <alignment horizontal="center" vertical="center"/>
    </xf>
    <xf numFmtId="0" fontId="3" fillId="7" borderId="14" xfId="0" applyFont="1" applyFill="1" applyBorder="1" applyAlignment="1">
      <alignment horizontal="center" vertical="center"/>
    </xf>
    <xf numFmtId="0" fontId="3" fillId="7" borderId="15" xfId="0" applyFont="1" applyFill="1" applyBorder="1" applyAlignment="1">
      <alignment horizontal="center" vertical="center"/>
    </xf>
    <xf numFmtId="0" fontId="3" fillId="8" borderId="16" xfId="0" applyFont="1" applyFill="1" applyBorder="1" applyAlignment="1">
      <alignment horizontal="center" vertical="center"/>
    </xf>
    <xf numFmtId="0" fontId="3" fillId="8" borderId="17" xfId="0" applyFont="1" applyFill="1" applyBorder="1" applyAlignment="1">
      <alignment horizontal="center" vertical="center"/>
    </xf>
    <xf numFmtId="0" fontId="0" fillId="0" borderId="1" xfId="0" quotePrefix="1" applyBorder="1" applyAlignment="1">
      <alignment horizontal="left" vertical="center" wrapText="1"/>
    </xf>
    <xf numFmtId="0" fontId="25" fillId="28" borderId="45" xfId="0" applyFont="1" applyFill="1" applyBorder="1" applyAlignment="1">
      <alignment horizontal="left" vertical="center" wrapText="1" indent="1"/>
    </xf>
    <xf numFmtId="0" fontId="25" fillId="28" borderId="46" xfId="0" applyFont="1" applyFill="1" applyBorder="1" applyAlignment="1">
      <alignment horizontal="left" vertical="center" wrapText="1" indent="1"/>
    </xf>
    <xf numFmtId="0" fontId="25" fillId="4" borderId="45" xfId="0" applyFont="1" applyFill="1" applyBorder="1" applyAlignment="1">
      <alignment horizontal="left" vertical="center" wrapText="1" indent="1"/>
    </xf>
    <xf numFmtId="0" fontId="25" fillId="4" borderId="45" xfId="0" applyFont="1" applyFill="1" applyBorder="1" applyAlignment="1">
      <alignment horizontal="left" vertical="center" indent="1"/>
    </xf>
    <xf numFmtId="0" fontId="25" fillId="4" borderId="46" xfId="0" applyFont="1" applyFill="1" applyBorder="1" applyAlignment="1">
      <alignment horizontal="left" vertical="center" indent="1"/>
    </xf>
    <xf numFmtId="0" fontId="22" fillId="10" borderId="0" xfId="0" applyFont="1" applyFill="1" applyAlignment="1">
      <alignment horizontal="left" vertical="center"/>
    </xf>
    <xf numFmtId="0" fontId="24" fillId="10" borderId="0" xfId="0" applyFont="1" applyFill="1" applyAlignment="1">
      <alignment horizontal="left" vertical="center"/>
    </xf>
    <xf numFmtId="0" fontId="25" fillId="27" borderId="45" xfId="0" applyFont="1" applyFill="1" applyBorder="1" applyAlignment="1">
      <alignment horizontal="left" vertical="center" wrapText="1" indent="1"/>
    </xf>
    <xf numFmtId="0" fontId="25" fillId="8" borderId="45" xfId="0" applyFont="1" applyFill="1" applyBorder="1" applyAlignment="1">
      <alignment horizontal="left" vertical="center" wrapText="1" indent="1"/>
    </xf>
    <xf numFmtId="0" fontId="25" fillId="8" borderId="46" xfId="0" applyFont="1" applyFill="1" applyBorder="1" applyAlignment="1">
      <alignment horizontal="left" vertical="center" wrapText="1" indent="1"/>
    </xf>
    <xf numFmtId="0" fontId="25" fillId="27" borderId="44" xfId="0" applyFont="1" applyFill="1" applyBorder="1" applyAlignment="1">
      <alignment horizontal="left" vertical="center" wrapText="1" indent="1"/>
    </xf>
    <xf numFmtId="0" fontId="25" fillId="28" borderId="48" xfId="0" applyFont="1" applyFill="1" applyBorder="1" applyAlignment="1">
      <alignment horizontal="left" vertical="center" wrapText="1" indent="1"/>
    </xf>
    <xf numFmtId="0" fontId="25" fillId="27" borderId="49" xfId="0" applyFont="1" applyFill="1" applyBorder="1" applyAlignment="1">
      <alignment horizontal="left" vertical="center" wrapText="1" indent="1"/>
    </xf>
    <xf numFmtId="0" fontId="25" fillId="27" borderId="46" xfId="0" applyFont="1" applyFill="1" applyBorder="1" applyAlignment="1">
      <alignment horizontal="left" vertical="center" wrapText="1" indent="1"/>
    </xf>
    <xf numFmtId="0" fontId="22" fillId="27" borderId="45" xfId="0" applyFont="1" applyFill="1" applyBorder="1" applyAlignment="1">
      <alignment horizontal="left" vertical="center" wrapText="1" indent="1"/>
    </xf>
    <xf numFmtId="0" fontId="25" fillId="27" borderId="45" xfId="0" applyFont="1" applyFill="1" applyBorder="1" applyAlignment="1">
      <alignment horizontal="left" vertical="center" indent="1"/>
    </xf>
    <xf numFmtId="0" fontId="25" fillId="4" borderId="50" xfId="0" applyFont="1" applyFill="1" applyBorder="1" applyAlignment="1">
      <alignment horizontal="left" vertical="center" wrapText="1" indent="1"/>
    </xf>
    <xf numFmtId="0" fontId="25" fillId="4" borderId="46" xfId="0" applyFont="1" applyFill="1" applyBorder="1" applyAlignment="1">
      <alignment horizontal="left" vertical="center" wrapText="1" indent="1"/>
    </xf>
    <xf numFmtId="0" fontId="0" fillId="10" borderId="38" xfId="0" applyFill="1" applyBorder="1" applyAlignment="1">
      <alignment horizontal="left" vertical="center" wrapText="1"/>
    </xf>
    <xf numFmtId="0" fontId="8" fillId="10" borderId="32" xfId="0" applyFont="1" applyFill="1" applyBorder="1" applyAlignment="1">
      <alignment horizontal="center" vertical="center"/>
    </xf>
    <xf numFmtId="0" fontId="8" fillId="10" borderId="33" xfId="0" applyFont="1" applyFill="1" applyBorder="1" applyAlignment="1">
      <alignment horizontal="center" vertical="center"/>
    </xf>
    <xf numFmtId="0" fontId="8" fillId="10" borderId="34" xfId="0" applyFont="1" applyFill="1" applyBorder="1" applyAlignment="1">
      <alignment horizontal="center" vertical="center"/>
    </xf>
    <xf numFmtId="0" fontId="3" fillId="0" borderId="0" xfId="0" applyFont="1" applyAlignment="1">
      <alignment horizontal="center" vertical="center"/>
    </xf>
    <xf numFmtId="0" fontId="0" fillId="0" borderId="0" xfId="0" applyAlignment="1">
      <alignment horizontal="left" vertical="center" wrapText="1"/>
    </xf>
  </cellXfs>
  <cellStyles count="8">
    <cellStyle name="Calculation" xfId="6" builtinId="22"/>
    <cellStyle name="Explanatory Text" xfId="5" builtinId="53"/>
    <cellStyle name="Good" xfId="3" builtinId="26"/>
    <cellStyle name="Hyperlink" xfId="1" builtinId="8"/>
    <cellStyle name="Normal" xfId="0" builtinId="0"/>
    <cellStyle name="Note" xfId="4" builtinId="10"/>
    <cellStyle name="Percent" xfId="2" builtinId="5"/>
    <cellStyle name="Warning Text" xfId="7" builtinId="11"/>
  </cellStyles>
  <dxfs count="90">
    <dxf>
      <font>
        <color rgb="FF9C0006"/>
      </font>
      <fill>
        <patternFill>
          <bgColor rgb="FFFFC7CE"/>
        </patternFill>
      </fill>
    </dxf>
    <dxf>
      <font>
        <b/>
        <i val="0"/>
        <color rgb="FFB80072"/>
      </font>
    </dxf>
    <dxf>
      <font>
        <b/>
        <i val="0"/>
        <color rgb="FF0068FF"/>
      </font>
    </dxf>
    <dxf>
      <font>
        <b/>
        <i val="0"/>
        <color rgb="FF03CA77"/>
      </font>
    </dxf>
    <dxf>
      <numFmt numFmtId="166" formatCode="yyyy\-mm\-dd;@"/>
    </dxf>
    <dxf>
      <numFmt numFmtId="166" formatCode="yyyy\-mm\-dd;@"/>
    </dxf>
    <dxf>
      <font>
        <b val="0"/>
        <i val="0"/>
        <strike val="0"/>
        <condense val="0"/>
        <extend val="0"/>
        <outline val="0"/>
        <shadow val="0"/>
        <u val="none"/>
        <vertAlign val="baseline"/>
        <sz val="11"/>
        <color auto="1"/>
        <name val="Calibri"/>
        <family val="2"/>
        <scheme val="minor"/>
      </font>
      <numFmt numFmtId="2" formatCode="0.00"/>
      <alignment horizontal="left" vertical="center" textRotation="0" wrapText="0" indent="0" justifyLastLine="0" shrinkToFit="0" readingOrder="0"/>
    </dxf>
    <dxf>
      <numFmt numFmtId="168" formatCode="yyyy\-mm\-dd"/>
    </dxf>
    <dxf>
      <numFmt numFmtId="168" formatCode="yyyy\-mm\-dd"/>
    </dxf>
    <dxf>
      <alignment horizontal="general" vertical="bottom" textRotation="0" wrapText="0" indent="0" justifyLastLine="0" shrinkToFit="0" readingOrder="0"/>
    </dxf>
    <dxf>
      <numFmt numFmtId="166" formatCode="yyyy\-mm\-dd;@"/>
      <alignment horizontal="general" vertical="bottom" textRotation="0" wrapText="0" indent="0" justifyLastLine="0" shrinkToFit="0" readingOrder="0"/>
    </dxf>
    <dxf>
      <numFmt numFmtId="166" formatCode="yyyy\-mm\-dd;@"/>
    </dxf>
    <dxf>
      <numFmt numFmtId="166" formatCode="yyyy\-mm\-dd;@"/>
    </dxf>
    <dxf>
      <numFmt numFmtId="166" formatCode="yyyy\-mm\-dd;@"/>
    </dxf>
    <dxf>
      <numFmt numFmtId="166" formatCode="yyyy\-mm\-dd;@"/>
    </dxf>
    <dxf>
      <numFmt numFmtId="166" formatCode="yyyy\-mm\-dd;@"/>
    </dxf>
    <dxf>
      <numFmt numFmtId="166" formatCode="yyyy\-mm\-dd;@"/>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dxf>
    <dxf>
      <fill>
        <patternFill>
          <bgColor rgb="FFF2F2F2"/>
        </patternFill>
      </fill>
    </dxf>
    <dxf>
      <fill>
        <patternFill>
          <fgColor rgb="FFD9E1F2"/>
          <bgColor rgb="FFD9E1F2"/>
        </patternFill>
      </fill>
    </dxf>
    <dxf>
      <fill>
        <patternFill>
          <bgColor rgb="FFE2ECEE"/>
        </patternFill>
      </fill>
    </dxf>
    <dxf>
      <fill>
        <patternFill>
          <bgColor rgb="FFE2EFDA"/>
        </patternFill>
      </fill>
    </dxf>
    <dxf>
      <fill>
        <patternFill>
          <bgColor rgb="FFFCE4D6"/>
        </patternFill>
      </fill>
    </dxf>
    <dxf>
      <fill>
        <patternFill>
          <bgColor rgb="FFFFEFF9"/>
        </patternFill>
      </fill>
    </dxf>
    <dxf>
      <fill>
        <patternFill>
          <bgColor rgb="FFFEDEE5"/>
        </patternFill>
      </fill>
    </dxf>
    <dxf>
      <fill>
        <patternFill>
          <bgColor rgb="FFFFF2CC"/>
        </patternFill>
      </fill>
    </dxf>
    <dxf>
      <font>
        <b/>
        <i val="0"/>
        <color rgb="FFB80072"/>
      </font>
    </dxf>
    <dxf>
      <font>
        <b/>
        <i val="0"/>
        <color rgb="FF0068FF"/>
      </font>
    </dxf>
    <dxf>
      <font>
        <b/>
        <i val="0"/>
        <color rgb="FF03CA77"/>
      </font>
    </dxf>
    <dxf>
      <fill>
        <patternFill>
          <bgColor theme="9" tint="0.79998168889431442"/>
        </patternFill>
      </fill>
    </dxf>
    <dxf>
      <fill>
        <patternFill>
          <bgColor theme="4" tint="0.79998168889431442"/>
        </patternFill>
      </fill>
    </dxf>
    <dxf>
      <fill>
        <patternFill>
          <bgColor theme="7" tint="0.79998168889431442"/>
        </patternFill>
      </fill>
    </dxf>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numFmt numFmtId="0" formatCode="General"/>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border diagonalUp="0" diagonalDown="0">
        <left style="thin">
          <color indexed="64"/>
        </left>
        <right style="thin">
          <color indexed="64"/>
        </right>
        <top/>
        <bottom/>
        <vertical style="thin">
          <color indexed="64"/>
        </vertical>
        <horizontal style="thin">
          <color indexed="64"/>
        </horizontal>
      </border>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4" tint="0.79998168889431442"/>
        </patternFill>
      </fill>
      <alignment horizontal="center" vertical="center" textRotation="0" wrapText="1" indent="0" justifyLastLine="0" shrinkToFit="0" readingOrder="0"/>
    </dxf>
    <dxf>
      <font>
        <b/>
        <i val="0"/>
        <color rgb="FFB80072"/>
      </font>
    </dxf>
    <dxf>
      <font>
        <b/>
        <i val="0"/>
        <color rgb="FF0068FF"/>
      </font>
    </dxf>
    <dxf>
      <font>
        <b/>
        <i val="0"/>
        <color rgb="FF03CA77"/>
      </font>
    </dxf>
  </dxfs>
  <tableStyles count="0" defaultTableStyle="TableStyleMedium2" defaultPivotStyle="PivotStyleLight16"/>
  <colors>
    <mruColors>
      <color rgb="FFFFD6DD"/>
      <color rgb="FFFF4062"/>
      <color rgb="FFD9E1F2"/>
      <color rgb="FFFFF2CC"/>
      <color rgb="FFFEDEE5"/>
      <color rgb="FFFFEFF9"/>
      <color rgb="FFFCE4D6"/>
      <color rgb="FFE2EFDA"/>
      <color rgb="FFE2ECEE"/>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6.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editAs="absolute">
    <xdr:from>
      <xdr:col>1</xdr:col>
      <xdr:colOff>30816</xdr:colOff>
      <xdr:row>1</xdr:row>
      <xdr:rowOff>50613</xdr:rowOff>
    </xdr:from>
    <xdr:to>
      <xdr:col>2</xdr:col>
      <xdr:colOff>26707</xdr:colOff>
      <xdr:row>1</xdr:row>
      <xdr:rowOff>1169706</xdr:rowOff>
    </xdr:to>
    <mc:AlternateContent xmlns:mc="http://schemas.openxmlformats.org/markup-compatibility/2006" xmlns:sle15="http://schemas.microsoft.com/office/drawing/2012/slicer">
      <mc:Choice Requires="sle15">
        <xdr:graphicFrame macro="">
          <xdr:nvGraphicFramePr>
            <xdr:cNvPr id="2" name="signal_level">
              <a:extLst>
                <a:ext uri="{FF2B5EF4-FFF2-40B4-BE49-F238E27FC236}">
                  <a16:creationId xmlns:a16="http://schemas.microsoft.com/office/drawing/2014/main" id="{BAE082F2-EE81-4804-98C9-641C1A66C011}"/>
                </a:ext>
              </a:extLst>
            </xdr:cNvPr>
            <xdr:cNvGraphicFramePr/>
          </xdr:nvGraphicFramePr>
          <xdr:xfrm>
            <a:off x="0" y="0"/>
            <a:ext cx="0" cy="0"/>
          </xdr:xfrm>
          <a:graphic>
            <a:graphicData uri="http://schemas.microsoft.com/office/drawing/2010/slicer">
              <sle:slicer xmlns:sle="http://schemas.microsoft.com/office/drawing/2010/slicer" name="signal_level"/>
            </a:graphicData>
          </a:graphic>
        </xdr:graphicFrame>
      </mc:Choice>
      <mc:Fallback xmlns="">
        <xdr:sp macro="" textlink="">
          <xdr:nvSpPr>
            <xdr:cNvPr id="0" name=""/>
            <xdr:cNvSpPr>
              <a:spLocks noTextEdit="1"/>
            </xdr:cNvSpPr>
          </xdr:nvSpPr>
          <xdr:spPr>
            <a:xfrm>
              <a:off x="599141" y="249144"/>
              <a:ext cx="1996888" cy="112544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104775</xdr:colOff>
      <xdr:row>1</xdr:row>
      <xdr:rowOff>48746</xdr:rowOff>
    </xdr:from>
    <xdr:to>
      <xdr:col>2</xdr:col>
      <xdr:colOff>952980</xdr:colOff>
      <xdr:row>1</xdr:row>
      <xdr:rowOff>1180353</xdr:rowOff>
    </xdr:to>
    <mc:AlternateContent xmlns:mc="http://schemas.openxmlformats.org/markup-compatibility/2006" xmlns:sle15="http://schemas.microsoft.com/office/drawing/2012/slicer">
      <mc:Choice Requires="sle15">
        <xdr:graphicFrame macro="">
          <xdr:nvGraphicFramePr>
            <xdr:cNvPr id="3" name="week">
              <a:extLst>
                <a:ext uri="{FF2B5EF4-FFF2-40B4-BE49-F238E27FC236}">
                  <a16:creationId xmlns:a16="http://schemas.microsoft.com/office/drawing/2014/main" id="{C99D0631-049F-48C4-903B-E7E5AC5C7814}"/>
                </a:ext>
              </a:extLst>
            </xdr:cNvPr>
            <xdr:cNvGraphicFramePr/>
          </xdr:nvGraphicFramePr>
          <xdr:xfrm>
            <a:off x="0" y="0"/>
            <a:ext cx="0" cy="0"/>
          </xdr:xfrm>
          <a:graphic>
            <a:graphicData uri="http://schemas.microsoft.com/office/drawing/2010/slicer">
              <sle:slicer xmlns:sle="http://schemas.microsoft.com/office/drawing/2010/slicer" name="week"/>
            </a:graphicData>
          </a:graphic>
        </xdr:graphicFrame>
      </mc:Choice>
      <mc:Fallback xmlns="">
        <xdr:sp macro="" textlink="">
          <xdr:nvSpPr>
            <xdr:cNvPr id="0" name=""/>
            <xdr:cNvSpPr>
              <a:spLocks noTextEdit="1"/>
            </xdr:cNvSpPr>
          </xdr:nvSpPr>
          <xdr:spPr>
            <a:xfrm>
              <a:off x="2667747" y="247277"/>
              <a:ext cx="851380" cy="113478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1115093</xdr:colOff>
      <xdr:row>1</xdr:row>
      <xdr:rowOff>44824</xdr:rowOff>
    </xdr:from>
    <xdr:to>
      <xdr:col>3</xdr:col>
      <xdr:colOff>515151</xdr:colOff>
      <xdr:row>1</xdr:row>
      <xdr:rowOff>1187824</xdr:rowOff>
    </xdr:to>
    <mc:AlternateContent xmlns:mc="http://schemas.openxmlformats.org/markup-compatibility/2006" xmlns:sle15="http://schemas.microsoft.com/office/drawing/2012/slicer">
      <mc:Choice Requires="sle15">
        <xdr:graphicFrame macro="">
          <xdr:nvGraphicFramePr>
            <xdr:cNvPr id="4" name="topic_group">
              <a:extLst>
                <a:ext uri="{FF2B5EF4-FFF2-40B4-BE49-F238E27FC236}">
                  <a16:creationId xmlns:a16="http://schemas.microsoft.com/office/drawing/2014/main" id="{36C01FAF-215A-452F-8067-63959B6D764F}"/>
                </a:ext>
              </a:extLst>
            </xdr:cNvPr>
            <xdr:cNvGraphicFramePr/>
          </xdr:nvGraphicFramePr>
          <xdr:xfrm>
            <a:off x="0" y="0"/>
            <a:ext cx="0" cy="0"/>
          </xdr:xfrm>
          <a:graphic>
            <a:graphicData uri="http://schemas.microsoft.com/office/drawing/2010/slicer">
              <sle:slicer xmlns:sle="http://schemas.microsoft.com/office/drawing/2010/slicer" name="topic_group"/>
            </a:graphicData>
          </a:graphic>
        </xdr:graphicFrame>
      </mc:Choice>
      <mc:Fallback xmlns="">
        <xdr:sp macro="" textlink="">
          <xdr:nvSpPr>
            <xdr:cNvPr id="0" name=""/>
            <xdr:cNvSpPr>
              <a:spLocks noTextEdit="1"/>
            </xdr:cNvSpPr>
          </xdr:nvSpPr>
          <xdr:spPr>
            <a:xfrm>
              <a:off x="3678065" y="249705"/>
              <a:ext cx="1822930" cy="1143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638042</xdr:colOff>
      <xdr:row>1</xdr:row>
      <xdr:rowOff>46131</xdr:rowOff>
    </xdr:from>
    <xdr:to>
      <xdr:col>5</xdr:col>
      <xdr:colOff>273559</xdr:colOff>
      <xdr:row>1</xdr:row>
      <xdr:rowOff>1183162</xdr:rowOff>
    </xdr:to>
    <mc:AlternateContent xmlns:mc="http://schemas.openxmlformats.org/markup-compatibility/2006" xmlns:sle15="http://schemas.microsoft.com/office/drawing/2012/slicer">
      <mc:Choice Requires="sle15">
        <xdr:graphicFrame macro="">
          <xdr:nvGraphicFramePr>
            <xdr:cNvPr id="5" name="sub_topic_group">
              <a:extLst>
                <a:ext uri="{FF2B5EF4-FFF2-40B4-BE49-F238E27FC236}">
                  <a16:creationId xmlns:a16="http://schemas.microsoft.com/office/drawing/2014/main" id="{EEC879C8-20FB-4F78-90FD-EC3DC9482699}"/>
                </a:ext>
              </a:extLst>
            </xdr:cNvPr>
            <xdr:cNvGraphicFramePr/>
          </xdr:nvGraphicFramePr>
          <xdr:xfrm>
            <a:off x="0" y="0"/>
            <a:ext cx="0" cy="0"/>
          </xdr:xfrm>
          <a:graphic>
            <a:graphicData uri="http://schemas.microsoft.com/office/drawing/2010/slicer">
              <sle:slicer xmlns:sle="http://schemas.microsoft.com/office/drawing/2010/slicer" name="sub_topic_group"/>
            </a:graphicData>
          </a:graphic>
        </xdr:graphicFrame>
      </mc:Choice>
      <mc:Fallback xmlns="">
        <xdr:sp macro="" textlink="">
          <xdr:nvSpPr>
            <xdr:cNvPr id="0" name=""/>
            <xdr:cNvSpPr>
              <a:spLocks noTextEdit="1"/>
            </xdr:cNvSpPr>
          </xdr:nvSpPr>
          <xdr:spPr>
            <a:xfrm>
              <a:off x="5620711" y="251012"/>
              <a:ext cx="1830882" cy="113385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314967</xdr:colOff>
      <xdr:row>1</xdr:row>
      <xdr:rowOff>50613</xdr:rowOff>
    </xdr:from>
    <xdr:to>
      <xdr:col>7</xdr:col>
      <xdr:colOff>780037</xdr:colOff>
      <xdr:row>1</xdr:row>
      <xdr:rowOff>1181294</xdr:rowOff>
    </xdr:to>
    <mc:AlternateContent xmlns:mc="http://schemas.openxmlformats.org/markup-compatibility/2006" xmlns:sle15="http://schemas.microsoft.com/office/drawing/2012/slicer">
      <mc:Choice Requires="sle15">
        <xdr:graphicFrame macro="">
          <xdr:nvGraphicFramePr>
            <xdr:cNvPr id="6" name="category">
              <a:extLst>
                <a:ext uri="{FF2B5EF4-FFF2-40B4-BE49-F238E27FC236}">
                  <a16:creationId xmlns:a16="http://schemas.microsoft.com/office/drawing/2014/main" id="{51D3AC45-7796-4D5A-8AF7-B270DD08A0D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548337" y="249144"/>
              <a:ext cx="1822930" cy="113385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913874</xdr:colOff>
      <xdr:row>1</xdr:row>
      <xdr:rowOff>38100</xdr:rowOff>
    </xdr:from>
    <xdr:to>
      <xdr:col>8</xdr:col>
      <xdr:colOff>160999</xdr:colOff>
      <xdr:row>1</xdr:row>
      <xdr:rowOff>1168781</xdr:rowOff>
    </xdr:to>
    <mc:AlternateContent xmlns:mc="http://schemas.openxmlformats.org/markup-compatibility/2006" xmlns:sle15="http://schemas.microsoft.com/office/drawing/2012/slicer">
      <mc:Choice Requires="sle15">
        <xdr:graphicFrame macro="">
          <xdr:nvGraphicFramePr>
            <xdr:cNvPr id="7" name="subcategory">
              <a:extLst>
                <a:ext uri="{FF2B5EF4-FFF2-40B4-BE49-F238E27FC236}">
                  <a16:creationId xmlns:a16="http://schemas.microsoft.com/office/drawing/2014/main" id="{B385FCF3-809D-4C22-A4C6-A7FF9A939862}"/>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9486740" y="239806"/>
              <a:ext cx="1820795" cy="113385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gnal_level" xr10:uid="{53A6BCE7-2730-4D43-B0A5-1725B25BBA2C}" sourceName="signal_level">
  <extLst>
    <x:ext xmlns:x15="http://schemas.microsoft.com/office/spreadsheetml/2010/11/main" uri="{2F2917AC-EB37-4324-AD4E-5DD8C200BD13}">
      <x15:tableSlicerCache tableId="7" column="5"/>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 xr10:uid="{3FAF1A42-CFB5-4708-AC4C-807FB1100EBC}" sourceName="week">
  <extLst>
    <x:ext xmlns:x15="http://schemas.microsoft.com/office/spreadsheetml/2010/11/main" uri="{2F2917AC-EB37-4324-AD4E-5DD8C200BD13}">
      <x15:tableSlicerCache tableId="7" column="6"/>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ic_group" xr10:uid="{45483ADD-C2F1-44DF-A268-F4AB25140737}" sourceName="topic_group">
  <extLst>
    <x:ext xmlns:x15="http://schemas.microsoft.com/office/spreadsheetml/2010/11/main" uri="{2F2917AC-EB37-4324-AD4E-5DD8C200BD13}">
      <x15:tableSlicerCache tableId="7" column="10"/>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topic_group" xr10:uid="{B34B3072-8549-4C8F-87F3-24F885474E30}" sourceName="sub_topic_group">
  <extLst>
    <x:ext xmlns:x15="http://schemas.microsoft.com/office/spreadsheetml/2010/11/main" uri="{2F2917AC-EB37-4324-AD4E-5DD8C200BD13}">
      <x15:tableSlicerCache tableId="7" column="11"/>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AAC3E9-B29B-4869-B365-B698B4F114BF}" sourceName="category">
  <extLst>
    <x:ext xmlns:x15="http://schemas.microsoft.com/office/spreadsheetml/2010/11/main" uri="{2F2917AC-EB37-4324-AD4E-5DD8C200BD13}">
      <x15:tableSlicerCache tableId="7" column="12"/>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category" xr10:uid="{3BB420DC-E28B-4F54-BEEC-D743F223E2E5}" sourceName="subcategory">
  <extLst>
    <x:ext xmlns:x15="http://schemas.microsoft.com/office/spreadsheetml/2010/11/main" uri="{2F2917AC-EB37-4324-AD4E-5DD8C200BD13}">
      <x15:tableSlicerCache tableId="7" column="1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gnal_level" xr10:uid="{05A1108C-BF9A-4D88-B4DE-772DA74B6B8E}" cache="Slicer_signal_level" caption="signal_level" style="SlicerStyleOther1" rowHeight="241300"/>
  <slicer name="week" xr10:uid="{B2285CF0-6E9B-44A1-91BA-1D5366B8E4D1}" cache="Slicer_week" caption="week" startItem="3" style="SlicerStyleOther1" rowHeight="241300"/>
  <slicer name="topic_group" xr10:uid="{A8D5E4D5-270E-4572-BAC9-D09A85AC6A31}" cache="Slicer_topic_group" caption="topic_group" style="SlicerStyleOther1" rowHeight="241300"/>
  <slicer name="sub_topic_group" xr10:uid="{B43B4FA9-5BD0-4467-BC58-3A46E1A123E9}" cache="Slicer_sub_topic_group" caption="sub_topic_group" startItem="10" style="SlicerStyleOther1" rowHeight="241300"/>
  <slicer name="category" xr10:uid="{E94D2C93-CC55-4713-B192-74308C39CBBE}" cache="Slicer_category" caption="category" style="SlicerStyleOther1" rowHeight="241300"/>
  <slicer name="subcategory" xr10:uid="{8A3A89D8-6834-4944-88C6-A2271C3719AC}" cache="Slicer_subcategory" caption="subcategory"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505F7F-8603-440E-B9FE-7EADA76D9744}" name="crawl_data_source" displayName="crawl_data_source" ref="A5:O34" totalsRowShown="0" headerRowDxfId="86" dataDxfId="85">
  <autoFilter ref="A5:O34" xr:uid="{CC505F7F-8603-440E-B9FE-7EADA76D9744}"/>
  <tableColumns count="15">
    <tableColumn id="1" xr3:uid="{15AD6EE6-1751-45CF-85B7-9C1DD81B0ED3}" name="no" dataDxfId="84"/>
    <tableColumn id="2" xr3:uid="{BD7E0E8A-4451-495D-972F-4AB32414CD4D}" name="topic_group" dataDxfId="83"/>
    <tableColumn id="3" xr3:uid="{70EAE7ED-81F4-4F2D-AA12-9731FFF4E779}" name="source_name" dataDxfId="82"/>
    <tableColumn id="15" xr3:uid="{21901782-5CC8-4A5F-A3C5-548D9645E5E7}" name="chuyên mục" dataDxfId="81"/>
    <tableColumn id="4" xr3:uid="{B44781E3-C0D7-44A6-B3AC-4D0CF74C4D43}" name="original_source_url" dataDxfId="80" dataCellStyle="Hyperlink"/>
    <tableColumn id="10" xr3:uid="{FFB1C09B-E326-46CF-921D-38C5F29971F5}" name="source_url" dataDxfId="79">
      <calculatedColumnFormula>E6</calculatedColumnFormula>
    </tableColumn>
    <tableColumn id="11" xr3:uid="{BB222977-5AC6-424E-99B5-479C335D5358}" name="overview" dataDxfId="78"/>
    <tableColumn id="12" xr3:uid="{BC613010-2EF0-4090-9951-B7FBC6B1182A}" name="characteristics" dataDxfId="77"/>
    <tableColumn id="13" xr3:uid="{B8D92598-810D-451F-A8E3-13ACE3C816DF}" name="method" dataDxfId="76"/>
    <tableColumn id="14" xr3:uid="{E4CD4F8C-5984-4165-82B7-8B810902AFC2}" name="note" dataDxfId="75"/>
    <tableColumn id="16" xr3:uid="{7E5E0BC6-186B-4CF8-9BC3-282E13DC8E14}" name="extract_source" dataDxfId="74"/>
    <tableColumn id="17" xr3:uid="{4F43CAFA-3167-4770-B0B9-FBA27DFF3671}" name="date_edit" dataDxfId="73"/>
    <tableColumn id="18" xr3:uid="{4071A9F5-FE1C-4320-B6C5-BDB6D4655E21}" name="Column1" dataDxfId="72"/>
    <tableColumn id="19" xr3:uid="{0E8BD35A-1025-4A5A-96E8-A95A1AE6BEC0}" name="Column2" dataDxfId="71"/>
    <tableColumn id="20" xr3:uid="{84B85917-8946-42E7-A932-30672A24C6AC}" name="Column3" dataDxfId="7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5821109-E765-4764-BF59-06F9A835700E}" name="Table6" displayName="Table6" ref="A4:E38" totalsRowShown="0" headerRowDxfId="69" headerRowBorderDxfId="67" tableBorderDxfId="68" totalsRowBorderDxfId="66">
  <autoFilter ref="A4:E38" xr:uid="{35821109-E765-4764-BF59-06F9A835700E}"/>
  <sortState xmlns:xlrd2="http://schemas.microsoft.com/office/spreadsheetml/2017/richdata2" ref="A5:E38">
    <sortCondition ref="B4:B38"/>
  </sortState>
  <tableColumns count="5">
    <tableColumn id="1" xr3:uid="{AC3BEBF0-3D96-4745-B6B9-1421F59C7D08}" name="no" dataDxfId="65"/>
    <tableColumn id="2" xr3:uid="{CE7BF0F4-5474-4D38-B484-C378088EB61A}" name="priority" dataDxfId="64"/>
    <tableColumn id="3" xr3:uid="{DD8EF5E0-2870-4FE0-B018-EF2B22EC58A3}" name="source_name" dataDxfId="63"/>
    <tableColumn id="4" xr3:uid="{31DA2AC9-A9A2-4D28-A278-8E34BB9CFFAB}" name="chuyên mục" dataDxfId="62"/>
    <tableColumn id="5" xr3:uid="{6170E26A-5612-4DA8-BFBB-43498EE8B323}" name="original_source_url" dataDxfId="6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8223997-A83E-4088-AE71-A03810EA9097}" name="source_name_code" displayName="source_name_code" ref="A3:B14" totalsRowShown="0" headerRowDxfId="60" dataDxfId="59">
  <autoFilter ref="A3:B14" xr:uid="{C8223997-A83E-4088-AE71-A03810EA9097}"/>
  <tableColumns count="2">
    <tableColumn id="1" xr3:uid="{0EF6BA00-43E4-491E-91D0-DE6002DC8480}" name="code" dataDxfId="58"/>
    <tableColumn id="2" xr3:uid="{07C953F2-12D4-49C5-9F6F-F4FA49AF0C24}" name="source_name" dataDxfId="5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D153F6E-9046-453C-8B0D-9E7C95AF6065}" name="topic_group_code" displayName="topic_group_code" ref="A19:F32" totalsRowShown="0" headerRowDxfId="56" dataDxfId="55">
  <autoFilter ref="A19:F32" xr:uid="{0D153F6E-9046-453C-8B0D-9E7C95AF6065}"/>
  <tableColumns count="6">
    <tableColumn id="1" xr3:uid="{06C2DB9A-670A-49C2-A3A1-C09D3465F2FA}" name="no_1" dataDxfId="54"/>
    <tableColumn id="2" xr3:uid="{3D2B873F-AAC6-40A8-B793-48B338108727}" name="topic_group" dataDxfId="53"/>
    <tableColumn id="3" xr3:uid="{286B65E6-9672-4F35-A570-8B427426B079}" name="no_2" dataDxfId="52">
      <calculatedColumnFormula>COUNTIF($B$20:B20,B20)</calculatedColumnFormula>
    </tableColumn>
    <tableColumn id="4" xr3:uid="{FB79B665-938A-4CA5-9366-50CDD20CF432}" name="sub_topic_group" dataDxfId="51"/>
    <tableColumn id="5" xr3:uid="{D1BE420E-E5C9-4B2A-82A8-4C820707A534}" name="no_final" dataDxfId="50">
      <calculatedColumnFormula>_xlfn.TEXTJOIN(".",TRUE,A20,C20)</calculatedColumnFormula>
    </tableColumn>
    <tableColumn id="6" xr3:uid="{0556522D-1FB8-4B24-A978-AD43DA2962D7}" name="topic_aggregrate" dataDxfId="49">
      <calculatedColumnFormula>_xlfn.TEXTJOIN(" | ",TRUE,B20,D20)</calculatedColumnFormula>
    </tableColum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65B9DB6-C5E1-488E-A422-12CF54E746D5}" name="category_group_code" displayName="category_group_code" ref="A37:E48" totalsRowShown="0" headerRowDxfId="48" dataDxfId="47">
  <autoFilter ref="A37:E48" xr:uid="{D65B9DB6-C5E1-488E-A422-12CF54E746D5}"/>
  <tableColumns count="5">
    <tableColumn id="1" xr3:uid="{325B09BB-1A59-459F-BEF8-407487572BBF}" name="no_1" dataDxfId="46"/>
    <tableColumn id="2" xr3:uid="{5CC34470-B256-44A8-92D4-7F3AAA5DB6A2}" name="topic_group" dataDxfId="45"/>
    <tableColumn id="3" xr3:uid="{F1D55B72-FC8C-4AB6-BBDC-B47B7B9DCCDC}" name="no_3" dataDxfId="44">
      <calculatedColumnFormula>COUNTIF($B$38:B38,B38)</calculatedColumnFormula>
    </tableColumn>
    <tableColumn id="4" xr3:uid="{F563CC71-F88F-45BC-B09E-FD53EECBE87D}" name="category_group" dataDxfId="43"/>
    <tableColumn id="5" xr3:uid="{A089C535-A4DF-409D-B4FF-A4F616258F85}" name="definition" dataDxfId="4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2554ADD-937B-42AB-AF0F-8BF682438185}" name="sub_category_code" displayName="sub_category_code" ref="A52:F110" totalsRowShown="0" headerRowDxfId="41" dataDxfId="40">
  <autoFilter ref="A52:F110" xr:uid="{D2554ADD-937B-42AB-AF0F-8BF682438185}"/>
  <tableColumns count="6">
    <tableColumn id="1" xr3:uid="{7C199E0F-D07C-49DF-8170-C822262D2399}" name="no_3" dataDxfId="39">
      <calculatedColumnFormula>_xlfn.XLOOKUP(B53,$D$38:$D$48,$C$38:$C$48)</calculatedColumnFormula>
    </tableColumn>
    <tableColumn id="2" xr3:uid="{20ADDBDF-BA10-4227-B128-483119756140}" name="category_group" dataDxfId="38"/>
    <tableColumn id="3" xr3:uid="{CEAEC653-317A-4467-AA10-C65A7F27C4C4}" name="no_4" dataDxfId="37">
      <calculatedColumnFormula>COUNTIF($B$53:B53,B53)</calculatedColumnFormula>
    </tableColumn>
    <tableColumn id="4" xr3:uid="{23A8CA3D-06AB-4B7F-8622-69C7471BD402}" name="sub_category_group" dataDxfId="36"/>
    <tableColumn id="5" xr3:uid="{79EE91EC-E870-4011-A78B-26C1B28E730A}" name="no_final" dataDxfId="35">
      <calculatedColumnFormula>_xlfn.TEXTJOIN(".",TRUE,A53,C53)</calculatedColumnFormula>
    </tableColumn>
    <tableColumn id="6" xr3:uid="{7CAB2CC6-B838-4C87-8B0B-B5F1DBB5585B}" name="topic_aggregrate" dataDxfId="34">
      <calculatedColumnFormula>_xlfn.TEXTJOIN(" | ",TRUE,B53,D53)</calculatedColumnFormula>
    </tableColumn>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9517329-7697-4CD6-A741-A2D09B325D52}" name="Database" displayName="Database" ref="A3:Z482" totalsRowShown="0" headerRowDxfId="19">
  <autoFilter ref="A3:Z482" xr:uid="{F9517329-7697-4CD6-A741-A2D09B325D52}">
    <filterColumn colId="5">
      <filters>
        <filter val="18"/>
      </filters>
    </filterColumn>
  </autoFilter>
  <tableColumns count="26">
    <tableColumn id="1" xr3:uid="{C46577B3-D332-43CF-B418-8F029FB8F00D}" name="id" dataDxfId="18"/>
    <tableColumn id="2" xr3:uid="{93999FD9-B976-4FA5-B712-895F480A7C9F}" name="url" dataCellStyle="Hyperlink"/>
    <tableColumn id="3" xr3:uid="{4AA8FA5E-1D92-4E25-8907-32BC7EB6B007}" name="hyperlink" dataCellStyle="Hyperlink">
      <calculatedColumnFormula>HYPERLINK(B4,O4)</calculatedColumnFormula>
    </tableColumn>
    <tableColumn id="4" xr3:uid="{CFA024D1-583A-4943-AE58-CF9F341931C6}" name="source_name"/>
    <tableColumn id="5" xr3:uid="{3C84BABA-6C26-46D0-9070-BE8C6CDF71D3}" name="signal_level" dataDxfId="17" dataCellStyle="Hyperlink">
      <calculatedColumnFormula>VLOOKUP(X4,'Updating-Scoring'!$C$2:$D$7,2,TRUE)</calculatedColumnFormula>
    </tableColumn>
    <tableColumn id="6" xr3:uid="{B0051526-AF43-4C0F-A244-C754C4BB7101}" name="week">
      <calculatedColumnFormula>WEEKNUM(G4,2)</calculatedColumnFormula>
    </tableColumn>
    <tableColumn id="7" xr3:uid="{245BD519-847E-4B36-AAD8-94C43A389705}" name="crawl_date" dataDxfId="16"/>
    <tableColumn id="8" xr3:uid="{43F1B464-1AF3-4D07-89C2-6E998DEDD7A1}" name="title_raw"/>
    <tableColumn id="9" xr3:uid="{A964F0DF-09BD-4D65-82E2-9C7B0DFAA319}" name="publish_date" dataDxfId="15"/>
    <tableColumn id="10" xr3:uid="{FBED6B65-92A4-452B-A92F-C607558AAF73}" name="topic_group"/>
    <tableColumn id="11" xr3:uid="{94E9A41B-BF12-4414-A990-9CD3C1038B3E}" name="sub_topic_group" dataDxfId="14"/>
    <tableColumn id="12" xr3:uid="{E91AEA1C-6D6A-45C9-83E4-B9A85AB2635A}" name="category" dataDxfId="13"/>
    <tableColumn id="13" xr3:uid="{BAAE5D2E-67B7-4887-9A98-8EC4B4772B94}" name="subcategory" dataDxfId="12"/>
    <tableColumn id="14" xr3:uid="{58A053CD-1659-4075-AAB7-1EAAE9F57B36}" name="merged_category" dataDxfId="11">
      <calculatedColumnFormula>L4&amp;" | "&amp;M4</calculatedColumnFormula>
    </tableColumn>
    <tableColumn id="15" xr3:uid="{48CB29B9-E200-4A20-978C-1AD807321E2D}" name="title_normalized" dataDxfId="10"/>
    <tableColumn id="16" xr3:uid="{0AE80902-C05C-40A6-B8F1-EC14CB1C6FB9}" name="summary" dataDxfId="9"/>
    <tableColumn id="17" xr3:uid="{90D915D0-AA25-4812-8651-CB1290BCA19D}" name="start_date" dataDxfId="8"/>
    <tableColumn id="18" xr3:uid="{0323EAB0-7188-456E-A254-A78BE19727D9}" name="end_date" dataDxfId="7"/>
    <tableColumn id="19" xr3:uid="{AE111EE1-ED8C-48BB-BAFC-F8C679FEFD97}" name="tags"/>
    <tableColumn id="20" xr3:uid="{9F2FC051-D49B-4889-9DDA-42CC4932BF2B}" name="R1"/>
    <tableColumn id="21" xr3:uid="{0C560A77-78DE-471F-89A8-6995A54B2A98}" name="R2"/>
    <tableColumn id="22" xr3:uid="{C6E154B6-E5FA-41E0-96A6-52D964F8F2A2}" name="R3"/>
    <tableColumn id="23" xr3:uid="{0D833649-2F0D-4767-9386-099F218B840C}" name="R4"/>
    <tableColumn id="24" xr3:uid="{40CA8EC7-6D7A-4F1F-A8E1-36C13BF6E2AA}" name="signal_score" dataDxfId="6" dataCellStyle="Hyperlink">
      <calculatedColumnFormula>IF(G4&lt;DATE(2026,4,30),T4*$T$1+U4*$U$1+V4*$V$1+W4*$W$1,T4*$T$2+U4*$U$2)</calculatedColumnFormula>
    </tableColumn>
    <tableColumn id="25" xr3:uid="{2DC97432-9F50-433A-ACBE-A7C4E574F172}" name="related _vertical" dataDxfId="5"/>
    <tableColumn id="26" xr3:uid="{1649586D-BB34-43F1-A833-C296A5FC59F3}" name="related_product_2" dataDxfId="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6" Type="http://schemas.openxmlformats.org/officeDocument/2006/relationships/hyperlink" Target="https://baotintuc.vn/thi-truong-tien-te-587ct128.htm" TargetMode="External"/><Relationship Id="rId21" Type="http://schemas.openxmlformats.org/officeDocument/2006/relationships/hyperlink" Target="https://dantri.com.vn/cong-nghe/an-ninh-mang/" TargetMode="External"/><Relationship Id="rId42" Type="http://schemas.openxmlformats.org/officeDocument/2006/relationships/hyperlink" Target="https://genk.vn/ai/" TargetMode="External"/><Relationship Id="rId47" Type="http://schemas.openxmlformats.org/officeDocument/2006/relationships/hyperlink" Target="https://genk.vn/tin-ict.chn" TargetMode="External"/><Relationship Id="rId63" Type="http://schemas.openxmlformats.org/officeDocument/2006/relationships/hyperlink" Target="https://vnexpress.net/category/day/cateid/1003159/" TargetMode="External"/><Relationship Id="rId68" Type="http://schemas.openxmlformats.org/officeDocument/2006/relationships/hyperlink" Target="https://merchant.grab.com/vn-vn/blog" TargetMode="External"/><Relationship Id="rId2" Type="http://schemas.openxmlformats.org/officeDocument/2006/relationships/hyperlink" Target="https://genk.vn/tin-ict.chn" TargetMode="External"/><Relationship Id="rId16" Type="http://schemas.openxmlformats.org/officeDocument/2006/relationships/hyperlink" Target="https://thuvienphapluat.vn/page/tim-van-ban.aspx?keyword=nhnn&amp;area=0&amp;type=0&amp;status=0&amp;lan=1&amp;org=0&amp;signer=0&amp;match=True&amp;sort=1" TargetMode="External"/><Relationship Id="rId29" Type="http://schemas.openxmlformats.org/officeDocument/2006/relationships/hyperlink" Target="https://genk.vn/ai/" TargetMode="External"/><Relationship Id="rId11" Type="http://schemas.openxmlformats.org/officeDocument/2006/relationships/hyperlink" Target="https://baotintuc.vn/thi-truong-tien-te-587ct128/d" TargetMode="External"/><Relationship Id="rId24" Type="http://schemas.openxmlformats.org/officeDocument/2006/relationships/hyperlink" Target="https://baotintuc.vn/thi-truong-tien-te-587ct128.htm" TargetMode="External"/><Relationship Id="rId32" Type="http://schemas.openxmlformats.org/officeDocument/2006/relationships/hyperlink" Target="https://baotintuc.vn/thi-truong-tien-te-587ct128.htm" TargetMode="External"/><Relationship Id="rId37" Type="http://schemas.openxmlformats.org/officeDocument/2006/relationships/hyperlink" Target="https://genk.vn/ai.chn" TargetMode="External"/><Relationship Id="rId40" Type="http://schemas.openxmlformats.org/officeDocument/2006/relationships/hyperlink" Target="https://genk.vn/ai/" TargetMode="External"/><Relationship Id="rId45" Type="http://schemas.openxmlformats.org/officeDocument/2006/relationships/hyperlink" Target="https://genk.vn/tin-ict.chn" TargetMode="External"/><Relationship Id="rId53" Type="http://schemas.openxmlformats.org/officeDocument/2006/relationships/hyperlink" Target="https://genk.vn/tin-ict/" TargetMode="External"/><Relationship Id="rId58" Type="http://schemas.openxmlformats.org/officeDocument/2006/relationships/hyperlink" Target="https://www.techinasia.com/category/fintech" TargetMode="External"/><Relationship Id="rId66" Type="http://schemas.openxmlformats.org/officeDocument/2006/relationships/hyperlink" Target="https://oa.zalo.me/home/resources/news" TargetMode="External"/><Relationship Id="rId74" Type="http://schemas.openxmlformats.org/officeDocument/2006/relationships/printerSettings" Target="../printerSettings/printerSettings2.bin"/><Relationship Id="rId5" Type="http://schemas.openxmlformats.org/officeDocument/2006/relationships/hyperlink" Target="https://vneconomy.vn/techconnect/tech-talk.htm" TargetMode="External"/><Relationship Id="rId61" Type="http://schemas.openxmlformats.org/officeDocument/2006/relationships/hyperlink" Target="https://www.techinasia.com/category/e-commerce-social-commerce" TargetMode="External"/><Relationship Id="rId19" Type="http://schemas.openxmlformats.org/officeDocument/2006/relationships/hyperlink" Target="https://dantri.com.vn/cong-nghe/ai-internet/" TargetMode="External"/><Relationship Id="rId14" Type="http://schemas.openxmlformats.org/officeDocument/2006/relationships/hyperlink" Target="https://www.momo.vn/tin-tuc" TargetMode="External"/><Relationship Id="rId22" Type="http://schemas.openxmlformats.org/officeDocument/2006/relationships/hyperlink" Target="https://baotintuc.vn/thi-truong-tien-te-587ct128.htm" TargetMode="External"/><Relationship Id="rId27" Type="http://schemas.openxmlformats.org/officeDocument/2006/relationships/hyperlink" Target="https://baotintuc.vn/thi-truong-tien-te-587ct128.htm" TargetMode="External"/><Relationship Id="rId30" Type="http://schemas.openxmlformats.org/officeDocument/2006/relationships/hyperlink" Target="https://genk.vn/tin-ict/" TargetMode="External"/><Relationship Id="rId35" Type="http://schemas.openxmlformats.org/officeDocument/2006/relationships/hyperlink" Target="https://genk.vn/ai.chn" TargetMode="External"/><Relationship Id="rId43" Type="http://schemas.openxmlformats.org/officeDocument/2006/relationships/hyperlink" Target="https://genk.vn/ai/" TargetMode="External"/><Relationship Id="rId48" Type="http://schemas.openxmlformats.org/officeDocument/2006/relationships/hyperlink" Target="https://genk.vn/tin-ict.chn" TargetMode="External"/><Relationship Id="rId56" Type="http://schemas.openxmlformats.org/officeDocument/2006/relationships/hyperlink" Target="https://genk.vn/tin-ict/" TargetMode="External"/><Relationship Id="rId64" Type="http://schemas.openxmlformats.org/officeDocument/2006/relationships/hyperlink" Target="https://blog.whatsapp.com/" TargetMode="External"/><Relationship Id="rId69" Type="http://schemas.openxmlformats.org/officeDocument/2006/relationships/hyperlink" Target="https://www.grab.com/vn/blog/" TargetMode="External"/><Relationship Id="rId8" Type="http://schemas.openxmlformats.org/officeDocument/2006/relationships/hyperlink" Target="https://baotintuc.vn/thi-truong-tien-te-587ct128/d" TargetMode="External"/><Relationship Id="rId51" Type="http://schemas.openxmlformats.org/officeDocument/2006/relationships/hyperlink" Target="https://genk.vn/tin-ict.chn" TargetMode="External"/><Relationship Id="rId72" Type="http://schemas.openxmlformats.org/officeDocument/2006/relationships/hyperlink" Target="https://vnexpress.net/khoa-hoc-cong-nghe" TargetMode="External"/><Relationship Id="rId3" Type="http://schemas.openxmlformats.org/officeDocument/2006/relationships/hyperlink" Target="https://vneconomy.vn/techconnect/" TargetMode="External"/><Relationship Id="rId12" Type="http://schemas.openxmlformats.org/officeDocument/2006/relationships/hyperlink" Target="https://zalopay.vn/tin-tuc" TargetMode="External"/><Relationship Id="rId17" Type="http://schemas.openxmlformats.org/officeDocument/2006/relationships/hyperlink" Target="https://luatvietnam.vn/ban-tin-luatvietnam/diem-tin-chinh-sach-moi-c559-article.html" TargetMode="External"/><Relationship Id="rId25" Type="http://schemas.openxmlformats.org/officeDocument/2006/relationships/hyperlink" Target="https://baotintuc.vn/thi-truong-tien-te-587ct128.htm" TargetMode="External"/><Relationship Id="rId33" Type="http://schemas.openxmlformats.org/officeDocument/2006/relationships/hyperlink" Target="https://genk.vn/ai.chn" TargetMode="External"/><Relationship Id="rId38" Type="http://schemas.openxmlformats.org/officeDocument/2006/relationships/hyperlink" Target="https://genk.vn/ai.chn" TargetMode="External"/><Relationship Id="rId46" Type="http://schemas.openxmlformats.org/officeDocument/2006/relationships/hyperlink" Target="https://genk.vn/tin-ict/" TargetMode="External"/><Relationship Id="rId59" Type="http://schemas.openxmlformats.org/officeDocument/2006/relationships/hyperlink" Target="https://techcrunch.com/category/apps/" TargetMode="External"/><Relationship Id="rId67" Type="http://schemas.openxmlformats.org/officeDocument/2006/relationships/hyperlink" Target="https://seller-vn.tiktok.com/university/essay?knowledge_id=8858869405370113" TargetMode="External"/><Relationship Id="rId20" Type="http://schemas.openxmlformats.org/officeDocument/2006/relationships/hyperlink" Target="https://dantri.com.vn/cong-nghe/an-ninh-mang.htm" TargetMode="External"/><Relationship Id="rId41" Type="http://schemas.openxmlformats.org/officeDocument/2006/relationships/hyperlink" Target="https://genk.vn/ai/" TargetMode="External"/><Relationship Id="rId54" Type="http://schemas.openxmlformats.org/officeDocument/2006/relationships/hyperlink" Target="https://genk.vn/tin-ict/" TargetMode="External"/><Relationship Id="rId62" Type="http://schemas.openxmlformats.org/officeDocument/2006/relationships/hyperlink" Target="https://www.scmp.com/tech" TargetMode="External"/><Relationship Id="rId70" Type="http://schemas.openxmlformats.org/officeDocument/2006/relationships/hyperlink" Target="https://banhang.shopee.vn/edu/category?sub_cat_id=1006" TargetMode="External"/><Relationship Id="rId75" Type="http://schemas.openxmlformats.org/officeDocument/2006/relationships/table" Target="../tables/table1.xml"/><Relationship Id="rId1" Type="http://schemas.openxmlformats.org/officeDocument/2006/relationships/hyperlink" Target="https://genk.vn/ai.chn" TargetMode="External"/><Relationship Id="rId6" Type="http://schemas.openxmlformats.org/officeDocument/2006/relationships/hyperlink" Target="https://baotintuc.vn/thi-truong-tien-te-587ct128/d" TargetMode="External"/><Relationship Id="rId15" Type="http://schemas.openxmlformats.org/officeDocument/2006/relationships/hyperlink" Target="https://thuvienphapluat.vn/page/tim-van-ban.aspx?keyword=nhnn&amp;area=0&amp;type=0&amp;status=0&amp;lan=1&amp;org=0&amp;signer=0&amp;match=True&amp;sort=1&amp;bdate=31/12/2025&amp;edate=31/12/2025" TargetMode="External"/><Relationship Id="rId23" Type="http://schemas.openxmlformats.org/officeDocument/2006/relationships/hyperlink" Target="https://vnexpress.net/category/day/cateid/1006219/" TargetMode="External"/><Relationship Id="rId28" Type="http://schemas.openxmlformats.org/officeDocument/2006/relationships/hyperlink" Target="https://baotintuc.vn/thi-truong-tien-te-587ct128.htm" TargetMode="External"/><Relationship Id="rId36" Type="http://schemas.openxmlformats.org/officeDocument/2006/relationships/hyperlink" Target="https://genk.vn/ai.chn" TargetMode="External"/><Relationship Id="rId49" Type="http://schemas.openxmlformats.org/officeDocument/2006/relationships/hyperlink" Target="https://genk.vn/tin-ict.chn" TargetMode="External"/><Relationship Id="rId57" Type="http://schemas.openxmlformats.org/officeDocument/2006/relationships/hyperlink" Target="https://www.bloomberg.com/technology/consumer-tech" TargetMode="External"/><Relationship Id="rId10" Type="http://schemas.openxmlformats.org/officeDocument/2006/relationships/hyperlink" Target="https://baotintuc.vn/thi-truong-tien-te-587ct128/d" TargetMode="External"/><Relationship Id="rId31" Type="http://schemas.openxmlformats.org/officeDocument/2006/relationships/hyperlink" Target="https://baotintuc.vn/thi-truong-tien-te-587ct128/d" TargetMode="External"/><Relationship Id="rId44" Type="http://schemas.openxmlformats.org/officeDocument/2006/relationships/hyperlink" Target="https://genk.vn/ai/" TargetMode="External"/><Relationship Id="rId52" Type="http://schemas.openxmlformats.org/officeDocument/2006/relationships/hyperlink" Target="https://genk.vn/tin-ict/" TargetMode="External"/><Relationship Id="rId60" Type="http://schemas.openxmlformats.org/officeDocument/2006/relationships/hyperlink" Target="https://www.techinasia.com/category/consumer-tech" TargetMode="External"/><Relationship Id="rId65" Type="http://schemas.openxmlformats.org/officeDocument/2006/relationships/hyperlink" Target="https://telegram.org/blog" TargetMode="External"/><Relationship Id="rId73" Type="http://schemas.openxmlformats.org/officeDocument/2006/relationships/hyperlink" Target="https://vnexpress.net/kinh-doanh" TargetMode="External"/><Relationship Id="rId4" Type="http://schemas.openxmlformats.org/officeDocument/2006/relationships/hyperlink" Target="https://vneconomy.vn/techconnect/tech-lifestyle.htm" TargetMode="External"/><Relationship Id="rId9" Type="http://schemas.openxmlformats.org/officeDocument/2006/relationships/hyperlink" Target="https://baotintuc.vn/thi-truong-tien-te-587ct128/d" TargetMode="External"/><Relationship Id="rId13" Type="http://schemas.openxmlformats.org/officeDocument/2006/relationships/hyperlink" Target="https://zalopay.vn/khuyen-mai" TargetMode="External"/><Relationship Id="rId18" Type="http://schemas.openxmlformats.org/officeDocument/2006/relationships/hyperlink" Target="https://luatvietnam.vn/ban-tin-luatvietnam/diem-tin-van-ban-moi-c220-article.html" TargetMode="External"/><Relationship Id="rId39" Type="http://schemas.openxmlformats.org/officeDocument/2006/relationships/hyperlink" Target="https://genk.vn/ai.chn" TargetMode="External"/><Relationship Id="rId34" Type="http://schemas.openxmlformats.org/officeDocument/2006/relationships/hyperlink" Target="https://genk.vn/ai/" TargetMode="External"/><Relationship Id="rId50" Type="http://schemas.openxmlformats.org/officeDocument/2006/relationships/hyperlink" Target="https://genk.vn/tin-ict.chn" TargetMode="External"/><Relationship Id="rId55" Type="http://schemas.openxmlformats.org/officeDocument/2006/relationships/hyperlink" Target="https://genk.vn/tin-ict/" TargetMode="External"/><Relationship Id="rId7" Type="http://schemas.openxmlformats.org/officeDocument/2006/relationships/hyperlink" Target="https://baotintuc.vn/thi-truong-tien-te-587ct128/d" TargetMode="External"/><Relationship Id="rId71" Type="http://schemas.openxmlformats.org/officeDocument/2006/relationships/hyperlink" Target="https://dantri.com.vn/cong-nghe/ai-internet/from/2026-02-23/to/2026-02-23.htm"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4.bin"/><Relationship Id="rId5" Type="http://schemas.openxmlformats.org/officeDocument/2006/relationships/table" Target="../tables/table6.xml"/><Relationship Id="rId4" Type="http://schemas.openxmlformats.org/officeDocument/2006/relationships/table" Target="../tables/table5.xml"/></Relationships>
</file>

<file path=xl/worksheets/_rels/sheet8.xml.rels><?xml version="1.0" encoding="UTF-8" standalone="yes"?>
<Relationships xmlns="http://schemas.openxmlformats.org/package/2006/relationships"><Relationship Id="rId26" Type="http://schemas.openxmlformats.org/officeDocument/2006/relationships/hyperlink" Target="https://vinwonders.com/vi/uu-dai/zalopay-nhan-uu-dai-dat-vinpearl-vinwonders/?utm_source=chatgpt.com" TargetMode="External"/><Relationship Id="rId21" Type="http://schemas.openxmlformats.org/officeDocument/2006/relationships/hyperlink" Target="https://www.momo.vn/tin-tuc/khuyen-mai/thanh-toan-quoc-te-qua-momo-tai-mang-luoi-napas-8596" TargetMode="External"/><Relationship Id="rId42" Type="http://schemas.openxmlformats.org/officeDocument/2006/relationships/hyperlink" Target="https://www.momo.vn/tin-tuc/khuyen-mai/dac-quyen-dang-rieng-cho-ban-moi-momo-giao-dich-8667" TargetMode="External"/><Relationship Id="rId47" Type="http://schemas.openxmlformats.org/officeDocument/2006/relationships/hyperlink" Target="https://www.momo.vn/tin-tuc/khuyen-mai/ket-noi-le-suot-24h-can-nap-data-4g-5g-hay-tien-8597" TargetMode="External"/><Relationship Id="rId63" Type="http://schemas.openxmlformats.org/officeDocument/2006/relationships/hyperlink" Target="https://banhang.shopee.vn/edu/article/27451" TargetMode="External"/><Relationship Id="rId68" Type="http://schemas.openxmlformats.org/officeDocument/2006/relationships/hyperlink" Target="https://www.facebook.com/share/p/17YvzqGAGW/?mibextid=wwXIfr" TargetMode="External"/><Relationship Id="rId84" Type="http://schemas.openxmlformats.org/officeDocument/2006/relationships/drawing" Target="../drawings/drawing1.xml"/><Relationship Id="rId16" Type="http://schemas.openxmlformats.org/officeDocument/2006/relationships/hyperlink" Target="https://www.momo.vn/tin-tuc/tin-tuc-su-kien/11h-15h-23-02-24-02-lac-xi-lay-10-mieng-vang-01-8484" TargetMode="External"/><Relationship Id="rId11" Type="http://schemas.openxmlformats.org/officeDocument/2006/relationships/hyperlink" Target="https://zalopay.vn/giam-den-50000d-khi-thanh-toan-fe-credit-tren-zalopay-6941" TargetMode="External"/><Relationship Id="rId32" Type="http://schemas.openxmlformats.org/officeDocument/2006/relationships/hyperlink" Target="https://www.traveloka.com/vi-vn/promotion/travel-to-malaysia?funnel_source=promotion-list-page&amp;funnel_id=desktop-web" TargetMode="External"/><Relationship Id="rId37" Type="http://schemas.openxmlformats.org/officeDocument/2006/relationships/hyperlink" Target="https://www.momo.vn/tin-tuc/tin-tuc-su-kien/quay-thuong-ting-ting-san-goi-youtube-premium-8675" TargetMode="External"/><Relationship Id="rId53" Type="http://schemas.openxmlformats.org/officeDocument/2006/relationships/hyperlink" Target="https://www.grab.com/vn/blog/uu-dai-ngan-hang-tpbank/" TargetMode="External"/><Relationship Id="rId58" Type="http://schemas.openxmlformats.org/officeDocument/2006/relationships/hyperlink" Target="https://post.oa.zalo.me/d/4462152339089565647?zl3rd=815789662550058820&amp;id=03b86082abc742991bd6&amp;pageId=4462152339089565647" TargetMode="External"/><Relationship Id="rId74" Type="http://schemas.openxmlformats.org/officeDocument/2006/relationships/hyperlink" Target="https://www.facebook.com/share/p/14aaJx5VaUh/?mibextid=wwXIfr" TargetMode="External"/><Relationship Id="rId79" Type="http://schemas.openxmlformats.org/officeDocument/2006/relationships/hyperlink" Target="https://onelink.zalopay.vn/zalopay-metrohcm-FB-post" TargetMode="External"/><Relationship Id="rId5" Type="http://schemas.openxmlformats.org/officeDocument/2006/relationships/hyperlink" Target="https://genk.vn/galaxy-s26-series-co-7-tinh-nang-ai-moi-tu-mo-app-goi-xe-dat-do-an-chinh-anh-bang-loi-noi-tu-nghe-cuoc-goi-nguoi-la-16526022601523337.chn" TargetMode="External"/><Relationship Id="rId19" Type="http://schemas.openxmlformats.org/officeDocument/2006/relationships/hyperlink" Target="https://www.momo.vn/tin-tuc/khuyen-mai/mo-bat-2026-voi-3-ngay-vang-gioi-thieu-momo-nhan-8325" TargetMode="External"/><Relationship Id="rId14" Type="http://schemas.openxmlformats.org/officeDocument/2006/relationships/hyperlink" Target="https://www.momo.vn/tin-tuc/tin-tuc-su-kien/15h-17h59-26-02-giat-li-xi-ngay-than-tai-tong-8490" TargetMode="External"/><Relationship Id="rId22" Type="http://schemas.openxmlformats.org/officeDocument/2006/relationships/hyperlink" Target="https://www.momo.vn/tin-tuc/thong-bao/sap-ra-mat-homie-tram-ket-noi-gia-dinh-ngay-tren-8574" TargetMode="External"/><Relationship Id="rId27" Type="http://schemas.openxmlformats.org/officeDocument/2006/relationships/hyperlink" Target="https://www.grab.com/vn/press/others/grab-chinh-thuc-phu-song-dich-vu-khap-ca-nuoc/" TargetMode="External"/><Relationship Id="rId30" Type="http://schemas.openxmlformats.org/officeDocument/2006/relationships/hyperlink" Target="https://www.traveloka.com/vi-vn/promotion/sale?funnel_source=promotion-list-page&amp;funnel_id=desktop-web" TargetMode="External"/><Relationship Id="rId35" Type="http://schemas.openxmlformats.org/officeDocument/2006/relationships/hyperlink" Target="https://www.grab.com/sg/press/others/grab-unveils-13-ai-powered-experiences-at-grabx-2026-as-southeast-asias-intelligent-everyday-guide/" TargetMode="External"/><Relationship Id="rId43" Type="http://schemas.openxmlformats.org/officeDocument/2006/relationships/hyperlink" Target="https://www.momo.vn/tin-tuc/thong-bao/thong-bao-thay-doi-phi-dich-vu-cua-vi-tra-sau-8666" TargetMode="External"/><Relationship Id="rId48" Type="http://schemas.openxmlformats.org/officeDocument/2006/relationships/hyperlink" Target="https://www.momo.vn/tin-tuc/tin-tuc-su-kien/mung-vietlott-sms-sap-dat-4-trieu-tai-khoan-tang-8624" TargetMode="External"/><Relationship Id="rId56" Type="http://schemas.openxmlformats.org/officeDocument/2006/relationships/hyperlink" Target="https://telegram.org/blog/ai-editor-mighty-polls-and-more" TargetMode="External"/><Relationship Id="rId64" Type="http://schemas.openxmlformats.org/officeDocument/2006/relationships/hyperlink" Target="https://banhang.shopee.vn/edu/article/27452" TargetMode="External"/><Relationship Id="rId69" Type="http://schemas.openxmlformats.org/officeDocument/2006/relationships/hyperlink" Target="https://www.facebook.com/share/p/18PxDQYxmw/?mibextid=wwXIfr" TargetMode="External"/><Relationship Id="rId77" Type="http://schemas.openxmlformats.org/officeDocument/2006/relationships/hyperlink" Target="https://www.techinasia.com/news/tiktok-launches-restaurant-recommendation-service-indonesia" TargetMode="External"/><Relationship Id="rId8" Type="http://schemas.openxmlformats.org/officeDocument/2006/relationships/hyperlink" Target="https://genk.vn/chi-dao-moi-nghien-cuu-tich-hop-mang-xa-hoi-vao-vneid-de-dinh-danh-nguoi-dung-ngay-trong-nam-2026-165260222142344609.chn" TargetMode="External"/><Relationship Id="rId51" Type="http://schemas.openxmlformats.org/officeDocument/2006/relationships/hyperlink" Target="https://www.momo.vn/tin-tuc/tin-tuc-su-kien/chinh-thuc-mo-ban-ve-gameverse-2026-san-ve-chi-1k-8621" TargetMode="External"/><Relationship Id="rId72" Type="http://schemas.openxmlformats.org/officeDocument/2006/relationships/hyperlink" Target="https://www.facebook.com/share/p/17nwMHMf6b/?mibextid=wwXIfr" TargetMode="External"/><Relationship Id="rId80" Type="http://schemas.openxmlformats.org/officeDocument/2006/relationships/hyperlink" Target="https://onelink.zalopay.vn/3614243751464987" TargetMode="External"/><Relationship Id="rId85" Type="http://schemas.openxmlformats.org/officeDocument/2006/relationships/table" Target="../tables/table7.xml"/><Relationship Id="rId3" Type="http://schemas.openxmlformats.org/officeDocument/2006/relationships/hyperlink" Target="https://baomoi.com/5-xu-huong-ai-se-dinh-hinh-chien-luoc-lanh-dao-nam-2026-c54541582.epi" TargetMode="External"/><Relationship Id="rId12" Type="http://schemas.openxmlformats.org/officeDocument/2006/relationships/hyperlink" Target="https://www.facebook.com/share/p/18EGxQ3xRn/?mibextid=wwXIfr" TargetMode="External"/><Relationship Id="rId17" Type="http://schemas.openxmlformats.org/officeDocument/2006/relationships/hyperlink" Target="https://www.momo.vn/tin-tuc/khuyen-mai/dac-quyen-khi-thanh-toan-bang-nguon-tien-mbbank-8497" TargetMode="External"/><Relationship Id="rId25" Type="http://schemas.openxmlformats.org/officeDocument/2006/relationships/hyperlink" Target="https://www.momo.vn/tin-tuc/khuyen-mai/mo-bat-2026-voi-3-ngay-vang-gioi-thieu-momo-nhan-8325" TargetMode="External"/><Relationship Id="rId33" Type="http://schemas.openxmlformats.org/officeDocument/2006/relationships/hyperlink" Target="https://www.traveloka.com/vi-vn/promotion/zalopayhygiene?funnel_source=promotion-list-page&amp;funnel_id=desktop-web" TargetMode="External"/><Relationship Id="rId38" Type="http://schemas.openxmlformats.org/officeDocument/2006/relationships/hyperlink" Target="https://www.momo.vn/tin-tuc/khuyen-mai/mien-phi-di-metro-dip-le-30-4-giam-them-50-di-xe-8673" TargetMode="External"/><Relationship Id="rId46" Type="http://schemas.openxmlformats.org/officeDocument/2006/relationships/hyperlink" Target="https://www.momo.vn/tin-tuc/khuyen-mai/vi-vu-quoc-te-cung-momo-x-alipay-quet-ma-thanh-8631" TargetMode="External"/><Relationship Id="rId59" Type="http://schemas.openxmlformats.org/officeDocument/2006/relationships/hyperlink" Target="https://post.oa.zalo.me/d/4249083813580660328?zl3rd=815789662550058820&amp;id=25f126c5ec8005de5c91&amp;pageId=4249083813580660328" TargetMode="External"/><Relationship Id="rId67" Type="http://schemas.openxmlformats.org/officeDocument/2006/relationships/hyperlink" Target="https://www.facebook.com/share/p/18m91UGuDV/?mibextid=wwXIfr" TargetMode="External"/><Relationship Id="rId20" Type="http://schemas.openxmlformats.org/officeDocument/2006/relationships/hyperlink" Target="https://www.facebook.com/share/v/1Ar8w7vvqM/?mibextid=wwXIfr" TargetMode="External"/><Relationship Id="rId41" Type="http://schemas.openxmlformats.org/officeDocument/2006/relationships/hyperlink" Target="https://www.momo.vn/tin-tuc/khuyen-mai/tich-ngay-1000-xu-khi-tai-ma-qr-nhan-tien-moi-8668" TargetMode="External"/><Relationship Id="rId54" Type="http://schemas.openxmlformats.org/officeDocument/2006/relationships/hyperlink" Target="https://www.grab.com/vn/blog/grab-trien-khai-thu-nghiem-dich-vu-grabcar-thu-cung-tai-khu-vuc-ha-noi/" TargetMode="External"/><Relationship Id="rId62" Type="http://schemas.openxmlformats.org/officeDocument/2006/relationships/hyperlink" Target="https://banhang.shopee.vn/edu/article/25329" TargetMode="External"/><Relationship Id="rId70" Type="http://schemas.openxmlformats.org/officeDocument/2006/relationships/hyperlink" Target="https://www.facebook.com/share/p/1GQw2u4j5M/?mibextid=wwXIfr" TargetMode="External"/><Relationship Id="rId75" Type="http://schemas.openxmlformats.org/officeDocument/2006/relationships/hyperlink" Target="https://www.facebook.com/share/p/18dhQGoDTA/?mibextid=wwXIfr" TargetMode="External"/><Relationship Id="rId83" Type="http://schemas.openxmlformats.org/officeDocument/2006/relationships/printerSettings" Target="../printerSettings/printerSettings5.bin"/><Relationship Id="rId1" Type="http://schemas.openxmlformats.org/officeDocument/2006/relationships/hyperlink" Target="https://baotintuc.vn/thi-truong-tien-te/doanh-nghiep-tang-toc-chuan-bi-cho-thi-diem-san-giao-dich-tai-san-ma-hoa-20260226191937609.htm" TargetMode="External"/><Relationship Id="rId6" Type="http://schemas.openxmlformats.org/officeDocument/2006/relationships/hyperlink" Target="https://thuvienphapluat.vn/van-ban/Tien-te-Ngan-hang/Thong-tu-77-2025-TT-NHNN-sua-doi-Thong-tu-50-2024-TT-NHNN-688630.aspx" TargetMode="External"/><Relationship Id="rId15" Type="http://schemas.openxmlformats.org/officeDocument/2006/relationships/hyperlink" Target="https://www.momo.vn/tin-tuc/tin-tuc-su-kien/11h-15h-25-02-27-02-than-tai-li-xi-den-797979d-8498" TargetMode="External"/><Relationship Id="rId23" Type="http://schemas.openxmlformats.org/officeDocument/2006/relationships/hyperlink" Target="https://www.momo.vn/tin-tuc/khuyen-mai/thang-tu-la-loi-tien-that-co-hoi-cung-chia-thuong-8592" TargetMode="External"/><Relationship Id="rId28" Type="http://schemas.openxmlformats.org/officeDocument/2006/relationships/hyperlink" Target="https://www.momo.vn/tin-tuc/khuyen-mai/khai-truong-satrafoods-becamex-binh-duong-giam-30-8618" TargetMode="External"/><Relationship Id="rId36" Type="http://schemas.openxmlformats.org/officeDocument/2006/relationships/hyperlink" Target="https://www.momo.vn/tin-tuc/khuyen-mai/174-105-hoan-den-6868d-khi-nhan-2k-tu-ngan-hang-8677" TargetMode="External"/><Relationship Id="rId49" Type="http://schemas.openxmlformats.org/officeDocument/2006/relationships/hyperlink" Target="https://www.momo.vn/tin-tuc/khuyen-mai/chot-ve-30-4-san-combo-du-lich-doc-quyen-den-2-8623" TargetMode="External"/><Relationship Id="rId57" Type="http://schemas.openxmlformats.org/officeDocument/2006/relationships/hyperlink" Target="https://blog.whatsapp.com/new-feature-roundup-free-up-space-multiple-accounts-cross-platform-transfer-and-more" TargetMode="External"/><Relationship Id="rId10" Type="http://schemas.openxmlformats.org/officeDocument/2006/relationships/hyperlink" Target="https://zalopay.vn/giam-den-50000d-khi-thanh-toan-home-credit-tren-zalopay-6686" TargetMode="External"/><Relationship Id="rId31" Type="http://schemas.openxmlformats.org/officeDocument/2006/relationships/hyperlink" Target="https://www.traveloka.com/vi-vn/promotion/travel-to-south-korea?funnel_source=promotion-list-page&amp;funnel_id=desktop-web" TargetMode="External"/><Relationship Id="rId44" Type="http://schemas.openxmlformats.org/officeDocument/2006/relationships/hyperlink" Target="https://www.momo.vn/tin-tuc/khuyen-mai/thu-5-ruc-ro-ve-may-bay-noi-dia-vietnam-airlines-8633" TargetMode="External"/><Relationship Id="rId52" Type="http://schemas.openxmlformats.org/officeDocument/2006/relationships/hyperlink" Target="https://www.grab.com/vn/press/others/grab-viet-nam-ra-mat-tinh-nang-tien-ich-xe-dien-tien-phong-mang-den-trai-nghiem-su-dung-xe-dien-lien-mach-cho-doi-tac-tai-xe/" TargetMode="External"/><Relationship Id="rId60" Type="http://schemas.openxmlformats.org/officeDocument/2006/relationships/hyperlink" Target="https://www.techinasia.com/visual-story/mapping-chinas-ecommerce-standouts" TargetMode="External"/><Relationship Id="rId65" Type="http://schemas.openxmlformats.org/officeDocument/2006/relationships/hyperlink" Target="https://seller-vn.tiktok.com/university/essay?knowledge_id=8858869405370113&amp;lang=vi-VN" TargetMode="External"/><Relationship Id="rId73" Type="http://schemas.openxmlformats.org/officeDocument/2006/relationships/hyperlink" Target="https://www.facebook.com/share/p/17yW4z3sNW/?mibextid=wwXIfr" TargetMode="External"/><Relationship Id="rId78" Type="http://schemas.openxmlformats.org/officeDocument/2006/relationships/hyperlink" Target="https://newsroom.snap.com/ai-sponsored-snaps" TargetMode="External"/><Relationship Id="rId81" Type="http://schemas.openxmlformats.org/officeDocument/2006/relationships/hyperlink" Target="https://km.zalopay.vn/TSui/VALORANTZLP" TargetMode="External"/><Relationship Id="rId86" Type="http://schemas.microsoft.com/office/2007/relationships/slicer" Target="../slicers/slicer1.xml"/><Relationship Id="rId4" Type="http://schemas.openxmlformats.org/officeDocument/2006/relationships/hyperlink" Target="https://vneconomy.vn/techconnect/cac-ong-lon-cong-nghe-trung-quoc-chay-dua-xay-dung-sieu-ung-dung-ai.htm" TargetMode="External"/><Relationship Id="rId9" Type="http://schemas.openxmlformats.org/officeDocument/2006/relationships/hyperlink" Target="https://zalopay.vn/thong-bao-zalopay-nang-cap-bao-mat-theo-thong-tu-77-8302" TargetMode="External"/><Relationship Id="rId13" Type="http://schemas.openxmlformats.org/officeDocument/2006/relationships/hyperlink" Target="https://www.momo.vn/tin-tuc/tin-tuc-su-kien/15h-17h59-23-02-giat-li-xi-mung-7-115000-bao-li-8491" TargetMode="External"/><Relationship Id="rId18" Type="http://schemas.openxmlformats.org/officeDocument/2006/relationships/hyperlink" Target="https://www.momo.vn/tin-tuc/khuyen-mai/dac-quyen-khi-thanh-toan-bang-nguon-tien-vpbank-8496" TargetMode="External"/><Relationship Id="rId39" Type="http://schemas.openxmlformats.org/officeDocument/2006/relationships/hyperlink" Target="https://www.momo.vn/tin-tuc/thong-bao/ban-tin-gop-y-va-tinh-nang-moi-thang-3-2026-8671" TargetMode="External"/><Relationship Id="rId34" Type="http://schemas.openxmlformats.org/officeDocument/2006/relationships/hyperlink" Target="https://www.traveloka.com/vi-vn/promotion/mbjcbdeal2026?funnel_source=promotion-list-page&amp;funnel_id=desktop-web" TargetMode="External"/><Relationship Id="rId50" Type="http://schemas.openxmlformats.org/officeDocument/2006/relationships/hyperlink" Target="https://www.momo.vn/tin-tuc/thong-bao/hot-vay-nhanh-nay-da-co-goi-vay-tu-5-trieu-cho-8622" TargetMode="External"/><Relationship Id="rId55" Type="http://schemas.openxmlformats.org/officeDocument/2006/relationships/hyperlink" Target="https://www.grab.com/vn/blog/he-hoi-vien-grabunlimited/" TargetMode="External"/><Relationship Id="rId76" Type="http://schemas.openxmlformats.org/officeDocument/2006/relationships/hyperlink" Target="https://www.techsignin.com/040526-ant-international-ket-noi-2-ty-nguoi-dung/" TargetMode="External"/><Relationship Id="rId7" Type="http://schemas.openxmlformats.org/officeDocument/2006/relationships/hyperlink" Target="https://thuvienphapluat.vn/van-ban/Cong-nghe-thong-tin/Luat-Tri-tue-nhan-tao-2025-so-134-2025-QH15-679013.aspx" TargetMode="External"/><Relationship Id="rId71" Type="http://schemas.openxmlformats.org/officeDocument/2006/relationships/hyperlink" Target="https://www.facebook.com/share/p/1ENdrdicSp/?mibextid=wwXIfr" TargetMode="External"/><Relationship Id="rId2" Type="http://schemas.openxmlformats.org/officeDocument/2006/relationships/hyperlink" Target="https://baomoi.com/google-ra-mat-nano-banana-2-cai-tien-toc-do-va-kha-nang-tao-anh-ai-chat-luong-4k-c54567264.epi" TargetMode="External"/><Relationship Id="rId29" Type="http://schemas.openxmlformats.org/officeDocument/2006/relationships/hyperlink" Target="https://zalopay.vn/zalopay-hop-tac-savills-viet-nam-thuc-day-giai-phap-thanh-toan-phi-quan-ly-chung-cu-khong-tien-mat-8338" TargetMode="External"/><Relationship Id="rId24" Type="http://schemas.openxmlformats.org/officeDocument/2006/relationships/hyperlink" Target="https://www.momo.vn/tin-tuc/khuyen-mai/giam-them-10-toi-da-100000d-tren-app-guardian-vn-8591" TargetMode="External"/><Relationship Id="rId40" Type="http://schemas.openxmlformats.org/officeDocument/2006/relationships/hyperlink" Target="https://www.momo.vn/tin-tuc/khuyen-mai/deal-xin-cho-ban-moi-thu-do-nhap-chaometrohn-mien-8670" TargetMode="External"/><Relationship Id="rId45" Type="http://schemas.openxmlformats.org/officeDocument/2006/relationships/hyperlink" Target="https://www.momo.vn/tin-tuc/khuyen-mai/thu-3-huong-ngoai-momo-travel-va-vietravel-8632" TargetMode="External"/><Relationship Id="rId66" Type="http://schemas.openxmlformats.org/officeDocument/2006/relationships/hyperlink" Target="https://www.grab.com/vn/blog/thong-tin-tu-grab/" TargetMode="External"/><Relationship Id="rId61" Type="http://schemas.openxmlformats.org/officeDocument/2006/relationships/hyperlink" Target="https://www.momo.vn/tin-tuc/khuyen-mai/san-sap-sai-gon-rinh-loat-qua-momo-dip-dai-le-tai-8679" TargetMode="External"/><Relationship Id="rId82" Type="http://schemas.openxmlformats.org/officeDocument/2006/relationships/hyperlink" Target="http://km.zalopay.vn/TSui/napdtiphon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17" Type="http://schemas.openxmlformats.org/officeDocument/2006/relationships/hyperlink" Target="https://genk.vn/vnpt-money-va-ha-noi-metro-ra-mat-tien-ich-metro-di-tau-dien-khong-tien-mat-165260411194845876.chn" TargetMode="External"/><Relationship Id="rId299" Type="http://schemas.openxmlformats.org/officeDocument/2006/relationships/hyperlink" Target="https://vneconomy.vn/techconnect/esports-viet-nam-tu-thi-truong-tiem-nang-den-he-sinh-thai-hoi-nhap-toan-cau.htm" TargetMode="External"/><Relationship Id="rId21" Type="http://schemas.openxmlformats.org/officeDocument/2006/relationships/hyperlink" Target="https://vnexpress.net/sap-ap-dung-quy-chuan-an-toan-cho-smartphone-tai-viet-nam-5054879.html" TargetMode="External"/><Relationship Id="rId63" Type="http://schemas.openxmlformats.org/officeDocument/2006/relationships/hyperlink" Target="https://genk.vn/mot-doanh-nghiep-cong-nghe-viet-lot-top-35-nha-cung-cap-dich-vu-phat-trien-ung-dung-ai-toan-cau-16526240315321592.chn" TargetMode="External"/><Relationship Id="rId159" Type="http://schemas.openxmlformats.org/officeDocument/2006/relationships/hyperlink" Target="https://techcrunch.com/2026/04/17/gigs-turns-your-concert-history-into-a-personal-live-music-archive/" TargetMode="External"/><Relationship Id="rId324" Type="http://schemas.openxmlformats.org/officeDocument/2006/relationships/hyperlink" Target="https://techcrunch.com/2026/04/30/tiktoks-new-campus-hub-features-college-group-chats-and-feeds/" TargetMode="External"/><Relationship Id="rId366" Type="http://schemas.openxmlformats.org/officeDocument/2006/relationships/hyperlink" Target="https://genk.vn/cu-dan-mang-viet-nam-mat-ngu-vi-mot-tinh-nang-moi-tren-chatgpt-16526042519113388.chn" TargetMode="External"/><Relationship Id="rId170" Type="http://schemas.openxmlformats.org/officeDocument/2006/relationships/hyperlink" Target="https://techcrunch.com/2026/04/14/how-vibe-coding-app-anything-is-rebuilding-after-getting-booted-from-the-app-store-twice/" TargetMode="External"/><Relationship Id="rId226" Type="http://schemas.openxmlformats.org/officeDocument/2006/relationships/hyperlink" Target="https://dantri.com.vn/cong-nghe/meta-phat-trien-ban-sao-ai-cua-mark-zuckerberg-20260414104541384.htm" TargetMode="External"/><Relationship Id="rId433" Type="http://schemas.openxmlformats.org/officeDocument/2006/relationships/hyperlink" Target="https://techcrunch.com/2026/04/21/yelps-updated-ai-assistant-can-answer-questions-and-book-a-restaurant-or-service-in-one-conversation/" TargetMode="External"/><Relationship Id="rId268" Type="http://schemas.openxmlformats.org/officeDocument/2006/relationships/hyperlink" Target="https://www.techinasia.com/news/ecommerce-risk-labels-questioned-in-indonesia-child-rules" TargetMode="External"/><Relationship Id="rId32" Type="http://schemas.openxmlformats.org/officeDocument/2006/relationships/hyperlink" Target="https://www.techinasia.com/news/alibaba-net-income-drops-66-quick-commerce-investment-rises" TargetMode="External"/><Relationship Id="rId74" Type="http://schemas.openxmlformats.org/officeDocument/2006/relationships/hyperlink" Target="https://vneconomy.vn/techconnect/esports-nations-cup-2026-cong-bo-viresa-la-doi-tac-quoc-gia-tai-viet-nam.htm" TargetMode="External"/><Relationship Id="rId128" Type="http://schemas.openxmlformats.org/officeDocument/2006/relationships/hyperlink" Target="https://vneconomy.vn/techconnect/nhan-vien-so-loi-giai-cho-bai-toan-nang-suat-trong-ky-nguyen-ai.htm" TargetMode="External"/><Relationship Id="rId335" Type="http://schemas.openxmlformats.org/officeDocument/2006/relationships/hyperlink" Target="https://techcrunch.com/2026/04/28/youtube-is-testing-an-ai-powered-search-feature-that-shows-guided-answers/" TargetMode="External"/><Relationship Id="rId377" Type="http://schemas.openxmlformats.org/officeDocument/2006/relationships/hyperlink" Target="https://vnexpress.net/uu-dai-toi-1-trieu-dong-khi-dat-ve-may-bay-dip-le-5067015.html" TargetMode="External"/><Relationship Id="rId5" Type="http://schemas.openxmlformats.org/officeDocument/2006/relationships/hyperlink" Target="https://genk.vn/openai-len-ke-hoach-ra-mat-sieu-ung-dung-tren-may-tinh-165260322073417885.chn" TargetMode="External"/><Relationship Id="rId181" Type="http://schemas.openxmlformats.org/officeDocument/2006/relationships/hyperlink" Target="https://www.techinasia.com/news/shopee-lazada-lead-sea-ecommerce-growth" TargetMode="External"/><Relationship Id="rId237" Type="http://schemas.openxmlformats.org/officeDocument/2006/relationships/hyperlink" Target="https://www.bloomberg.com/news/articles/2026-04-16/roku-s-platform-crosses-100-million-users-fueling-ad-business?srnd=phx-technology-consumer-tech" TargetMode="External"/><Relationship Id="rId402" Type="http://schemas.openxmlformats.org/officeDocument/2006/relationships/hyperlink" Target="https://www.bloomberg.com/news/articles/2026-04-29/uber-adds-hotel-bookings-to-its-app-through-new-expedia-partnership?srnd=phx-technology-consumer-tech" TargetMode="External"/><Relationship Id="rId279" Type="http://schemas.openxmlformats.org/officeDocument/2006/relationships/hyperlink" Target="https://genk.vn/claude-len-ngoi-chatgpt-tut-doc-165261304141630535.chn" TargetMode="External"/><Relationship Id="rId444" Type="http://schemas.openxmlformats.org/officeDocument/2006/relationships/hyperlink" Target="https://genk.vn/apple-tra-google-1-ty-usd-moi-nam-de-tich-hop-gemini-vao-siri-165262304152849967.chn" TargetMode="External"/><Relationship Id="rId43" Type="http://schemas.openxmlformats.org/officeDocument/2006/relationships/hyperlink" Target="https://www.momo.vn/tin-tuc/khuyen-mai/thong-bao-thay-doi-phi-thanh-toan-toi-thieu-va-8573" TargetMode="External"/><Relationship Id="rId139" Type="http://schemas.openxmlformats.org/officeDocument/2006/relationships/hyperlink" Target="https://vnexpress.net/san-thuong-mai-dien-tu-viet-tich-hop-trong-gan-20-ung-dung-ngan-hang-5062977.html" TargetMode="External"/><Relationship Id="rId290" Type="http://schemas.openxmlformats.org/officeDocument/2006/relationships/hyperlink" Target="https://genk.vn/schneider-electric-ra-mat-phan-mem-quan-ly-toa-nha-thong-minh-the-he-7-trien-khai-nhanh-hon-20-tiet-kiem-hang-gio-cai-dat-165260415110430666.chn" TargetMode="External"/><Relationship Id="rId304" Type="http://schemas.openxmlformats.org/officeDocument/2006/relationships/hyperlink" Target="https://vneconomy.vn/techconnect/nguoi-thu-nhap-cao-ung-dung-ai-hang-ngay-trong-cong-viec.htm" TargetMode="External"/><Relationship Id="rId346" Type="http://schemas.openxmlformats.org/officeDocument/2006/relationships/hyperlink" Target="https://techcrunch.com/2026/04/21/chatgpts-new-images-2-0-model-is-surprisingly-good-at-generating-text/" TargetMode="External"/><Relationship Id="rId388" Type="http://schemas.openxmlformats.org/officeDocument/2006/relationships/hyperlink" Target="https://vneconomy.vn/techconnect/y-te-viet-nam-truoc-co-hoi-but-pha-voi-agentic-ai.htm" TargetMode="External"/><Relationship Id="rId85" Type="http://schemas.openxmlformats.org/officeDocument/2006/relationships/hyperlink" Target="https://www.momo.vn/tin-tuc/khuyen-mai/sieu-sale-sinh-nhat-lazada-hoan-tien-gap-3-lan-8583" TargetMode="External"/><Relationship Id="rId150" Type="http://schemas.openxmlformats.org/officeDocument/2006/relationships/hyperlink" Target="https://www.techinasia.com/news/hk-crypto-payments-firm-redotpay-expands-global-spending" TargetMode="External"/><Relationship Id="rId192" Type="http://schemas.openxmlformats.org/officeDocument/2006/relationships/hyperlink" Target="https://genk.vn/microsoft-dang-xay-dung-phien-ban-rieng-cua-openclaw-danh-cho-doanh-nghiep-165261404145418623.chn" TargetMode="External"/><Relationship Id="rId206" Type="http://schemas.openxmlformats.org/officeDocument/2006/relationships/hyperlink" Target="https://genk.vn/quai-vat-ai-qua-nguy-hiem-nen-anthropic-khong-dam-cong-khai-chuyen-gia-bao-mat-vao-cuoc-va-tuyen-bo-chi-la-chieu-tro-marketing-165260411164541876.chn" TargetMode="External"/><Relationship Id="rId413" Type="http://schemas.openxmlformats.org/officeDocument/2006/relationships/hyperlink" Target="https://techcrunch.com/2026/04/30/netflix-wants-you-to-watch-clips-its-tiktok-like-vertical-video-feed/" TargetMode="External"/><Relationship Id="rId248" Type="http://schemas.openxmlformats.org/officeDocument/2006/relationships/hyperlink" Target="https://techcrunch.com/2026/04/17/zoom-teams-up-with-world-to-verify-humans-in-meeting/" TargetMode="External"/><Relationship Id="rId455" Type="http://schemas.openxmlformats.org/officeDocument/2006/relationships/hyperlink" Target="https://genk.vn/tat-ca-nguoi-dung-zalo-can-biet-neu-nhan-duoc-thong-bao-nay-trong-vong-7-ngay-de-khong-bi-mat-tai-khoan-165260427225612318.chn" TargetMode="External"/><Relationship Id="rId12" Type="http://schemas.openxmlformats.org/officeDocument/2006/relationships/hyperlink" Target="https://luatvietnam.vn/thue/thong-tu-18-2026-tt-btc-quy-dinh-ho-so-thu-tuc-quan-ly-thue-cho-ho-kinh-doanh-427777-d1.html" TargetMode="External"/><Relationship Id="rId108" Type="http://schemas.openxmlformats.org/officeDocument/2006/relationships/hyperlink" Target="https://www.momo.vn/tin-tuc/thong-bao/ban-tin-gop-y-va-tinh-nang-moi-thang-2-2026-8554" TargetMode="External"/><Relationship Id="rId315" Type="http://schemas.openxmlformats.org/officeDocument/2006/relationships/hyperlink" Target="https://vnexpress.net/ty-le-nguoi-dung-iphone-trung-thanh-tai-my-dat-ky-luc-5063485.html" TargetMode="External"/><Relationship Id="rId357" Type="http://schemas.openxmlformats.org/officeDocument/2006/relationships/hyperlink" Target="https://genk.vn/anthropic-thua-nhan-claude-that-su-ngoc-hon-suot-47-ngay-3-loi-ky-thuat-chong-cheo-ma-chinh-doi-ngu-cung-khong-tai-hien-duoc-165260424144242268.chn" TargetMode="External"/><Relationship Id="rId54" Type="http://schemas.openxmlformats.org/officeDocument/2006/relationships/hyperlink" Target="https://www.momo.vn/tin-tuc/khuyen-mai/uu-dai-hoi-nhat-thang-giam-den-45k-nap-game-leo-8556" TargetMode="External"/><Relationship Id="rId96" Type="http://schemas.openxmlformats.org/officeDocument/2006/relationships/hyperlink" Target="https://www.momo.vn/tin-tuc/khuyen-mai/mien-phi-ngay-1-lit-xang-khi-nhan-thich-muc-tra-8561" TargetMode="External"/><Relationship Id="rId161" Type="http://schemas.openxmlformats.org/officeDocument/2006/relationships/hyperlink" Target="https://techcrunch.com/2026/04/17/anthropic-launches-claude-design-a-new-product-for-creating-quick-visuals/" TargetMode="External"/><Relationship Id="rId217" Type="http://schemas.openxmlformats.org/officeDocument/2006/relationships/hyperlink" Target="https://vneconomy.vn/techconnect/trung-quoc-ra-chinh-sach-thu-hut-tai-nang-ai-tu-thung-lung-silicon-ve-nuoc.htm" TargetMode="External"/><Relationship Id="rId399" Type="http://schemas.openxmlformats.org/officeDocument/2006/relationships/hyperlink" Target="https://vnexpress.net/cong-ty-game-viet-tao-he-sinh-thai-nguoi-choi-make-in-vietnam-5065408.html" TargetMode="External"/><Relationship Id="rId259" Type="http://schemas.openxmlformats.org/officeDocument/2006/relationships/hyperlink" Target="https://techcrunch.com/2026/04/14/how-the-rewards-app-freecash-scammed-its-way-to-the-top-of-the-app-stores/" TargetMode="External"/><Relationship Id="rId424" Type="http://schemas.openxmlformats.org/officeDocument/2006/relationships/hyperlink" Target="https://techcrunch.com/2026/04/23/instagram-tests-a-new-instants-app-for-sharing-disappearing-photos/" TargetMode="External"/><Relationship Id="rId23" Type="http://schemas.openxmlformats.org/officeDocument/2006/relationships/hyperlink" Target="https://www.bloomberg.com/news/articles/2026-03-26/google-gemini-adds-tool-to-make-it-easier-to-switch-from-chatgpt?srnd=phx-technology-consumer-tech" TargetMode="External"/><Relationship Id="rId119" Type="http://schemas.openxmlformats.org/officeDocument/2006/relationships/hyperlink" Target="https://genk.vn/mot-quoc-gia-chau-au-cam-hoan-toan-tre-em-duoi-15-tuoi-su-dung-mang-xa-hoi-165260411082221623.chn" TargetMode="External"/><Relationship Id="rId270" Type="http://schemas.openxmlformats.org/officeDocument/2006/relationships/hyperlink" Target="https://www.techinasia.com/news/bookingcom-confirms-breach-customer-data" TargetMode="External"/><Relationship Id="rId326" Type="http://schemas.openxmlformats.org/officeDocument/2006/relationships/hyperlink" Target="https://techcrunch.com/2026/04/30/x-announces-a-rebuilt-ad-platform-powered-by-ai/" TargetMode="External"/><Relationship Id="rId65" Type="http://schemas.openxmlformats.org/officeDocument/2006/relationships/hyperlink" Target="https://genk.vn/tin-vui-cho-35-ty-nguoi-dung-google-chrome-16526032408203803.chn" TargetMode="External"/><Relationship Id="rId130" Type="http://schemas.openxmlformats.org/officeDocument/2006/relationships/hyperlink" Target="https://dantri.com.vn/cong-nghe/4-tinh-nang-apple-intelligence-sap-thay-doi-trai-nghiem-iphone-tren-ios-27-20260417004356384.htm" TargetMode="External"/><Relationship Id="rId368" Type="http://schemas.openxmlformats.org/officeDocument/2006/relationships/hyperlink" Target="https://dantri.com.vn/cong-nghe/xac-thuc-sinh-trac-hoc-khong-con-an-toan-tuyet-doi-20260428194441456.htm" TargetMode="External"/><Relationship Id="rId172" Type="http://schemas.openxmlformats.org/officeDocument/2006/relationships/hyperlink" Target="https://techcrunch.com/2026/04/13/roblox-introduces-kids-and-select-accounts-for-age-appropriate-access-to-games-and-chat/" TargetMode="External"/><Relationship Id="rId228" Type="http://schemas.openxmlformats.org/officeDocument/2006/relationships/hyperlink" Target="https://dantri.com.vn/cong-nghe/hacker-nam-vung-giang-bay-tu-su-chu-quan-cua-doanh-nghiep-vua-va-nho-20260416120517883.htm" TargetMode="External"/><Relationship Id="rId435" Type="http://schemas.openxmlformats.org/officeDocument/2006/relationships/hyperlink" Target="https://www.techinasia.com/news/tiktok-launches-restaurant-recommendation-service-indonesia" TargetMode="External"/><Relationship Id="rId281" Type="http://schemas.openxmlformats.org/officeDocument/2006/relationships/hyperlink" Target="https://genk.vn/anthropic-doi-cach-tinh-tien-ky-nguyen-nhan-vien-ai-khong-gioi-han-da-het-chi-phi-ai-cua-doanh-nghiep-co-the-tang-gap-3-165260415210538852.chn" TargetMode="External"/><Relationship Id="rId337" Type="http://schemas.openxmlformats.org/officeDocument/2006/relationships/hyperlink" Target="https://techcrunch.com/2026/04/25/anthropic-created-a-test-marketplace-for-agent-on-agent-commerce/" TargetMode="External"/><Relationship Id="rId34" Type="http://schemas.openxmlformats.org/officeDocument/2006/relationships/hyperlink" Target="https://www.techinasia.com/category/e-commerce-social-commerce" TargetMode="External"/><Relationship Id="rId76" Type="http://schemas.openxmlformats.org/officeDocument/2006/relationships/hyperlink" Target="https://vnexpress.net/sap-ap-dung-quy-chuan-an-toan-cho-smartphone-tai-viet-nam-5054879.html" TargetMode="External"/><Relationship Id="rId141" Type="http://schemas.openxmlformats.org/officeDocument/2006/relationships/hyperlink" Target="https://vnexpress.net/nguoi-viet-co-the-ket-noi-du-lieu-gmail-youtube-de-ca-nhan-hoa-gemini-5062631.html" TargetMode="External"/><Relationship Id="rId379" Type="http://schemas.openxmlformats.org/officeDocument/2006/relationships/hyperlink" Target="https://vnexpress.net/vcci-chua-den-2-ho-kinh-doanh-muon-mo-rong-hoat-dong-5066152.html" TargetMode="External"/><Relationship Id="rId7" Type="http://schemas.openxmlformats.org/officeDocument/2006/relationships/hyperlink" Target="https://genk.vn/openclaw-khien-30-nam-kinh-nghiem-excel-tro-nen-vo-nghia-day-co-phai-ngay-tan-cua-ky-nang-su-dung-may-tinh-van-phong-165260323082818451.chn" TargetMode="External"/><Relationship Id="rId183" Type="http://schemas.openxmlformats.org/officeDocument/2006/relationships/hyperlink" Target="https://vnba.org.vn/vi/viet-nam-australia-mo-rong-co-hoi-hop-tac-fintech-21513.htm" TargetMode="External"/><Relationship Id="rId239" Type="http://schemas.openxmlformats.org/officeDocument/2006/relationships/hyperlink" Target="https://www.bloomberg.com/news/articles/2026-04-14/alibaba-readies-first-robot-for-foray-into-crowded-chinese-arena?srnd=phx-technology-consumer-tech" TargetMode="External"/><Relationship Id="rId390" Type="http://schemas.openxmlformats.org/officeDocument/2006/relationships/hyperlink" Target="https://vneconomy.vn/techconnect/nguoi-thu-nhap-cao-ung-dung-ai-hang-ngay-trong-cong-viec.htm" TargetMode="External"/><Relationship Id="rId404" Type="http://schemas.openxmlformats.org/officeDocument/2006/relationships/hyperlink" Target="https://www.techinasia.com/news/wechat-pay-expands-qr-payments-5-asian-countries" TargetMode="External"/><Relationship Id="rId446" Type="http://schemas.openxmlformats.org/officeDocument/2006/relationships/hyperlink" Target="https://genk.vn/ket-thuc-mot-thoi-dai-ong-tim-cook-tu-chuc-ceo-apple-sau-15-nam-nguoi-ke-nhiem-la-ong-john-ternus-165260421064443106.chn" TargetMode="External"/><Relationship Id="rId250" Type="http://schemas.openxmlformats.org/officeDocument/2006/relationships/hyperlink" Target="https://techcrunch.com/2026/04/17/gigs-turns-your-concert-history-into-a-personal-live-music-archive/" TargetMode="External"/><Relationship Id="rId292" Type="http://schemas.openxmlformats.org/officeDocument/2006/relationships/hyperlink" Target="https://genk.vn/coi-ai-nhu-con-nguoi-microsoft-de-xuat-ai-agent-dung-phan-mem-cung-phai-tra-tien-16526041616370402.chn" TargetMode="External"/><Relationship Id="rId306" Type="http://schemas.openxmlformats.org/officeDocument/2006/relationships/hyperlink" Target="https://vneconomy.vn/techconnect/agentic-ai-he-gene-buoc-ngoat-cho-y-hoc-chinh-xac.htm" TargetMode="External"/><Relationship Id="rId45" Type="http://schemas.openxmlformats.org/officeDocument/2006/relationships/hyperlink" Target="https://www.momo.vn/tin-tuc/khuyen-mai/sale-cuoi-thang-duy-nhat-253-combo-du-lich-le-8577" TargetMode="External"/><Relationship Id="rId87" Type="http://schemas.openxmlformats.org/officeDocument/2006/relationships/hyperlink" Target="https://www.momo.vn/tin-tuc/thong-cao-bao-chi/momo-cap-nhat-moi-nhat-ve-giai-phap-nhan-tien-8587" TargetMode="External"/><Relationship Id="rId110" Type="http://schemas.openxmlformats.org/officeDocument/2006/relationships/hyperlink" Target="https://dantri.com.vn/cong-nghe/con-ga-de-trung-vang-cua-anthropic-bi-lo-ma-nguon-20260401091143923.htm" TargetMode="External"/><Relationship Id="rId348" Type="http://schemas.openxmlformats.org/officeDocument/2006/relationships/hyperlink" Target="https://techcrunch.com/2026/04/21/yelps-updated-ai-assistant-can-answer-questions-and-book-a-restaurant-or-service-in-one-conversation/" TargetMode="External"/><Relationship Id="rId152" Type="http://schemas.openxmlformats.org/officeDocument/2006/relationships/hyperlink" Target="https://www.techinasia.com/news/binance-research-ai-takes-40-crypto-vc-funding" TargetMode="External"/><Relationship Id="rId194" Type="http://schemas.openxmlformats.org/officeDocument/2006/relationships/hyperlink" Target="https://genk.vn/cu-moi-lan-anthropic-ra-mat-san-pham-mot-nganh-phan-mem-sup-do-lan-nay-den-luot-cua-figma-va-adobe-165260417141735948.chn" TargetMode="External"/><Relationship Id="rId208" Type="http://schemas.openxmlformats.org/officeDocument/2006/relationships/hyperlink" Target="https://genk.vn/vnpt-money-va-ha-noi-metro-ra-mat-tien-ich-metro-di-tau-dien-khong-tien-mat-165260411194845876.chn" TargetMode="External"/><Relationship Id="rId415" Type="http://schemas.openxmlformats.org/officeDocument/2006/relationships/hyperlink" Target="https://techcrunch.com/2026/04/29/google-gains-25m-subscriptions-in-q1-driven-by-youtube-and-google-one/" TargetMode="External"/><Relationship Id="rId457" Type="http://schemas.openxmlformats.org/officeDocument/2006/relationships/hyperlink" Target="https://genk.vn/nguoi-viet-mua-gi-ma-moi-ngay-chot-toi-126-trieu-san-pham-tren-san-tmdt-165260429075817689.chn" TargetMode="External"/><Relationship Id="rId261" Type="http://schemas.openxmlformats.org/officeDocument/2006/relationships/hyperlink" Target="https://techcrunch.com/2026/04/14/how-vibe-coding-app-anything-is-rebuilding-after-getting-booted-from-the-app-store-twice/" TargetMode="External"/><Relationship Id="rId14" Type="http://schemas.openxmlformats.org/officeDocument/2006/relationships/hyperlink" Target="https://techcrunch.com/2026/03/26/whatsapp-can-now-draft-ai-generated-responses-based-on-your-conversations/" TargetMode="External"/><Relationship Id="rId56" Type="http://schemas.openxmlformats.org/officeDocument/2006/relationships/hyperlink" Target="https://dantri.com.vn/cong-nghe/meta-va-google-bi-phat-vi-nen-tang-mang-xa-hoi-gay-nghien-cho-nguoi-dung-20260326092131367.htm" TargetMode="External"/><Relationship Id="rId317" Type="http://schemas.openxmlformats.org/officeDocument/2006/relationships/hyperlink" Target="https://www.techinasia.com/news/ant-international-links-150-million-merchants-with-ai-payments" TargetMode="External"/><Relationship Id="rId359" Type="http://schemas.openxmlformats.org/officeDocument/2006/relationships/hyperlink" Target="https://genk.vn/apple-tra-google-1-ty-usd-moi-nam-de-tich-hop-gemini-vao-siri-165262304152849967.chn" TargetMode="External"/><Relationship Id="rId98" Type="http://schemas.openxmlformats.org/officeDocument/2006/relationships/hyperlink" Target="https://www.momo.vn/tin-tuc/khuyen-mai/lan-dau-co-tren-momo-giam-den-45k-khi-dang-ky-8557" TargetMode="External"/><Relationship Id="rId121" Type="http://schemas.openxmlformats.org/officeDocument/2006/relationships/hyperlink" Target="https://vneconomy.vn/techconnect/trung-quoc-cong-bo-chien-luoc-toan-dien-dua-ai-vao-lop-hoc-den-nam-2030.htm" TargetMode="External"/><Relationship Id="rId163" Type="http://schemas.openxmlformats.org/officeDocument/2006/relationships/hyperlink" Target="https://techcrunch.com/2026/04/16/google-now-lets-you-explore-the-web-side-by-side-with-ai-mode/" TargetMode="External"/><Relationship Id="rId219" Type="http://schemas.openxmlformats.org/officeDocument/2006/relationships/hyperlink" Target="https://vneconomy.vn/techconnect/nhan-vien-so-loi-giai-cho-bai-toan-nang-suat-trong-ky-nguyen-ai.htm" TargetMode="External"/><Relationship Id="rId370" Type="http://schemas.openxmlformats.org/officeDocument/2006/relationships/hyperlink" Target="https://baotintuc.vn/thi-truong-tien-te/giao-hang-nhanh-dinh-hinh-lai-cuoc-dua-thuong-mai-dien-tu-20260416172320540.htm" TargetMode="External"/><Relationship Id="rId426" Type="http://schemas.openxmlformats.org/officeDocument/2006/relationships/hyperlink" Target="https://techcrunch.com/2026/04/23/meta-is-revamping-its-cross-app-management-system/" TargetMode="External"/><Relationship Id="rId230" Type="http://schemas.openxmlformats.org/officeDocument/2006/relationships/hyperlink" Target="https://vnexpress.net/san-thuong-mai-dien-tu-viet-tich-hop-trong-gan-20-ung-dung-ngan-hang-5062977.html" TargetMode="External"/><Relationship Id="rId25" Type="http://schemas.openxmlformats.org/officeDocument/2006/relationships/hyperlink" Target="https://www.techinasia.com/solving-mid-market-finance-pain-with-ai-agents" TargetMode="External"/><Relationship Id="rId67" Type="http://schemas.openxmlformats.org/officeDocument/2006/relationships/hyperlink" Target="https://luatvietnam.vn/thue/thong-tu-18-2026-tt-btc-quy-dinh-ho-so-thu-tuc-quan-ly-thue-cho-ho-kinh-doanh-427777-d1.html" TargetMode="External"/><Relationship Id="rId272" Type="http://schemas.openxmlformats.org/officeDocument/2006/relationships/hyperlink" Target="https://www.techinasia.com/news/xiaohongshu-to-launch-redshop-for-cross-border-sellers" TargetMode="External"/><Relationship Id="rId328" Type="http://schemas.openxmlformats.org/officeDocument/2006/relationships/hyperlink" Target="https://techcrunch.com/2026/04/30/instagram-restricts-reach-of-content-aggregators-in-new-crackdown/" TargetMode="External"/><Relationship Id="rId132" Type="http://schemas.openxmlformats.org/officeDocument/2006/relationships/hyperlink" Target="https://dantri.com.vn/cong-nghe/google-trien-khai-tinh-nang-tri-thong-minh-ca-nhan-tren-gemini-tai-viet-nam-20260415113317816.htm" TargetMode="External"/><Relationship Id="rId174" Type="http://schemas.openxmlformats.org/officeDocument/2006/relationships/hyperlink" Target="https://www.techinasia.com/news/anthropic-suspends-openclaw-creator-claude-access" TargetMode="External"/><Relationship Id="rId381" Type="http://schemas.openxmlformats.org/officeDocument/2006/relationships/hyperlink" Target="https://vnexpress.net/nhieu-ngan-hang-dung-chuyen-tien-nhanh-tren-500-trieu-dong-5063913.html" TargetMode="External"/><Relationship Id="rId241" Type="http://schemas.openxmlformats.org/officeDocument/2006/relationships/hyperlink" Target="https://www.techinasia.com/news/hk-crypto-payments-firm-redotpay-expands-global-spending" TargetMode="External"/><Relationship Id="rId437" Type="http://schemas.openxmlformats.org/officeDocument/2006/relationships/hyperlink" Target="https://vnba.org.vn/vi/mo-tai-khoan-momo-tren-ung-dung-mbbank--nhan-uu-dai-den-1-6-trieu-dong-21582.htm" TargetMode="External"/><Relationship Id="rId36" Type="http://schemas.openxmlformats.org/officeDocument/2006/relationships/hyperlink" Target="https://www.momo.vn/tin-tuc/khuyen-mai/ban-moi-nhap-ma-chonmomo-co-qua-500000d-giam-8225" TargetMode="External"/><Relationship Id="rId283" Type="http://schemas.openxmlformats.org/officeDocument/2006/relationships/hyperlink" Target="https://genk.vn/apple-chan-ung-dung-lap-trinh-ai-startup-bi-xoa-khoi-app-store-den-hai-lan-165261604145737060.chn" TargetMode="External"/><Relationship Id="rId339" Type="http://schemas.openxmlformats.org/officeDocument/2006/relationships/hyperlink" Target="https://techcrunch.com/2026/04/23/openai-chatgpt-gpt-5-5-ai-model-superapp/" TargetMode="External"/><Relationship Id="rId78" Type="http://schemas.openxmlformats.org/officeDocument/2006/relationships/hyperlink" Target="https://www.bloomberg.com/news/articles/2026-03-26/google-gemini-adds-tool-to-make-it-easier-to-switch-from-chatgpt?srnd=phx-technology-consumer-tech" TargetMode="External"/><Relationship Id="rId101" Type="http://schemas.openxmlformats.org/officeDocument/2006/relationships/hyperlink" Target="https://www.techinasia.com/news/robinhood-ups-stock-buyback-plan-15b" TargetMode="External"/><Relationship Id="rId143" Type="http://schemas.openxmlformats.org/officeDocument/2006/relationships/hyperlink" Target="https://vnexpress.net/ha-noi-dat-muc-tieu-100-co-quan-nha-nuoc-ung-dung-ai-5061915.html" TargetMode="External"/><Relationship Id="rId185" Type="http://schemas.openxmlformats.org/officeDocument/2006/relationships/hyperlink" Target="https://genk.vn/hai-ra-tien-tu-quang-cao-chatgpt-openai-bo-tui-100-trieu-usd-sau-2-thang-nuoi-tham-vong-de-che-100-ty-usd-165260412010625971.chn" TargetMode="External"/><Relationship Id="rId350" Type="http://schemas.openxmlformats.org/officeDocument/2006/relationships/hyperlink" Target="https://www.techinasia.com/news/tiktok-launches-restaurant-recommendation-service-indonesia" TargetMode="External"/><Relationship Id="rId406" Type="http://schemas.openxmlformats.org/officeDocument/2006/relationships/hyperlink" Target="https://www.techinasia.com/news/malaysian-fintech-ryt-bank-adds-pay-later-to-card-payments" TargetMode="External"/><Relationship Id="rId9" Type="http://schemas.openxmlformats.org/officeDocument/2006/relationships/hyperlink" Target="https://genk.vn/openai-dot-ngot-khai-tu-ung-dung-sora-sau-4-thang-disney-ngo-ngang-khi-thoa-thuan-1-ty-usd-bay-mau-165260325083415473.chn" TargetMode="External"/><Relationship Id="rId210" Type="http://schemas.openxmlformats.org/officeDocument/2006/relationships/hyperlink" Target="https://genk.vn/mot-quoc-gia-chau-au-cam-hoan-toan-tre-em-duoi-15-tuoi-su-dung-mang-xa-hoi-165260411082221623.chn" TargetMode="External"/><Relationship Id="rId392" Type="http://schemas.openxmlformats.org/officeDocument/2006/relationships/hyperlink" Target="https://vneconomy.vn/techconnect/agentic-ai-he-gene-buoc-ngoat-cho-y-hoc-chinh-xac.htm" TargetMode="External"/><Relationship Id="rId448" Type="http://schemas.openxmlformats.org/officeDocument/2006/relationships/hyperlink" Target="https://genk.vn/xiaomi-co-ai-giong-noi-cuc-xin-clone-lai-giong-nguoi-chi-bang-vai-clip-165262404173908510.chn" TargetMode="External"/><Relationship Id="rId252" Type="http://schemas.openxmlformats.org/officeDocument/2006/relationships/hyperlink" Target="https://techcrunch.com/2026/04/17/anthropic-launches-claude-design-a-new-product-for-creating-quick-visuals/" TargetMode="External"/><Relationship Id="rId294" Type="http://schemas.openxmlformats.org/officeDocument/2006/relationships/hyperlink" Target="https://genk.vn/van-dung-chieu-quen-thuoc-ke-gian-co-the-chiem-quyen-kiem-soat-zalo-nguoi-dung-can-can-than-165260417131629056.chn" TargetMode="External"/><Relationship Id="rId308" Type="http://schemas.openxmlformats.org/officeDocument/2006/relationships/hyperlink" Target="https://dantri.com.vn/cong-nghe/chieu-lua-moi-dung-anh-ai-thu-cung-de-doi-tien-chuoc-20260419150858266.htm" TargetMode="External"/><Relationship Id="rId47" Type="http://schemas.openxmlformats.org/officeDocument/2006/relationships/hyperlink" Target="https://www.momo.vn/tin-tuc/thong-bao/momo-ra-mat-tinh-nang-cap-nhat-so-dien-thoai-8571" TargetMode="External"/><Relationship Id="rId89" Type="http://schemas.openxmlformats.org/officeDocument/2006/relationships/hyperlink" Target="https://www.momo.vn/tin-tuc/thong-bao/di-lam-tien-loi-tiet-kiem-hon-quet-momo-di-metro-8578" TargetMode="External"/><Relationship Id="rId112" Type="http://schemas.openxmlformats.org/officeDocument/2006/relationships/hyperlink" Target="https://dantri.com.vn/cong-nghe/tiet-lo-moi-ve-moi-quan-he-giua-apple-va-google-20260329170911100.htm" TargetMode="External"/><Relationship Id="rId154" Type="http://schemas.openxmlformats.org/officeDocument/2006/relationships/hyperlink" Target="https://techcrunch.com/2026/04/20/google-rolls-out-gemini-in-chrome-in-seven-new-countries/" TargetMode="External"/><Relationship Id="rId361" Type="http://schemas.openxmlformats.org/officeDocument/2006/relationships/hyperlink" Target="https://genk.vn/tin-ict/21-4-2026.chn" TargetMode="External"/><Relationship Id="rId196" Type="http://schemas.openxmlformats.org/officeDocument/2006/relationships/hyperlink" Target="https://genk.vn/claude-opus-47-ra-mat-thi-giac-tang-gap-3-tu-kiem-tra-code-truoc-khi-bao-cao-nhung-canh-bao-danh-cho-lap-trinh-vien-dung-46-165260417071515907.chn" TargetMode="External"/><Relationship Id="rId417" Type="http://schemas.openxmlformats.org/officeDocument/2006/relationships/hyperlink" Target="https://techcrunch.com/2026/04/29/meet-shapes-the-app-bringing-humans-and-ai-into-the-same-group-chats/" TargetMode="External"/><Relationship Id="rId459" Type="http://schemas.openxmlformats.org/officeDocument/2006/relationships/hyperlink" Target="https://vnexpress.net/loat-uu-dai-cho-nguoi-dung-dat-ve-xem-phim-tren-ung-dung-ngan-hang-5067423.html" TargetMode="External"/><Relationship Id="rId16" Type="http://schemas.openxmlformats.org/officeDocument/2006/relationships/hyperlink" Target="https://techcrunch.com/2026/03/25/meta-turns-to-ai-to-make-shopping-easier-on-instagram-and-facebook/" TargetMode="External"/><Relationship Id="rId221" Type="http://schemas.openxmlformats.org/officeDocument/2006/relationships/hyperlink" Target="https://dantri.com.vn/cong-nghe/4-tinh-nang-apple-intelligence-sap-thay-doi-trai-nghiem-iphone-tren-ios-27-20260417004356384.htm" TargetMode="External"/><Relationship Id="rId263" Type="http://schemas.openxmlformats.org/officeDocument/2006/relationships/hyperlink" Target="https://www.techinasia.com/grabs-early-backer-sees-ai" TargetMode="External"/><Relationship Id="rId319" Type="http://schemas.openxmlformats.org/officeDocument/2006/relationships/hyperlink" Target="https://www.techinasia.com/news/robinhood-wins-singapore-approval-brokerage" TargetMode="External"/><Relationship Id="rId58" Type="http://schemas.openxmlformats.org/officeDocument/2006/relationships/hyperlink" Target="https://dantri.com.vn/cong-nghe/tai-dien-chieu-tro-lua-dao-chiem-doat-tai-khoan-telegram-tai-viet-nam-20260324155052293.htm" TargetMode="External"/><Relationship Id="rId123" Type="http://schemas.openxmlformats.org/officeDocument/2006/relationships/hyperlink" Target="https://vneconomy.vn/techconnect/tiktok-shop-shopee-va-lazada-thau-tom-99-thi-truong-thuong-mai-dien-tu-dong-nam-a.htm" TargetMode="External"/><Relationship Id="rId330" Type="http://schemas.openxmlformats.org/officeDocument/2006/relationships/hyperlink" Target="https://techcrunch.com/2026/04/29/google-photos-uses-ai-to-make-the-iconic-closet-from-clueless-a-reality/" TargetMode="External"/><Relationship Id="rId165" Type="http://schemas.openxmlformats.org/officeDocument/2006/relationships/hyperlink" Target="https://techcrunch.com/2026/04/15/ai-learning-app-gizmo-levels-up-with-13m-users-and-a-22m-investment/" TargetMode="External"/><Relationship Id="rId372" Type="http://schemas.openxmlformats.org/officeDocument/2006/relationships/hyperlink" Target="https://genk.vn/bao-hiem-so-khoi-dau-ky-nguyen-vai-lan-cham-165260427214352192.chn" TargetMode="External"/><Relationship Id="rId428" Type="http://schemas.openxmlformats.org/officeDocument/2006/relationships/hyperlink" Target="https://techcrunch.com/2026/04/23/whatsapp-adds-prepaid-phone-recharges-in-india-as-its-payments-usage-still-lags/" TargetMode="External"/><Relationship Id="rId232" Type="http://schemas.openxmlformats.org/officeDocument/2006/relationships/hyperlink" Target="https://vnexpress.net/nguoi-viet-co-the-ket-noi-du-lieu-gmail-youtube-de-ca-nhan-hoa-gemini-5062631.html" TargetMode="External"/><Relationship Id="rId274" Type="http://schemas.openxmlformats.org/officeDocument/2006/relationships/hyperlink" Target="https://www.scmp.com/tech/article/3350720/bytedance-profit-plunges-ai-push-tiktok-shop-powers-overseas-growth-reports?module=top_story&amp;pgtype=section" TargetMode="External"/><Relationship Id="rId27" Type="http://schemas.openxmlformats.org/officeDocument/2006/relationships/hyperlink" Target="https://www.techinasia.com/news/robinhood-ups-stock-buyback-plan-15b" TargetMode="External"/><Relationship Id="rId69" Type="http://schemas.openxmlformats.org/officeDocument/2006/relationships/hyperlink" Target="https://techcrunch.com/2026/03/26/whatsapp-can-now-draft-ai-generated-responses-based-on-your-conversations/" TargetMode="External"/><Relationship Id="rId134" Type="http://schemas.openxmlformats.org/officeDocument/2006/relationships/hyperlink" Target="https://dantri.com.vn/cong-nghe/chuyen-gia-ky-vong-xac-thuc-sinh-trac-hoc-thue-bao-se-xoa-xo-sim-rac-20260415095813442.htm" TargetMode="External"/><Relationship Id="rId80" Type="http://schemas.openxmlformats.org/officeDocument/2006/relationships/hyperlink" Target="https://www.momo.vn/tin-tuc/khuyen-mai/sale-44-combo-ve-du-lich-giam-den-50-san-ve-choi-8590" TargetMode="External"/><Relationship Id="rId176" Type="http://schemas.openxmlformats.org/officeDocument/2006/relationships/hyperlink" Target="https://www.techinasia.com/ai-investing-speed-patience" TargetMode="External"/><Relationship Id="rId341" Type="http://schemas.openxmlformats.org/officeDocument/2006/relationships/hyperlink" Target="https://techcrunch.com/2026/04/23/x-is-shutting-down-communities-because-of-low-usage-and-lots-of-spam/" TargetMode="External"/><Relationship Id="rId383" Type="http://schemas.openxmlformats.org/officeDocument/2006/relationships/hyperlink" Target="https://genk.vn/co-no-luc-nhung-khong-dang-ke-ai-tu-giac-lam-nhieu-hon-nhung-gi-duoc-yeu-cau-thang-tay-xoa-sach-du-lieu-va-bia-dat-thong-tin-nguoi-dung-16526041805565031.chn" TargetMode="External"/><Relationship Id="rId439" Type="http://schemas.openxmlformats.org/officeDocument/2006/relationships/hyperlink" Target="https://genk.vn/chatgpt-images-20-ra-mat-cong-cu-tao-anh-biet-suy-nghi-truoc-khi-ve-lam-duoc-ban-do-lich-su-manga-hoan-chinh-chi-trong-mot-cau-lenh-165260422142412177.chn" TargetMode="External"/><Relationship Id="rId201" Type="http://schemas.openxmlformats.org/officeDocument/2006/relationships/hyperlink" Target="https://genk.vn/apple-chi-78-trieu-dong-moi-ngay-cho-tung-nhom-dung-claude-ai-noi-bo-165261404145726947.chn" TargetMode="External"/><Relationship Id="rId243" Type="http://schemas.openxmlformats.org/officeDocument/2006/relationships/hyperlink" Target="https://www.techinasia.com/news/binance-research-ai-takes-40-crypto-vc-funding" TargetMode="External"/><Relationship Id="rId285" Type="http://schemas.openxmlformats.org/officeDocument/2006/relationships/hyperlink" Target="https://genk.vn/google-them-skills-vao-chrome-luu-cau-lenh-gemini-nhan-mot-nut-dung-lai-165261604150311505.chn" TargetMode="External"/><Relationship Id="rId450" Type="http://schemas.openxmlformats.org/officeDocument/2006/relationships/hyperlink" Target="https://genk.vn/cu-dan-mang-viet-nam-mat-ngu-vi-mot-tinh-nang-moi-tren-chatgpt-16526042519113388.chn" TargetMode="External"/><Relationship Id="rId38" Type="http://schemas.openxmlformats.org/officeDocument/2006/relationships/hyperlink" Target="https://www.momo.vn/tin-tuc/khuyen-mai/tu-dong-canh-bao-phat-nguoi-khi-he-thong-phat-8586" TargetMode="External"/><Relationship Id="rId103" Type="http://schemas.openxmlformats.org/officeDocument/2006/relationships/hyperlink" Target="https://www.techinasia.com/shopee-tiktok-shops-dominance-squeezes-vietnams-couriers" TargetMode="External"/><Relationship Id="rId310" Type="http://schemas.openxmlformats.org/officeDocument/2006/relationships/hyperlink" Target="https://vnexpress.net/ung-dung-zalo-chan-chup-man-hinh-anh-dai-dien-5066214.html" TargetMode="External"/><Relationship Id="rId91" Type="http://schemas.openxmlformats.org/officeDocument/2006/relationships/hyperlink" Target="https://www.momo.vn/tin-tuc/khuyen-mai/19-3-31-3-hoan-ngay-4k-khi-chuyen-2k-tu-ngan-hang-8572" TargetMode="External"/><Relationship Id="rId145" Type="http://schemas.openxmlformats.org/officeDocument/2006/relationships/hyperlink" Target="https://vnexpress.net/huan-luyen-ai-loi-mo-cho-chuyen-gia-lon-tuoi-5060086.html" TargetMode="External"/><Relationship Id="rId187" Type="http://schemas.openxmlformats.org/officeDocument/2006/relationships/hyperlink" Target="https://genk.vn/bo-tai-chinh-my-va-fed-hop-khan-vi-mot-san-pham-ai-ngay-tan-cua-nganh-phan-mem-an-ninh-mang-co-dang-den-165260413054307124.chn" TargetMode="External"/><Relationship Id="rId352" Type="http://schemas.openxmlformats.org/officeDocument/2006/relationships/hyperlink" Target="https://vnba.org.vn/vi/mo-tai-khoan-momo-tren-ung-dung-mbbank--nhan-uu-dai-den-1-6-trieu-dong-21582.htm" TargetMode="External"/><Relationship Id="rId394" Type="http://schemas.openxmlformats.org/officeDocument/2006/relationships/hyperlink" Target="https://dantri.com.vn/cong-nghe/chieu-lua-moi-dung-anh-ai-thu-cung-de-doi-tien-chuoc-20260419150858266.htm" TargetMode="External"/><Relationship Id="rId408" Type="http://schemas.openxmlformats.org/officeDocument/2006/relationships/hyperlink" Target="https://www.techinasia.com/news/ant-international-upgrades-alipay-with-privacy-tech" TargetMode="External"/><Relationship Id="rId212" Type="http://schemas.openxmlformats.org/officeDocument/2006/relationships/hyperlink" Target="https://vneconomy.vn/techconnect/trung-quoc-cong-bo-chien-luoc-toan-dien-dua-ai-vao-lop-hoc-den-nam-2030.htm" TargetMode="External"/><Relationship Id="rId254" Type="http://schemas.openxmlformats.org/officeDocument/2006/relationships/hyperlink" Target="https://techcrunch.com/2026/04/16/google-now-lets-you-explore-the-web-side-by-side-with-ai-mode/" TargetMode="External"/><Relationship Id="rId49" Type="http://schemas.openxmlformats.org/officeDocument/2006/relationships/hyperlink" Target="https://www.momo.vn/tin-tuc/khuyen-mai/nhan-canh-bao-phat-hien-nguy-co-lua-dao-khi-8568" TargetMode="External"/><Relationship Id="rId114" Type="http://schemas.openxmlformats.org/officeDocument/2006/relationships/hyperlink" Target="https://genk.vn/tin-ict/2-4-2026.chn" TargetMode="External"/><Relationship Id="rId296" Type="http://schemas.openxmlformats.org/officeDocument/2006/relationships/hyperlink" Target="https://genk.vn/openai-hoc-tap-claude-cho-phep-chay-ai-agent-trong-moi-truong-doc-lap-165261604125857105.chn" TargetMode="External"/><Relationship Id="rId461" Type="http://schemas.openxmlformats.org/officeDocument/2006/relationships/hyperlink" Target="https://vnexpress.net/bidv-cung-cac-doi-tac-trien-khai-dich-vu-thanh-toan-qr-viet-han-5066506.html" TargetMode="External"/><Relationship Id="rId60" Type="http://schemas.openxmlformats.org/officeDocument/2006/relationships/hyperlink" Target="https://genk.vn/openai-len-ke-hoach-ra-mat-sieu-ung-dung-tren-may-tinh-165260322073417885.chn" TargetMode="External"/><Relationship Id="rId156" Type="http://schemas.openxmlformats.org/officeDocument/2006/relationships/hyperlink" Target="https://techcrunch.com/2026/04/20/google-photos-adds-new-touch-up-tools-for-quick-fixes/" TargetMode="External"/><Relationship Id="rId198" Type="http://schemas.openxmlformats.org/officeDocument/2006/relationships/hyperlink" Target="https://genk.vn/vuot-xa-moi-du-bao-tsmc-can-moc-doanh-thu-357-ty-usd-nho-mo-vang-ai-165260413053813951.chn" TargetMode="External"/><Relationship Id="rId321" Type="http://schemas.openxmlformats.org/officeDocument/2006/relationships/hyperlink" Target="https://www.techinasia.com/airwallex-launch-indonesia-vietnam-southeast-asia-push" TargetMode="External"/><Relationship Id="rId363" Type="http://schemas.openxmlformats.org/officeDocument/2006/relationships/hyperlink" Target="https://genk.vn/openclaw-moi-phien-ban-cloud-an-toan-tien-dung-cho-nguoi-viet-165260421151000535.chn" TargetMode="External"/><Relationship Id="rId419" Type="http://schemas.openxmlformats.org/officeDocument/2006/relationships/hyperlink" Target="https://techcrunch.com/2026/04/28/lovable-launches-its-vibe-coding-app-on-ios-and-android/" TargetMode="External"/><Relationship Id="rId223" Type="http://schemas.openxmlformats.org/officeDocument/2006/relationships/hyperlink" Target="https://dantri.com.vn/cong-nghe/google-trien-khai-tinh-nang-tri-thong-minh-ca-nhan-tren-gemini-tai-viet-nam-20260415113317816.htm" TargetMode="External"/><Relationship Id="rId430" Type="http://schemas.openxmlformats.org/officeDocument/2006/relationships/hyperlink" Target="https://techcrunch.com/2026/04/22/threads-is-adding-live-chats-to-boost-real-time-engagement/" TargetMode="External"/><Relationship Id="rId18" Type="http://schemas.openxmlformats.org/officeDocument/2006/relationships/hyperlink" Target="https://techcrunch.com/2026/03/24/tiktok-ads-are-about-to-get-a-tad-more-disruptive/" TargetMode="External"/><Relationship Id="rId265" Type="http://schemas.openxmlformats.org/officeDocument/2006/relationships/hyperlink" Target="https://www.techinasia.com/visual-story/mapping-chinas-ecommerce-standouts" TargetMode="External"/><Relationship Id="rId125" Type="http://schemas.openxmlformats.org/officeDocument/2006/relationships/hyperlink" Target="https://vneconomy.vn/techconnect/trung-quoc-siet-quan-ly-hoat-dong-livestream-ban-hang-online.htm" TargetMode="External"/><Relationship Id="rId167" Type="http://schemas.openxmlformats.org/officeDocument/2006/relationships/hyperlink" Target="https://techcrunch.com/2026/04/14/youtube-livestreams-will-now-hold-back-ads-during-peak-engagement-to-protect-the-vibe/" TargetMode="External"/><Relationship Id="rId332" Type="http://schemas.openxmlformats.org/officeDocument/2006/relationships/hyperlink" Target="https://techcrunch.com/2026/04/28/amazon-launches-an-ai-powered-audio-qa-experience-on-product-pages/" TargetMode="External"/><Relationship Id="rId374" Type="http://schemas.openxmlformats.org/officeDocument/2006/relationships/hyperlink" Target="https://genk.vn/tin-ict/1-5-2026.chn" TargetMode="External"/><Relationship Id="rId71" Type="http://schemas.openxmlformats.org/officeDocument/2006/relationships/hyperlink" Target="https://techcrunch.com/2026/03/25/meta-turns-to-ai-to-make-shopping-easier-on-instagram-and-facebook/" TargetMode="External"/><Relationship Id="rId234" Type="http://schemas.openxmlformats.org/officeDocument/2006/relationships/hyperlink" Target="https://vnexpress.net/ha-noi-dat-muc-tieu-100-co-quan-nha-nuoc-ung-dung-ai-5061915.html" TargetMode="External"/><Relationship Id="rId2" Type="http://schemas.openxmlformats.org/officeDocument/2006/relationships/hyperlink" Target="https://dantri.com.vn/cong-nghe/ios-27-se-giup-tro-ly-ao-siri-lot-xac-20260325124237776.htm" TargetMode="External"/><Relationship Id="rId29" Type="http://schemas.openxmlformats.org/officeDocument/2006/relationships/hyperlink" Target="https://www.techinasia.com/shopee-tiktok-shops-dominance-squeezes-vietnams-couriers" TargetMode="External"/><Relationship Id="rId276" Type="http://schemas.openxmlformats.org/officeDocument/2006/relationships/hyperlink" Target="https://genk.vn/phan-tich-6852-phien-lam-viec-giam-doc-ai-cua-amd-canh-bao-claude-code-ngoc-hon-va-luoi-bieng-hon-khong-con-dang-tin-cho-cac-tac-vu-phuc-tap-165260413205627494.chn" TargetMode="External"/><Relationship Id="rId441" Type="http://schemas.openxmlformats.org/officeDocument/2006/relationships/hyperlink" Target="https://genk.vn/dao-tao-ai-trong-nganh-y-te-yeu-cau-cap-thiet-tu-thuc-tien-va-dinh-huong-xay-dung-khung-du-lieu-ai-y-te-quoc-gia-165260423161434087.chn" TargetMode="External"/><Relationship Id="rId40" Type="http://schemas.openxmlformats.org/officeDocument/2006/relationships/hyperlink" Target="https://www.momo.vn/tin-tuc/khuyen-mai/sieu-sale-sinh-nhat-lazada-hoan-tien-gap-3-lan-8583" TargetMode="External"/><Relationship Id="rId136" Type="http://schemas.openxmlformats.org/officeDocument/2006/relationships/hyperlink" Target="https://dantri.com.vn/cong-nghe/gia-token-onus-giam-ve-0-20260412233000351.htm" TargetMode="External"/><Relationship Id="rId178" Type="http://schemas.openxmlformats.org/officeDocument/2006/relationships/hyperlink" Target="https://www.techinasia.com/news/ecommerce-risk-labels-questioned-in-indonesia-child-rules" TargetMode="External"/><Relationship Id="rId301" Type="http://schemas.openxmlformats.org/officeDocument/2006/relationships/hyperlink" Target="https://vneconomy.vn/techconnect/con-sot-anthropic-dinh-gia-cham-moc-nghin-ty-usd-tren-thi-truong-thu-cap-vuot-openai.htm" TargetMode="External"/><Relationship Id="rId343" Type="http://schemas.openxmlformats.org/officeDocument/2006/relationships/hyperlink" Target="https://techcrunch.com/2026/04/23/meta-will-now-allow-parents-to-see-the-topics-their-child-discussed-with-meta-ai/" TargetMode="External"/><Relationship Id="rId61" Type="http://schemas.openxmlformats.org/officeDocument/2006/relationships/hyperlink" Target="https://genk.vn/con-ac-mong-cua-marketing-openclaw-co-the-lam-mat-dau-an-thuong-hieu-bien-app-thanh-vo-hinh-giao-dien-phan-mem-ui-ux-tro-nen-vo-dung-165260323082541686.chn" TargetMode="External"/><Relationship Id="rId82" Type="http://schemas.openxmlformats.org/officeDocument/2006/relationships/hyperlink" Target="https://www.momo.vn/tin-tuc/khuyen-mai/don-hoa-no-san-deal-xin-giam-den-500000d-tren-8588" TargetMode="External"/><Relationship Id="rId199" Type="http://schemas.openxmlformats.org/officeDocument/2006/relationships/hyperlink" Target="https://genk.vn/vietbank-digital-plus-tro-ly-tai-chinh-so-danh-cho-nguoi-dung-hien-dai-16526041318283304.chn" TargetMode="External"/><Relationship Id="rId203" Type="http://schemas.openxmlformats.org/officeDocument/2006/relationships/hyperlink" Target="https://genk.vn/qualcomm-ai-co-the-tao-ra-co-hoi-moi-cho-viet-nam-huong-toi-2027-ra-mat-ai-phone-cung-viettel-va-he-sinh-thai-make-in-vietnam-165260417153123212.chn" TargetMode="External"/><Relationship Id="rId385" Type="http://schemas.openxmlformats.org/officeDocument/2006/relationships/hyperlink" Target="https://vneconomy.vn/techconnect/esports-viet-nam-tu-thi-truong-tiem-nang-den-he-sinh-thai-hoi-nhap-toan-cau.htm" TargetMode="External"/><Relationship Id="rId19" Type="http://schemas.openxmlformats.org/officeDocument/2006/relationships/hyperlink" Target="https://vneconomy.vn/techconnect/esports-nations-cup-2026-cong-bo-viresa-la-doi-tac-quoc-gia-tai-viet-nam.htm" TargetMode="External"/><Relationship Id="rId224" Type="http://schemas.openxmlformats.org/officeDocument/2006/relationships/hyperlink" Target="https://dantri.com.vn/cong-nghe/nhung-chu-de-nhieu-nguoi-viet-quan-tam-tren-internet-trong-quy-i2026-20260415160713524.htm" TargetMode="External"/><Relationship Id="rId245" Type="http://schemas.openxmlformats.org/officeDocument/2006/relationships/hyperlink" Target="https://techcrunch.com/2026/04/20/google-rolls-out-gemini-in-chrome-in-seven-new-countries/" TargetMode="External"/><Relationship Id="rId266" Type="http://schemas.openxmlformats.org/officeDocument/2006/relationships/hyperlink" Target="https://www.techinasia.com/ai-investing-speed-patience" TargetMode="External"/><Relationship Id="rId287" Type="http://schemas.openxmlformats.org/officeDocument/2006/relationships/hyperlink" Target="https://genk.vn/nha-dau-tu-nghi-ngo-dinh-gia-openai-anthropic-tang-truong-doanh-thu-nho-cong-cu-lap-trinh-165261604145429781.chn" TargetMode="External"/><Relationship Id="rId410" Type="http://schemas.openxmlformats.org/officeDocument/2006/relationships/hyperlink" Target="https://techcrunch.com/2026/04/30/tiktoks-new-campus-hub-features-college-group-chats-and-feeds/" TargetMode="External"/><Relationship Id="rId431" Type="http://schemas.openxmlformats.org/officeDocument/2006/relationships/hyperlink" Target="https://techcrunch.com/2026/04/22/snap-maps-new-place-loyalty-badges-will-show-the-spots-you-visit-most-often/" TargetMode="External"/><Relationship Id="rId452" Type="http://schemas.openxmlformats.org/officeDocument/2006/relationships/hyperlink" Target="https://dantri.com.vn/cong-nghe/xac-thuc-sinh-trac-hoc-khong-con-an-toan-tuyet-doi-20260428194441456.htm" TargetMode="External"/><Relationship Id="rId30" Type="http://schemas.openxmlformats.org/officeDocument/2006/relationships/hyperlink" Target="https://www.techinasia.com/category/consumer-tech" TargetMode="External"/><Relationship Id="rId105" Type="http://schemas.openxmlformats.org/officeDocument/2006/relationships/hyperlink" Target="https://www.techinasia.com/news/alibaba-net-income-drops-66-quick-commerce-investment-rises" TargetMode="External"/><Relationship Id="rId126" Type="http://schemas.openxmlformats.org/officeDocument/2006/relationships/hyperlink" Target="https://vneconomy.vn/techconnect/trung-quoc-ra-chinh-sach-thu-hut-tai-nang-ai-tu-thung-lung-silicon-ve-nuoc.htm" TargetMode="External"/><Relationship Id="rId147" Type="http://schemas.openxmlformats.org/officeDocument/2006/relationships/hyperlink" Target="https://www.bloomberg.com/news/articles/2026-04-15/google-debuts-standalone-gemini-app-for-apple-s-macos?srnd=phx-technology-consumer-tech" TargetMode="External"/><Relationship Id="rId168" Type="http://schemas.openxmlformats.org/officeDocument/2006/relationships/hyperlink" Target="https://techcrunch.com/2026/04/14/how-the-rewards-app-freecash-scammed-its-way-to-the-top-of-the-app-stores/" TargetMode="External"/><Relationship Id="rId312" Type="http://schemas.openxmlformats.org/officeDocument/2006/relationships/hyperlink" Target="https://vnexpress.net/chatgpt-cai-thien-tao-chu-viet-tieng-viet-trong-anh-5065463.html" TargetMode="External"/><Relationship Id="rId333" Type="http://schemas.openxmlformats.org/officeDocument/2006/relationships/hyperlink" Target="https://techcrunch.com/2026/04/28/lovable-launches-its-vibe-coding-app-on-ios-and-android/" TargetMode="External"/><Relationship Id="rId354" Type="http://schemas.openxmlformats.org/officeDocument/2006/relationships/hyperlink" Target="https://genk.vn/chatgpt-images-20-ra-mat-cong-cu-tao-anh-biet-suy-nghi-truoc-khi-ve-lam-duoc-ban-do-lich-su-manga-hoan-chinh-chi-trong-mot-cau-lenh-165260422142412177.chn" TargetMode="External"/><Relationship Id="rId51" Type="http://schemas.openxmlformats.org/officeDocument/2006/relationships/hyperlink" Target="https://www.momo.vn/tin-tuc/khuyen-mai/mien-phi-ngay-1-lit-xang-khi-nhan-thich-muc-tra-8561" TargetMode="External"/><Relationship Id="rId72" Type="http://schemas.openxmlformats.org/officeDocument/2006/relationships/hyperlink" Target="https://techcrunch.com/2026/03/24/apple-music-partners-with-ticketmaster-to-power-its-concert-discovery-feature/" TargetMode="External"/><Relationship Id="rId93" Type="http://schemas.openxmlformats.org/officeDocument/2006/relationships/hyperlink" Target="https://www.momo.vn/tin-tuc/khuyen-mai/rut-thong-diep-mo-yeu-thuong-khui-kho-qua-500-8570" TargetMode="External"/><Relationship Id="rId189" Type="http://schemas.openxmlformats.org/officeDocument/2006/relationships/hyperlink" Target="https://genk.vn/claude-len-ngoi-chatgpt-tut-doc-165261304141630535.chn" TargetMode="External"/><Relationship Id="rId375" Type="http://schemas.openxmlformats.org/officeDocument/2006/relationships/hyperlink" Target="https://vnexpress.net/tong-thong-indonesia-chiet-khau-cac-nen-tang-goi-xe-phai-duoi-10-5069151.html" TargetMode="External"/><Relationship Id="rId396" Type="http://schemas.openxmlformats.org/officeDocument/2006/relationships/hyperlink" Target="https://vnexpress.net/ung-dung-zalo-chan-chup-man-hinh-anh-dai-dien-5066214.html" TargetMode="External"/><Relationship Id="rId3" Type="http://schemas.openxmlformats.org/officeDocument/2006/relationships/hyperlink" Target="https://dantri.com.vn/cong-nghe/tai-dien-chieu-tro-lua-dao-chiem-doat-tai-khoan-telegram-tai-viet-nam-20260324155052293.htm" TargetMode="External"/><Relationship Id="rId214" Type="http://schemas.openxmlformats.org/officeDocument/2006/relationships/hyperlink" Target="https://vneconomy.vn/techconnect/tiktok-shop-shopee-va-lazada-thau-tom-99-thi-truong-thuong-mai-dien-tu-dong-nam-a.htm" TargetMode="External"/><Relationship Id="rId235" Type="http://schemas.openxmlformats.org/officeDocument/2006/relationships/hyperlink" Target="https://vnexpress.net/ai-la-co-hoi-vang-de-cntt-viet-nam-ru-bo-chiec-ao-thau-phu-5060849.html" TargetMode="External"/><Relationship Id="rId256" Type="http://schemas.openxmlformats.org/officeDocument/2006/relationships/hyperlink" Target="https://techcrunch.com/2026/04/15/ai-learning-app-gizmo-levels-up-with-13m-users-and-a-22m-investment/" TargetMode="External"/><Relationship Id="rId277" Type="http://schemas.openxmlformats.org/officeDocument/2006/relationships/hyperlink" Target="https://genk.vn/bo-tai-chinh-my-va-fed-hop-khan-vi-mot-san-pham-ai-ngay-tan-cua-nganh-phan-mem-an-ninh-mang-co-dang-den-165260413054307124.chn" TargetMode="External"/><Relationship Id="rId298" Type="http://schemas.openxmlformats.org/officeDocument/2006/relationships/hyperlink" Target="https://genk.vn/ha-noi-ra-mat-cong-thong-tin-an-toan-thuc-pham-kenh-tra-cuu-phan-anh-va-ket-noi-minh-bach-cho-nguoi-dan-165260418121253119.chn" TargetMode="External"/><Relationship Id="rId400" Type="http://schemas.openxmlformats.org/officeDocument/2006/relationships/hyperlink" Target="https://vnexpress.net/cach-cong-ty-cong-nghe-trung-quoc-chuyen-hoa-ai-thanh-loi-nhuan-5061856.html" TargetMode="External"/><Relationship Id="rId421" Type="http://schemas.openxmlformats.org/officeDocument/2006/relationships/hyperlink" Target="https://techcrunch.com/2026/04/28/youtube-is-testing-an-ai-powered-search-feature-that-shows-guided-answers/" TargetMode="External"/><Relationship Id="rId442" Type="http://schemas.openxmlformats.org/officeDocument/2006/relationships/hyperlink" Target="https://genk.vn/anthropic-thua-nhan-claude-that-su-ngoc-hon-suot-47-ngay-3-loi-ky-thuat-chong-cheo-ma-chinh-doi-ngu-cung-khong-tai-hien-duoc-165260424144242268.chn" TargetMode="External"/><Relationship Id="rId463" Type="http://schemas.openxmlformats.org/officeDocument/2006/relationships/hyperlink" Target="https://vnexpress.net/nguong-doanh-thu-chiu-thue-voi-ho-kinh-doanh-duoc-de-xuat-len-1-ty-dong-5065883.html" TargetMode="External"/><Relationship Id="rId116" Type="http://schemas.openxmlformats.org/officeDocument/2006/relationships/hyperlink" Target="https://genk.vn/openai-ra-goi-100-usd-thang-nham-thang-vao-nguoi-dung-claude-165261004232626494.chn" TargetMode="External"/><Relationship Id="rId137" Type="http://schemas.openxmlformats.org/officeDocument/2006/relationships/hyperlink" Target="https://dantri.com.vn/cong-nghe/hacker-nam-vung-giang-bay-tu-su-chu-quan-cua-doanh-nghiep-vua-va-nho-20260416120517883.htm" TargetMode="External"/><Relationship Id="rId158" Type="http://schemas.openxmlformats.org/officeDocument/2006/relationships/hyperlink" Target="https://techcrunch.com/2026/04/18/the-app-store-is-booming-again-and-ai-may-be-why/" TargetMode="External"/><Relationship Id="rId302" Type="http://schemas.openxmlformats.org/officeDocument/2006/relationships/hyperlink" Target="https://vneconomy.vn/techconnect/y-te-viet-nam-truoc-co-hoi-but-pha-voi-agentic-ai.htm" TargetMode="External"/><Relationship Id="rId323" Type="http://schemas.openxmlformats.org/officeDocument/2006/relationships/hyperlink" Target="https://techcrunch.com/2026/04/30/googles-gemini-ai-assistant-is-hitting-the-road-in-millions-of-vehicles/" TargetMode="External"/><Relationship Id="rId344" Type="http://schemas.openxmlformats.org/officeDocument/2006/relationships/hyperlink" Target="https://techcrunch.com/2026/04/22/threads-is-adding-live-chats-to-boost-real-time-engagement/" TargetMode="External"/><Relationship Id="rId20" Type="http://schemas.openxmlformats.org/officeDocument/2006/relationships/hyperlink" Target="https://vneconomy.vn/techconnect/con-sot-ai-agent-dang-thuc-day-cuoc-dua-ha-tang-tinh-toan-toan-cau.htm" TargetMode="External"/><Relationship Id="rId41" Type="http://schemas.openxmlformats.org/officeDocument/2006/relationships/hyperlink" Target="https://www.momo.vn/tin-tuc/khuyen-mai/tich-ngay-500-xu-khi-tai-ma-qr-nhan-tien-8582" TargetMode="External"/><Relationship Id="rId62" Type="http://schemas.openxmlformats.org/officeDocument/2006/relationships/hyperlink" Target="https://genk.vn/openclaw-khien-30-nam-kinh-nghiem-excel-tro-nen-vo-nghia-day-co-phai-ngay-tan-cua-ky-nang-su-dung-may-tinh-van-phong-165260323082818451.chn" TargetMode="External"/><Relationship Id="rId83" Type="http://schemas.openxmlformats.org/officeDocument/2006/relationships/hyperlink" Target="https://www.momo.vn/tin-tuc/khuyen-mai/tu-dong-canh-bao-phat-nguoi-khi-he-thong-phat-8586" TargetMode="External"/><Relationship Id="rId179" Type="http://schemas.openxmlformats.org/officeDocument/2006/relationships/hyperlink" Target="https://www.techinasia.com/news/amazon-launches-first-shenzhen-hub-chinese-sellers" TargetMode="External"/><Relationship Id="rId365" Type="http://schemas.openxmlformats.org/officeDocument/2006/relationships/hyperlink" Target="https://genk.vn/cong-an-cong-bo-tin-nhan-phai-xoa-ngay-neu-khong-muon-mat-tien-trong-tai-khoan-165260425191304771.chn" TargetMode="External"/><Relationship Id="rId386" Type="http://schemas.openxmlformats.org/officeDocument/2006/relationships/hyperlink" Target="https://vneconomy.vn/techconnect/atlassian-ra-mat-service-collection-tai-viet-nam-giai-phap-agentic-ai-hang-dau-ve-quan-ly-dich-vu.htm" TargetMode="External"/><Relationship Id="rId190" Type="http://schemas.openxmlformats.org/officeDocument/2006/relationships/hyperlink" Target="https://genk.vn/140-nghin-ty-ciyuan-trung-quoc-vuot-mat-my-ve-muc-do-ua-chuong-mo-hinh-ai-87-nguoi-dan-tin-vao-cong-nghe-moi-165260414053731394.chn" TargetMode="External"/><Relationship Id="rId204" Type="http://schemas.openxmlformats.org/officeDocument/2006/relationships/hyperlink" Target="https://genk.vn/van-dung-chieu-quen-thuoc-ke-gian-co-the-chiem-quyen-kiem-soat-zalo-nguoi-dung-can-can-than-165260417131629056.chn" TargetMode="External"/><Relationship Id="rId225" Type="http://schemas.openxmlformats.org/officeDocument/2006/relationships/hyperlink" Target="https://dantri.com.vn/cong-nghe/chuyen-gia-ky-vong-xac-thuc-sinh-trac-hoc-thue-bao-se-xoa-xo-sim-rac-20260415095813442.htm" TargetMode="External"/><Relationship Id="rId246" Type="http://schemas.openxmlformats.org/officeDocument/2006/relationships/hyperlink" Target="https://techcrunch.com/2026/04/20/whatsapp-is-testing-a-premium-subscription-put-it-is-mainly-cosmetic/" TargetMode="External"/><Relationship Id="rId267" Type="http://schemas.openxmlformats.org/officeDocument/2006/relationships/hyperlink" Target="https://www.techinasia.com/news/china-fines-ecommerce-giants-527m-over-food-delivery-lapses" TargetMode="External"/><Relationship Id="rId288" Type="http://schemas.openxmlformats.org/officeDocument/2006/relationships/hyperlink" Target="https://genk.vn/vuot-xa-moi-du-bao-tsmc-can-moc-doanh-thu-357-ty-usd-nho-mo-vang-ai-165260413053813951.chn" TargetMode="External"/><Relationship Id="rId411" Type="http://schemas.openxmlformats.org/officeDocument/2006/relationships/hyperlink" Target="https://techcrunch.com/2026/04/30/stripe-link-digital-wallet-ai-agents-shopping/" TargetMode="External"/><Relationship Id="rId432" Type="http://schemas.openxmlformats.org/officeDocument/2006/relationships/hyperlink" Target="https://techcrunch.com/2026/04/21/chatgpts-new-images-2-0-model-is-surprisingly-good-at-generating-text/" TargetMode="External"/><Relationship Id="rId453" Type="http://schemas.openxmlformats.org/officeDocument/2006/relationships/hyperlink" Target="https://vnexpress.net/vingroup-phat-trien-ngon-ngu-llm-trong-chien-luoc-ai-5067101.html" TargetMode="External"/><Relationship Id="rId106" Type="http://schemas.openxmlformats.org/officeDocument/2006/relationships/hyperlink" Target="https://www.techinasia.com/news/meta-tests-ai-shopping-pop-up-on-facebook-instagram" TargetMode="External"/><Relationship Id="rId127" Type="http://schemas.openxmlformats.org/officeDocument/2006/relationships/hyperlink" Target="https://vneconomy.vn/techconnect/van-hoa-du-lieu-nut-that-trong-bai-toan-tang-truong-cua-ngan-hang.htm" TargetMode="External"/><Relationship Id="rId313" Type="http://schemas.openxmlformats.org/officeDocument/2006/relationships/hyperlink" Target="https://vnexpress.net/cong-ty-game-viet-tao-he-sinh-thai-nguoi-choi-make-in-vietnam-5065408.html" TargetMode="External"/><Relationship Id="rId10" Type="http://schemas.openxmlformats.org/officeDocument/2006/relationships/hyperlink" Target="https://genk.vn/tin-vui-cho-35-ty-nguoi-dung-google-chrome-16526032408203803.chn" TargetMode="External"/><Relationship Id="rId31" Type="http://schemas.openxmlformats.org/officeDocument/2006/relationships/hyperlink" Target="https://www.techinasia.com/news/alibaba-tencent-lose-66b-ai-bets-lack-clear-payoff" TargetMode="External"/><Relationship Id="rId52" Type="http://schemas.openxmlformats.org/officeDocument/2006/relationships/hyperlink" Target="https://www.momo.vn/tin-tuc/khuyen-mai/uu-dai-hoi-nhat-thang-giam-den-45k-mua-icloud-luu-8558" TargetMode="External"/><Relationship Id="rId73" Type="http://schemas.openxmlformats.org/officeDocument/2006/relationships/hyperlink" Target="https://techcrunch.com/2026/03/24/tiktok-ads-are-about-to-get-a-tad-more-disruptive/" TargetMode="External"/><Relationship Id="rId94" Type="http://schemas.openxmlformats.org/officeDocument/2006/relationships/hyperlink" Target="https://www.momo.vn/tin-tuc/khuyen-mai/nhan-canh-bao-phat-hien-nguy-co-lua-dao-khi-8568" TargetMode="External"/><Relationship Id="rId148" Type="http://schemas.openxmlformats.org/officeDocument/2006/relationships/hyperlink" Target="https://www.bloomberg.com/news/articles/2026-04-14/alibaba-readies-first-robot-for-foray-into-crowded-chinese-arena?srnd=phx-technology-consumer-tech" TargetMode="External"/><Relationship Id="rId169" Type="http://schemas.openxmlformats.org/officeDocument/2006/relationships/hyperlink" Target="https://techcrunch.com/2026/04/14/google-brings-its-gemini-personal-intelligence-feature-to-india/" TargetMode="External"/><Relationship Id="rId334" Type="http://schemas.openxmlformats.org/officeDocument/2006/relationships/hyperlink" Target="https://techcrunch.com/2026/04/28/snapchat-brings-ai-powered-conversational-advertising-to-its-app/" TargetMode="External"/><Relationship Id="rId355" Type="http://schemas.openxmlformats.org/officeDocument/2006/relationships/hyperlink" Target="https://genk.vn/startup-pha-san-ban-tin-nhan-slack-va-noi-dung-email-de-huan-luyen-ai-165260423161623665.chn" TargetMode="External"/><Relationship Id="rId376" Type="http://schemas.openxmlformats.org/officeDocument/2006/relationships/hyperlink" Target="https://vnexpress.net/loat-uu-dai-cho-nguoi-dung-dat-ve-xem-phim-tren-ung-dung-ngan-hang-5067423.html" TargetMode="External"/><Relationship Id="rId397" Type="http://schemas.openxmlformats.org/officeDocument/2006/relationships/hyperlink" Target="https://vnexpress.net/apple-ra-ban-cap-nhat-iphone-chan-fbi-trich-xuat-du-lieu-5066043.html" TargetMode="External"/><Relationship Id="rId4" Type="http://schemas.openxmlformats.org/officeDocument/2006/relationships/hyperlink" Target="https://genk.vn/chatgpt-sap-cho-phep-noi-dung-nhay-cam-day-lo-ngai-lo-du-lieu-ca-nhan-165260322073640315.chn" TargetMode="External"/><Relationship Id="rId180" Type="http://schemas.openxmlformats.org/officeDocument/2006/relationships/hyperlink" Target="https://www.techinasia.com/news/bookingcom-confirms-breach-customer-data" TargetMode="External"/><Relationship Id="rId215" Type="http://schemas.openxmlformats.org/officeDocument/2006/relationships/hyperlink" Target="https://vneconomy.vn/techconnect/ai-va-esg-dang-dinh-hinh-lai-suc-khoe-thuong-hieu-cua-cac-ngan-hang-viet.htm" TargetMode="External"/><Relationship Id="rId236" Type="http://schemas.openxmlformats.org/officeDocument/2006/relationships/hyperlink" Target="https://vnexpress.net/huan-luyen-ai-loi-mo-cho-chuyen-gia-lon-tuoi-5060086.html" TargetMode="External"/><Relationship Id="rId257" Type="http://schemas.openxmlformats.org/officeDocument/2006/relationships/hyperlink" Target="https://techcrunch.com/2026/04/15/fathom-adds-a-bot-less-meeting-mode-in-a-bid-to-take-on-granola/" TargetMode="External"/><Relationship Id="rId278" Type="http://schemas.openxmlformats.org/officeDocument/2006/relationships/hyperlink" Target="https://genk.vn/co-gi-o-mo-hinh-ai-dau-tien-do-biet-doi-sieu-tri-tue-cua-meta-phat-trien-165260414161711289.chn" TargetMode="External"/><Relationship Id="rId401" Type="http://schemas.openxmlformats.org/officeDocument/2006/relationships/hyperlink" Target="https://vnexpress.net/ty-le-nguoi-dung-iphone-trung-thanh-tai-my-dat-ky-luc-5063485.html" TargetMode="External"/><Relationship Id="rId422" Type="http://schemas.openxmlformats.org/officeDocument/2006/relationships/hyperlink" Target="https://techcrunch.com/2026/04/27/consumers-lost-2-1-billion-to-social-media-scams-in-2025-ftc-reports/" TargetMode="External"/><Relationship Id="rId443" Type="http://schemas.openxmlformats.org/officeDocument/2006/relationships/hyperlink" Target="https://genk.vn/ra-mat-gpt-55-mo-hinh-ai-thong-minh-nhat-cua-openai-canh-tranh-voi-opus-47-165260424104450811.chn" TargetMode="External"/><Relationship Id="rId464" Type="http://schemas.openxmlformats.org/officeDocument/2006/relationships/hyperlink" Target="https://vnexpress.net/nhieu-ngan-hang-dung-chuyen-tien-nhanh-tren-500-trieu-dong-5063913.html" TargetMode="External"/><Relationship Id="rId303" Type="http://schemas.openxmlformats.org/officeDocument/2006/relationships/hyperlink" Target="https://vneconomy.vn/techconnect/trung-quoc-ra-chinh-sach-bao-ve-tai-xe-cong-nghe-nhan-vien-giao-hang.htm" TargetMode="External"/><Relationship Id="rId42" Type="http://schemas.openxmlformats.org/officeDocument/2006/relationships/hyperlink" Target="https://www.momo.vn/tin-tuc/thong-cao-bao-chi/momo-cap-nhat-moi-nhat-ve-giai-phap-nhan-tien-8587" TargetMode="External"/><Relationship Id="rId84" Type="http://schemas.openxmlformats.org/officeDocument/2006/relationships/hyperlink" Target="https://www.momo.vn/tin-tuc/khuyen-mai/gio-nghi-trai-nghiem-coca-cola-mien-phi-tai-cvs-8585" TargetMode="External"/><Relationship Id="rId138" Type="http://schemas.openxmlformats.org/officeDocument/2006/relationships/hyperlink" Target="https://vnexpress.net/viet-nam-thu-nghiem-mang-internet-50-gbps-5063593.html" TargetMode="External"/><Relationship Id="rId345" Type="http://schemas.openxmlformats.org/officeDocument/2006/relationships/hyperlink" Target="https://techcrunch.com/2026/04/22/snap-maps-new-place-loyalty-badges-will-show-the-spots-you-visit-most-often/" TargetMode="External"/><Relationship Id="rId387" Type="http://schemas.openxmlformats.org/officeDocument/2006/relationships/hyperlink" Target="https://vneconomy.vn/techconnect/con-sot-anthropic-dinh-gia-cham-moc-nghin-ty-usd-tren-thi-truong-thu-cap-vuot-openai.htm" TargetMode="External"/><Relationship Id="rId191" Type="http://schemas.openxmlformats.org/officeDocument/2006/relationships/hyperlink" Target="https://genk.vn/anthropic-doi-cach-tinh-tien-ky-nguyen-nhan-vien-ai-khong-gioi-han-da-het-chi-phi-ai-cua-doanh-nghiep-co-the-tang-gap-3-165260415210538852.chn" TargetMode="External"/><Relationship Id="rId205" Type="http://schemas.openxmlformats.org/officeDocument/2006/relationships/hyperlink" Target="https://genk.vn/youtube-cho-phep-tat-hoan-toan-tinh-nang-shorts-165260417021616317.chn" TargetMode="External"/><Relationship Id="rId247" Type="http://schemas.openxmlformats.org/officeDocument/2006/relationships/hyperlink" Target="https://techcrunch.com/2026/04/20/google-photos-adds-new-touch-up-tools-for-quick-fixes/" TargetMode="External"/><Relationship Id="rId412" Type="http://schemas.openxmlformats.org/officeDocument/2006/relationships/hyperlink" Target="https://techcrunch.com/2026/04/30/x-announces-a-rebuilt-ad-platform-powered-by-ai/" TargetMode="External"/><Relationship Id="rId107" Type="http://schemas.openxmlformats.org/officeDocument/2006/relationships/hyperlink" Target="https://www.momo.vn/tin-tuc/khuyen-mai/uu-dai-hoi-nhat-thang-giam-den-45k-nap-game-leo-8556" TargetMode="External"/><Relationship Id="rId289" Type="http://schemas.openxmlformats.org/officeDocument/2006/relationships/hyperlink" Target="https://genk.vn/vietbank-digital-plus-tro-ly-tai-chinh-so-danh-cho-nguoi-dung-hien-dai-16526041318283304.chn" TargetMode="External"/><Relationship Id="rId454" Type="http://schemas.openxmlformats.org/officeDocument/2006/relationships/hyperlink" Target="https://baotintuc.vn/thi-truong-tien-te/giao-hang-nhanh-dinh-hinh-lai-cuoc-dua-thuong-mai-dien-tu-20260416172320540.htm" TargetMode="External"/><Relationship Id="rId11" Type="http://schemas.openxmlformats.org/officeDocument/2006/relationships/hyperlink" Target="https://luatvietnam.vn/chinh-sach-moi-hang-thang/chinh-sach-moi-co-hieu-luc-thang-4-2026-559-107852-article.html" TargetMode="External"/><Relationship Id="rId53" Type="http://schemas.openxmlformats.org/officeDocument/2006/relationships/hyperlink" Target="https://www.momo.vn/tin-tuc/khuyen-mai/lan-dau-co-tren-momo-giam-den-45k-khi-dang-ky-8557" TargetMode="External"/><Relationship Id="rId149" Type="http://schemas.openxmlformats.org/officeDocument/2006/relationships/hyperlink" Target="https://www.bloomberg.com/news/articles/2026-04-13/roblox-adds-youth-accounts-as-push-for-social-media-bans-grows?srnd=phx-technology-consumer-tech" TargetMode="External"/><Relationship Id="rId314" Type="http://schemas.openxmlformats.org/officeDocument/2006/relationships/hyperlink" Target="https://vnexpress.net/cach-cong-ty-cong-nghe-trung-quoc-chuyen-hoa-ai-thanh-loi-nhuan-5061856.html" TargetMode="External"/><Relationship Id="rId356" Type="http://schemas.openxmlformats.org/officeDocument/2006/relationships/hyperlink" Target="https://genk.vn/dao-tao-ai-trong-nganh-y-te-yeu-cau-cap-thiet-tu-thuc-tien-va-dinh-huong-xay-dung-khung-du-lieu-ai-y-te-quoc-gia-165260423161434087.chn" TargetMode="External"/><Relationship Id="rId398" Type="http://schemas.openxmlformats.org/officeDocument/2006/relationships/hyperlink" Target="https://vnexpress.net/chatgpt-cai-thien-tao-chu-viet-tieng-viet-trong-anh-5065463.html" TargetMode="External"/><Relationship Id="rId95" Type="http://schemas.openxmlformats.org/officeDocument/2006/relationships/hyperlink" Target="https://www.momo.vn/tin-tuc/khuyen-mai/mua-shopee-qua-tinh-nang-hoan-tien-mua-sam-hoan-8563" TargetMode="External"/><Relationship Id="rId160" Type="http://schemas.openxmlformats.org/officeDocument/2006/relationships/hyperlink" Target="https://techcrunch.com/2026/04/17/uber-will-now-pick-up-your-returns-from-your-doorstep/" TargetMode="External"/><Relationship Id="rId216" Type="http://schemas.openxmlformats.org/officeDocument/2006/relationships/hyperlink" Target="https://vneconomy.vn/techconnect/trung-quoc-siet-quan-ly-hoat-dong-livestream-ban-hang-online.htm" TargetMode="External"/><Relationship Id="rId423" Type="http://schemas.openxmlformats.org/officeDocument/2006/relationships/hyperlink" Target="https://techcrunch.com/2026/04/25/anthropic-created-a-test-marketplace-for-agent-on-agent-commerce/" TargetMode="External"/><Relationship Id="rId258" Type="http://schemas.openxmlformats.org/officeDocument/2006/relationships/hyperlink" Target="https://techcrunch.com/2026/04/14/youtube-livestreams-will-now-hold-back-ads-during-peak-engagement-to-protect-the-vibe/" TargetMode="External"/><Relationship Id="rId465" Type="http://schemas.openxmlformats.org/officeDocument/2006/relationships/hyperlink" Target="https://techcrunch.com/2026/04/21/bond-social-media-platform-ai-memories-kick-doomscrolling-habit/" TargetMode="External"/><Relationship Id="rId22" Type="http://schemas.openxmlformats.org/officeDocument/2006/relationships/hyperlink" Target="https://vnexpress.net/viet-nam-quan-ly-ai-the-nao-theo-luat-moi-5054752.html" TargetMode="External"/><Relationship Id="rId64" Type="http://schemas.openxmlformats.org/officeDocument/2006/relationships/hyperlink" Target="https://genk.vn/openai-dot-ngot-khai-tu-ung-dung-sora-sau-4-thang-disney-ngo-ngang-khi-thoa-thuan-1-ty-usd-bay-mau-165260325083415473.chn" TargetMode="External"/><Relationship Id="rId118" Type="http://schemas.openxmlformats.org/officeDocument/2006/relationships/hyperlink" Target="https://genk.vn/thuong-vu-975-trieu-usd-cua-vua-tiktok-co-bien-giac-mo-bac-ty-boc-hoi-vi-co-phieu-lao-doc-hon-90-165260411133402208.chn" TargetMode="External"/><Relationship Id="rId325" Type="http://schemas.openxmlformats.org/officeDocument/2006/relationships/hyperlink" Target="https://techcrunch.com/2026/04/30/stripe-link-digital-wallet-ai-agents-shopping/" TargetMode="External"/><Relationship Id="rId367" Type="http://schemas.openxmlformats.org/officeDocument/2006/relationships/hyperlink" Target="https://dantri.com.vn/cong-nghe/openai-dang-am-tham-phat-trien-dien-thoai-chatgpt-dung-ai-thay-ung-dung-20260428094518469.htm" TargetMode="External"/><Relationship Id="rId171" Type="http://schemas.openxmlformats.org/officeDocument/2006/relationships/hyperlink" Target="https://techcrunch.com/2026/04/13/microsoft-is-officially-killing-its-outlook-lite-app-next-month/" TargetMode="External"/><Relationship Id="rId227" Type="http://schemas.openxmlformats.org/officeDocument/2006/relationships/hyperlink" Target="https://dantri.com.vn/cong-nghe/gia-token-onus-giam-ve-0-20260412233000351.htm" TargetMode="External"/><Relationship Id="rId269" Type="http://schemas.openxmlformats.org/officeDocument/2006/relationships/hyperlink" Target="https://www.techinasia.com/news/amazon-launches-first-shenzhen-hub-chinese-sellers" TargetMode="External"/><Relationship Id="rId434" Type="http://schemas.openxmlformats.org/officeDocument/2006/relationships/hyperlink" Target="https://www.techinasia.com/news/goto-review-comply-prabowos-8-platform-fee-cap" TargetMode="External"/><Relationship Id="rId33" Type="http://schemas.openxmlformats.org/officeDocument/2006/relationships/hyperlink" Target="https://www.techinasia.com/news/meta-tests-ai-shopping-pop-up-on-facebook-instagram" TargetMode="External"/><Relationship Id="rId129" Type="http://schemas.openxmlformats.org/officeDocument/2006/relationships/hyperlink" Target="https://dantri.com.vn/cong-nghe/pho-cap-ten-mien-tieng-viet-de-thu-hep-khoang-cach-so-bao-ton-van-hoa-mang-20260417131118835.htm" TargetMode="External"/><Relationship Id="rId280" Type="http://schemas.openxmlformats.org/officeDocument/2006/relationships/hyperlink" Target="https://genk.vn/140-nghin-ty-ciyuan-trung-quoc-vuot-mat-my-ve-muc-do-ua-chuong-mo-hinh-ai-87-nguoi-dan-tin-vao-cong-nghe-moi-165260414053731394.chn" TargetMode="External"/><Relationship Id="rId336" Type="http://schemas.openxmlformats.org/officeDocument/2006/relationships/hyperlink" Target="https://techcrunch.com/2026/04/27/consumers-lost-2-1-billion-to-social-media-scams-in-2025-ftc-reports/" TargetMode="External"/><Relationship Id="rId75" Type="http://schemas.openxmlformats.org/officeDocument/2006/relationships/hyperlink" Target="https://vneconomy.vn/techconnect/con-sot-ai-agent-dang-thuc-day-cuoc-dua-ha-tang-tinh-toan-toan-cau.htm" TargetMode="External"/><Relationship Id="rId140" Type="http://schemas.openxmlformats.org/officeDocument/2006/relationships/hyperlink" Target="https://vnexpress.net/nguoi-dung-messenger-gap-kho-khi-dong-bo-lich-su-chat-5062953.html" TargetMode="External"/><Relationship Id="rId182" Type="http://schemas.openxmlformats.org/officeDocument/2006/relationships/hyperlink" Target="https://www.techinasia.com/news/xiaohongshu-to-launch-redshop-for-cross-border-sellers" TargetMode="External"/><Relationship Id="rId378" Type="http://schemas.openxmlformats.org/officeDocument/2006/relationships/hyperlink" Target="https://vnexpress.net/bidv-cung-cac-doi-tac-trien-khai-dich-vu-thanh-toan-qr-viet-han-5066506.html" TargetMode="External"/><Relationship Id="rId403" Type="http://schemas.openxmlformats.org/officeDocument/2006/relationships/hyperlink" Target="https://www.techinasia.com/news/ant-international-links-150-million-merchants-with-ai-payments" TargetMode="External"/><Relationship Id="rId6" Type="http://schemas.openxmlformats.org/officeDocument/2006/relationships/hyperlink" Target="https://genk.vn/con-ac-mong-cua-marketing-openclaw-co-the-lam-mat-dau-an-thuong-hieu-bien-app-thanh-vo-hinh-giao-dien-phan-mem-ui-ux-tro-nen-vo-dung-165260323082541686.chn" TargetMode="External"/><Relationship Id="rId238" Type="http://schemas.openxmlformats.org/officeDocument/2006/relationships/hyperlink" Target="https://www.bloomberg.com/news/articles/2026-04-15/google-debuts-standalone-gemini-app-for-apple-s-macos?srnd=phx-technology-consumer-tech" TargetMode="External"/><Relationship Id="rId445" Type="http://schemas.openxmlformats.org/officeDocument/2006/relationships/hyperlink" Target="https://genk.vn/nghien-cuu-tu-anthropic-ai-claude-co-mot-thu-cam-xuc-rieng-se-tong-tien-nguoi-dung-neu-bi-don-vao-duong-cung-165260419123025115.chn" TargetMode="External"/><Relationship Id="rId291" Type="http://schemas.openxmlformats.org/officeDocument/2006/relationships/hyperlink" Target="https://genk.vn/apple-chi-78-trieu-dong-moi-ngay-cho-tung-nhom-dung-claude-ai-noi-bo-165261404145726947.chn" TargetMode="External"/><Relationship Id="rId305" Type="http://schemas.openxmlformats.org/officeDocument/2006/relationships/hyperlink" Target="https://vneconomy.vn/techconnect/ai-va-drone-se-khong-the-thieu-trong-do-thi-thong-minh-cua-viet-nam.htm" TargetMode="External"/><Relationship Id="rId347" Type="http://schemas.openxmlformats.org/officeDocument/2006/relationships/hyperlink" Target="https://techcrunch.com/2026/04/21/bond-social-media-platform-ai-memories-kick-doomscrolling-habit/" TargetMode="External"/><Relationship Id="rId44" Type="http://schemas.openxmlformats.org/officeDocument/2006/relationships/hyperlink" Target="https://www.momo.vn/tin-tuc/thong-bao/di-lam-tien-loi-tiet-kiem-hon-quet-momo-di-metro-8578" TargetMode="External"/><Relationship Id="rId86" Type="http://schemas.openxmlformats.org/officeDocument/2006/relationships/hyperlink" Target="https://www.momo.vn/tin-tuc/khuyen-mai/tich-ngay-500-xu-khi-tai-ma-qr-nhan-tien-8582" TargetMode="External"/><Relationship Id="rId151" Type="http://schemas.openxmlformats.org/officeDocument/2006/relationships/hyperlink" Target="https://www.techinasia.com/news/tng-digital-kk-mart-roll-out-e-wallet-salary-for-migrants" TargetMode="External"/><Relationship Id="rId389" Type="http://schemas.openxmlformats.org/officeDocument/2006/relationships/hyperlink" Target="https://vneconomy.vn/techconnect/trung-quoc-ra-chinh-sach-bao-ve-tai-xe-cong-nghe-nhan-vien-giao-hang.htm" TargetMode="External"/><Relationship Id="rId193" Type="http://schemas.openxmlformats.org/officeDocument/2006/relationships/hyperlink" Target="https://genk.vn/apple-chan-ung-dung-lap-trinh-ai-startup-bi-xoa-khoi-app-store-den-hai-lan-165261604145737060.chn" TargetMode="External"/><Relationship Id="rId207" Type="http://schemas.openxmlformats.org/officeDocument/2006/relationships/hyperlink" Target="https://genk.vn/openai-ra-goi-100-usd-thang-nham-thang-vao-nguoi-dung-claude-165261004232626494.chn" TargetMode="External"/><Relationship Id="rId249" Type="http://schemas.openxmlformats.org/officeDocument/2006/relationships/hyperlink" Target="https://techcrunch.com/2026/04/18/the-app-store-is-booming-again-and-ai-may-be-why/" TargetMode="External"/><Relationship Id="rId414" Type="http://schemas.openxmlformats.org/officeDocument/2006/relationships/hyperlink" Target="https://techcrunch.com/2026/04/30/instagram-restricts-reach-of-content-aggregators-in-new-crackdown/" TargetMode="External"/><Relationship Id="rId456" Type="http://schemas.openxmlformats.org/officeDocument/2006/relationships/hyperlink" Target="https://genk.vn/bao-hiem-so-khoi-dau-ky-nguyen-vai-lan-cham-165260427214352192.chn" TargetMode="External"/><Relationship Id="rId13" Type="http://schemas.openxmlformats.org/officeDocument/2006/relationships/hyperlink" Target="https://luatvietnam.vn/tai-chinh/thong-tu-30-2025-tt-nhnn-sua-doi-thong-tu-15-2024-ve-dich-vu-thanh-toan-khong-dung-tien-mat-413828-d1.html" TargetMode="External"/><Relationship Id="rId109" Type="http://schemas.openxmlformats.org/officeDocument/2006/relationships/hyperlink" Target="https://dantri.com.vn/cong-nghe/doi-thiet-bi-khong-xac-thuc-lai-khuon-mat-se-bi-khoa-2-chieu-sau-30-ngay-20260403142249103.htm" TargetMode="External"/><Relationship Id="rId260" Type="http://schemas.openxmlformats.org/officeDocument/2006/relationships/hyperlink" Target="https://techcrunch.com/2026/04/14/google-brings-its-gemini-personal-intelligence-feature-to-india/" TargetMode="External"/><Relationship Id="rId316" Type="http://schemas.openxmlformats.org/officeDocument/2006/relationships/hyperlink" Target="https://www.bloomberg.com/news/articles/2026-04-29/uber-adds-hotel-bookings-to-its-app-through-new-expedia-partnership?srnd=phx-technology-consumer-tech" TargetMode="External"/><Relationship Id="rId55" Type="http://schemas.openxmlformats.org/officeDocument/2006/relationships/hyperlink" Target="https://www.momo.vn/tin-tuc/thong-bao/ban-tin-gop-y-va-tinh-nang-moi-thang-2-2026-8554" TargetMode="External"/><Relationship Id="rId97" Type="http://schemas.openxmlformats.org/officeDocument/2006/relationships/hyperlink" Target="https://www.momo.vn/tin-tuc/khuyen-mai/uu-dai-hoi-nhat-thang-giam-den-45k-mua-icloud-luu-8558" TargetMode="External"/><Relationship Id="rId120" Type="http://schemas.openxmlformats.org/officeDocument/2006/relationships/hyperlink" Target="https://vneconomy.vn/techconnect/nguoi-khuyet-tat-tiep-can-ai-nguy-co-hinh-thanh-khoang-cach-so-moi.htm" TargetMode="External"/><Relationship Id="rId358" Type="http://schemas.openxmlformats.org/officeDocument/2006/relationships/hyperlink" Target="https://genk.vn/ra-mat-gpt-55-mo-hinh-ai-thong-minh-nhat-cua-openai-canh-tranh-voi-opus-47-165260424104450811.chn" TargetMode="External"/><Relationship Id="rId162" Type="http://schemas.openxmlformats.org/officeDocument/2006/relationships/hyperlink" Target="https://techcrunch.com/2026/04/17/sayso-is-a-new-short-form-video-app-that-aims-to-restore-users-trust-in-news/" TargetMode="External"/><Relationship Id="rId218" Type="http://schemas.openxmlformats.org/officeDocument/2006/relationships/hyperlink" Target="https://vneconomy.vn/techconnect/van-hoa-du-lieu-nut-that-trong-bai-toan-tang-truong-cua-ngan-hang.htm" TargetMode="External"/><Relationship Id="rId425" Type="http://schemas.openxmlformats.org/officeDocument/2006/relationships/hyperlink" Target="https://techcrunch.com/2026/04/23/openai-chatgpt-gpt-5-5-ai-model-superapp/" TargetMode="External"/><Relationship Id="rId271" Type="http://schemas.openxmlformats.org/officeDocument/2006/relationships/hyperlink" Target="https://www.techinasia.com/news/shopee-lazada-lead-sea-ecommerce-growth" TargetMode="External"/><Relationship Id="rId24" Type="http://schemas.openxmlformats.org/officeDocument/2006/relationships/hyperlink" Target="https://www.bloomberg.com/news/articles/2026-03-23/samsung-phones-can-now-share-with-iphones-using-apple-s-airdrop-protocol?srnd=phx-technology-consumer-tech" TargetMode="External"/><Relationship Id="rId66" Type="http://schemas.openxmlformats.org/officeDocument/2006/relationships/hyperlink" Target="https://luatvietnam.vn/chinh-sach-moi-hang-thang/chinh-sach-moi-co-hieu-luc-thang-4-2026-559-107852-article.html" TargetMode="External"/><Relationship Id="rId131" Type="http://schemas.openxmlformats.org/officeDocument/2006/relationships/hyperlink" Target="https://dantri.com.vn/cong-nghe/apple-tung-am-tham-de-doa-grok-20260416123210939.htm" TargetMode="External"/><Relationship Id="rId327" Type="http://schemas.openxmlformats.org/officeDocument/2006/relationships/hyperlink" Target="https://techcrunch.com/2026/04/30/netflix-wants-you-to-watch-clips-its-tiktok-like-vertical-video-feed/" TargetMode="External"/><Relationship Id="rId369" Type="http://schemas.openxmlformats.org/officeDocument/2006/relationships/hyperlink" Target="https://vnexpress.net/vingroup-phat-trien-ngon-ngu-llm-trong-chien-luoc-ai-5067101.html" TargetMode="External"/><Relationship Id="rId173" Type="http://schemas.openxmlformats.org/officeDocument/2006/relationships/hyperlink" Target="https://www.techinasia.com/grabs-early-backer-sees-ai" TargetMode="External"/><Relationship Id="rId229" Type="http://schemas.openxmlformats.org/officeDocument/2006/relationships/hyperlink" Target="https://vnexpress.net/viet-nam-thu-nghiem-mang-internet-50-gbps-5063593.html" TargetMode="External"/><Relationship Id="rId380" Type="http://schemas.openxmlformats.org/officeDocument/2006/relationships/hyperlink" Target="https://vnexpress.net/nguong-doanh-thu-chiu-thue-voi-ho-kinh-doanh-duoc-de-xuat-len-1-ty-dong-5065883.html" TargetMode="External"/><Relationship Id="rId436" Type="http://schemas.openxmlformats.org/officeDocument/2006/relationships/hyperlink" Target="https://www.techinasia.com/news/indian-ecommerce-firms-build-agentic-ai-storefronts" TargetMode="External"/><Relationship Id="rId240" Type="http://schemas.openxmlformats.org/officeDocument/2006/relationships/hyperlink" Target="https://www.bloomberg.com/news/articles/2026-04-13/roblox-adds-youth-accounts-as-push-for-social-media-bans-grows?srnd=phx-technology-consumer-tech" TargetMode="External"/><Relationship Id="rId35" Type="http://schemas.openxmlformats.org/officeDocument/2006/relationships/hyperlink" Target="https://www.momo.vn/tin-tuc/khuyen-mai/sale-44-combo-ve-du-lich-giam-den-50-san-ve-choi-8590" TargetMode="External"/><Relationship Id="rId77" Type="http://schemas.openxmlformats.org/officeDocument/2006/relationships/hyperlink" Target="https://vnexpress.net/viet-nam-quan-ly-ai-the-nao-theo-luat-moi-5054752.html" TargetMode="External"/><Relationship Id="rId100" Type="http://schemas.openxmlformats.org/officeDocument/2006/relationships/hyperlink" Target="https://www.techinasia.com/news/fomo-pay-launches-ai-soundbox-for-unified-payments" TargetMode="External"/><Relationship Id="rId282" Type="http://schemas.openxmlformats.org/officeDocument/2006/relationships/hyperlink" Target="https://genk.vn/microsoft-dang-xay-dung-phien-ban-rieng-cua-openclaw-danh-cho-doanh-nghiep-165261404145418623.chn" TargetMode="External"/><Relationship Id="rId338" Type="http://schemas.openxmlformats.org/officeDocument/2006/relationships/hyperlink" Target="https://techcrunch.com/2026/04/23/instagram-tests-a-new-instants-app-for-sharing-disappearing-photos/" TargetMode="External"/><Relationship Id="rId8" Type="http://schemas.openxmlformats.org/officeDocument/2006/relationships/hyperlink" Target="https://genk.vn/mot-doanh-nghiep-cong-nghe-viet-lot-top-35-nha-cung-cap-dich-vu-phat-trien-ung-dung-ai-toan-cau-16526240315321592.chn" TargetMode="External"/><Relationship Id="rId142" Type="http://schemas.openxmlformats.org/officeDocument/2006/relationships/hyperlink" Target="https://vnexpress.net/nhung-hoat-dong-thuc-day-tri-tue-nhan-tao-tai-ai-day-2026-5062646.html" TargetMode="External"/><Relationship Id="rId184" Type="http://schemas.openxmlformats.org/officeDocument/2006/relationships/hyperlink" Target="https://www.scmp.com/tech/article/3350720/bytedance-profit-plunges-ai-push-tiktok-shop-powers-overseas-growth-reports?module=top_story&amp;pgtype=section" TargetMode="External"/><Relationship Id="rId391" Type="http://schemas.openxmlformats.org/officeDocument/2006/relationships/hyperlink" Target="https://vneconomy.vn/techconnect/ai-va-drone-se-khong-the-thieu-trong-do-thi-thong-minh-cua-viet-nam.htm" TargetMode="External"/><Relationship Id="rId405" Type="http://schemas.openxmlformats.org/officeDocument/2006/relationships/hyperlink" Target="https://www.techinasia.com/news/robinhood-wins-singapore-approval-brokerage" TargetMode="External"/><Relationship Id="rId447" Type="http://schemas.openxmlformats.org/officeDocument/2006/relationships/hyperlink" Target="https://genk.vn/openclaw-moi-phien-ban-cloud-an-toan-tien-dung-cho-nguoi-viet-165260421151000535.chn" TargetMode="External"/><Relationship Id="rId251" Type="http://schemas.openxmlformats.org/officeDocument/2006/relationships/hyperlink" Target="https://techcrunch.com/2026/04/17/uber-will-now-pick-up-your-returns-from-your-doorstep/" TargetMode="External"/><Relationship Id="rId46" Type="http://schemas.openxmlformats.org/officeDocument/2006/relationships/hyperlink" Target="https://www.momo.vn/tin-tuc/khuyen-mai/19-3-31-3-hoan-ngay-4k-khi-chuyen-2k-tu-ngan-hang-8572" TargetMode="External"/><Relationship Id="rId293" Type="http://schemas.openxmlformats.org/officeDocument/2006/relationships/hyperlink" Target="https://genk.vn/qualcomm-ai-co-the-tao-ra-co-hoi-moi-cho-viet-nam-huong-toi-2027-ra-mat-ai-phone-cung-viettel-va-he-sinh-thai-make-in-vietnam-165260417153123212.chn" TargetMode="External"/><Relationship Id="rId307" Type="http://schemas.openxmlformats.org/officeDocument/2006/relationships/hyperlink" Target="https://dantri.com.vn/cong-nghe/vi-sao-mo-hinh-ai-mythos-cua-anthropic-gay-lo-ngai-toan-cau-20260421001217046.htm" TargetMode="External"/><Relationship Id="rId349" Type="http://schemas.openxmlformats.org/officeDocument/2006/relationships/hyperlink" Target="https://www.techinasia.com/news/goto-review-comply-prabowos-8-platform-fee-cap" TargetMode="External"/><Relationship Id="rId88" Type="http://schemas.openxmlformats.org/officeDocument/2006/relationships/hyperlink" Target="https://www.momo.vn/tin-tuc/khuyen-mai/thong-bao-thay-doi-phi-thanh-toan-toi-thieu-va-8573" TargetMode="External"/><Relationship Id="rId111" Type="http://schemas.openxmlformats.org/officeDocument/2006/relationships/hyperlink" Target="https://dantri.com.vn/cong-nghe/instagram-thu-nghiem-goi-plus-thu-phi-nguoi-dung-20260331120043285.htm" TargetMode="External"/><Relationship Id="rId153" Type="http://schemas.openxmlformats.org/officeDocument/2006/relationships/hyperlink" Target="https://www.techinasia.com/news/indian-firms-step-up-cyber-checks-over-anthropic-ai" TargetMode="External"/><Relationship Id="rId195" Type="http://schemas.openxmlformats.org/officeDocument/2006/relationships/hyperlink" Target="https://genk.vn/google-them-skills-vao-chrome-luu-cau-lenh-gemini-nhan-mot-nut-dung-lai-165261604150311505.chn" TargetMode="External"/><Relationship Id="rId209" Type="http://schemas.openxmlformats.org/officeDocument/2006/relationships/hyperlink" Target="https://genk.vn/thuong-vu-975-trieu-usd-cua-vua-tiktok-co-bien-giac-mo-bac-ty-boc-hoi-vi-co-phieu-lao-doc-hon-90-165260411133402208.chn" TargetMode="External"/><Relationship Id="rId360" Type="http://schemas.openxmlformats.org/officeDocument/2006/relationships/hyperlink" Target="https://genk.vn/nghien-cuu-tu-anthropic-ai-claude-co-mot-thu-cam-xuc-rieng-se-tong-tien-nguoi-dung-neu-bi-don-vao-duong-cung-165260419123025115.chn" TargetMode="External"/><Relationship Id="rId416" Type="http://schemas.openxmlformats.org/officeDocument/2006/relationships/hyperlink" Target="https://techcrunch.com/2026/04/29/google-photos-uses-ai-to-make-the-iconic-closet-from-clueless-a-reality/" TargetMode="External"/><Relationship Id="rId220" Type="http://schemas.openxmlformats.org/officeDocument/2006/relationships/hyperlink" Target="https://dantri.com.vn/cong-nghe/pho-cap-ten-mien-tieng-viet-de-thu-hep-khoang-cach-so-bao-ton-van-hoa-mang-20260417131118835.htm" TargetMode="External"/><Relationship Id="rId458" Type="http://schemas.openxmlformats.org/officeDocument/2006/relationships/hyperlink" Target="https://vnexpress.net/tong-thong-indonesia-chiet-khau-cac-nen-tang-goi-xe-phai-duoi-10-5069151.html" TargetMode="External"/><Relationship Id="rId15" Type="http://schemas.openxmlformats.org/officeDocument/2006/relationships/hyperlink" Target="https://techcrunch.com/2026/03/25/apple-overhauls-its-app-developer-platform-with-100-new-metrics-more-tools/" TargetMode="External"/><Relationship Id="rId57" Type="http://schemas.openxmlformats.org/officeDocument/2006/relationships/hyperlink" Target="https://dantri.com.vn/cong-nghe/ios-27-se-giup-tro-ly-ao-siri-lot-xac-20260325124237776.htm" TargetMode="External"/><Relationship Id="rId262" Type="http://schemas.openxmlformats.org/officeDocument/2006/relationships/hyperlink" Target="https://techcrunch.com/2026/04/13/microsoft-is-officially-killing-its-outlook-lite-app-next-month/" TargetMode="External"/><Relationship Id="rId318" Type="http://schemas.openxmlformats.org/officeDocument/2006/relationships/hyperlink" Target="https://www.techinasia.com/news/wechat-pay-expands-qr-payments-5-asian-countries" TargetMode="External"/><Relationship Id="rId99" Type="http://schemas.openxmlformats.org/officeDocument/2006/relationships/hyperlink" Target="https://www.techinasia.com/solving-mid-market-finance-pain-with-ai-agents" TargetMode="External"/><Relationship Id="rId122" Type="http://schemas.openxmlformats.org/officeDocument/2006/relationships/hyperlink" Target="https://vneconomy.vn/techconnect/nut-that-nhan-luc-quan-tri-du-lieu-voi-cac-doanh-nghiep-viet.htm" TargetMode="External"/><Relationship Id="rId164" Type="http://schemas.openxmlformats.org/officeDocument/2006/relationships/hyperlink" Target="https://techcrunch.com/2026/04/16/google-adds-nano-banana-powered-image-generation-to-geminis-personal-intelligence/" TargetMode="External"/><Relationship Id="rId371" Type="http://schemas.openxmlformats.org/officeDocument/2006/relationships/hyperlink" Target="https://genk.vn/tat-ca-nguoi-dung-zalo-can-biet-neu-nhan-duoc-thong-bao-nay-trong-vong-7-ngay-de-khong-bi-mat-tai-khoan-165260427225612318.chn" TargetMode="External"/><Relationship Id="rId427" Type="http://schemas.openxmlformats.org/officeDocument/2006/relationships/hyperlink" Target="https://techcrunch.com/2026/04/23/x-is-shutting-down-communities-because-of-low-usage-and-lots-of-spam/" TargetMode="External"/><Relationship Id="rId26" Type="http://schemas.openxmlformats.org/officeDocument/2006/relationships/hyperlink" Target="https://www.techinasia.com/news/fomo-pay-launches-ai-soundbox-for-unified-payments" TargetMode="External"/><Relationship Id="rId231" Type="http://schemas.openxmlformats.org/officeDocument/2006/relationships/hyperlink" Target="https://vnexpress.net/nguoi-dung-messenger-gap-kho-khi-dong-bo-lich-su-chat-5062953.html" TargetMode="External"/><Relationship Id="rId273" Type="http://schemas.openxmlformats.org/officeDocument/2006/relationships/hyperlink" Target="https://vnba.org.vn/vi/viet-nam-australia-mo-rong-co-hoi-hop-tac-fintech-21513.htm" TargetMode="External"/><Relationship Id="rId329" Type="http://schemas.openxmlformats.org/officeDocument/2006/relationships/hyperlink" Target="https://techcrunch.com/2026/04/29/google-gains-25m-subscriptions-in-q1-driven-by-youtube-and-google-one/" TargetMode="External"/><Relationship Id="rId68" Type="http://schemas.openxmlformats.org/officeDocument/2006/relationships/hyperlink" Target="https://luatvietnam.vn/tai-chinh/thong-tu-30-2025-tt-nhnn-sua-doi-thong-tu-15-2024-ve-dich-vu-thanh-toan-khong-dung-tien-mat-413828-d1.html" TargetMode="External"/><Relationship Id="rId133" Type="http://schemas.openxmlformats.org/officeDocument/2006/relationships/hyperlink" Target="https://dantri.com.vn/cong-nghe/nhung-chu-de-nhieu-nguoi-viet-quan-tam-tren-internet-trong-quy-i2026-20260415160713524.htm" TargetMode="External"/><Relationship Id="rId175" Type="http://schemas.openxmlformats.org/officeDocument/2006/relationships/hyperlink" Target="https://www.techinasia.com/visual-story/mapping-chinas-ecommerce-standouts" TargetMode="External"/><Relationship Id="rId340" Type="http://schemas.openxmlformats.org/officeDocument/2006/relationships/hyperlink" Target="https://techcrunch.com/2026/04/23/meta-is-revamping-its-cross-app-management-system/" TargetMode="External"/><Relationship Id="rId200" Type="http://schemas.openxmlformats.org/officeDocument/2006/relationships/hyperlink" Target="https://genk.vn/schneider-electric-ra-mat-phan-mem-quan-ly-toa-nha-thong-minh-the-he-7-trien-khai-nhanh-hon-20-tiet-kiem-hang-gio-cai-dat-165260415110430666.chn" TargetMode="External"/><Relationship Id="rId382" Type="http://schemas.openxmlformats.org/officeDocument/2006/relationships/hyperlink" Target="https://genk.vn/openai-hoc-tap-claude-cho-phep-chay-ai-agent-trong-moi-truong-doc-lap-165261604125857105.chn" TargetMode="External"/><Relationship Id="rId438" Type="http://schemas.openxmlformats.org/officeDocument/2006/relationships/hyperlink" Target="https://miniapp.zaloplatforms.com/blog/zalo-mini-shop-cap-nhat-thay-doi-va-chinh-sach-nam-2026" TargetMode="External"/><Relationship Id="rId242" Type="http://schemas.openxmlformats.org/officeDocument/2006/relationships/hyperlink" Target="https://www.techinasia.com/news/tng-digital-kk-mart-roll-out-e-wallet-salary-for-migrants" TargetMode="External"/><Relationship Id="rId284" Type="http://schemas.openxmlformats.org/officeDocument/2006/relationships/hyperlink" Target="https://genk.vn/cu-moi-lan-anthropic-ra-mat-san-pham-mot-nganh-phan-mem-sup-do-lan-nay-den-luot-cua-figma-va-adobe-165260417141735948.chn" TargetMode="External"/><Relationship Id="rId37" Type="http://schemas.openxmlformats.org/officeDocument/2006/relationships/hyperlink" Target="https://www.momo.vn/tin-tuc/khuyen-mai/don-hoa-no-san-deal-xin-giam-den-500000d-tren-8588" TargetMode="External"/><Relationship Id="rId79" Type="http://schemas.openxmlformats.org/officeDocument/2006/relationships/hyperlink" Target="https://www.bloomberg.com/news/articles/2026-03-23/samsung-phones-can-now-share-with-iphones-using-apple-s-airdrop-protocol?srnd=phx-technology-consumer-tech" TargetMode="External"/><Relationship Id="rId102" Type="http://schemas.openxmlformats.org/officeDocument/2006/relationships/hyperlink" Target="https://www.techinasia.com/news/indonesia-enables-qr-code-payments-for-japanese-tourists" TargetMode="External"/><Relationship Id="rId144" Type="http://schemas.openxmlformats.org/officeDocument/2006/relationships/hyperlink" Target="https://vnexpress.net/ai-la-co-hoi-vang-de-cntt-viet-nam-ru-bo-chiec-ao-thau-phu-5060849.html" TargetMode="External"/><Relationship Id="rId90" Type="http://schemas.openxmlformats.org/officeDocument/2006/relationships/hyperlink" Target="https://www.momo.vn/tin-tuc/khuyen-mai/sale-cuoi-thang-duy-nhat-253-combo-du-lich-le-8577" TargetMode="External"/><Relationship Id="rId186" Type="http://schemas.openxmlformats.org/officeDocument/2006/relationships/hyperlink" Target="https://genk.vn/phan-tich-6852-phien-lam-viec-giam-doc-ai-cua-amd-canh-bao-claude-code-ngoc-hon-va-luoi-bieng-hon-khong-con-dang-tin-cho-cac-tac-vu-phuc-tap-165260413205627494.chn" TargetMode="External"/><Relationship Id="rId351" Type="http://schemas.openxmlformats.org/officeDocument/2006/relationships/hyperlink" Target="https://www.techinasia.com/news/indian-ecommerce-firms-build-agentic-ai-storefronts" TargetMode="External"/><Relationship Id="rId393" Type="http://schemas.openxmlformats.org/officeDocument/2006/relationships/hyperlink" Target="https://dantri.com.vn/cong-nghe/vi-sao-mo-hinh-ai-mythos-cua-anthropic-gay-lo-ngai-toan-cau-20260421001217046.htm" TargetMode="External"/><Relationship Id="rId407" Type="http://schemas.openxmlformats.org/officeDocument/2006/relationships/hyperlink" Target="https://www.techinasia.com/airwallex-launch-indonesia-vietnam-southeast-asia-push" TargetMode="External"/><Relationship Id="rId449" Type="http://schemas.openxmlformats.org/officeDocument/2006/relationships/hyperlink" Target="https://genk.vn/cong-an-cong-bo-tin-nhan-phai-xoa-ngay-neu-khong-muon-mat-tien-trong-tai-khoan-165260425191304771.chn" TargetMode="External"/><Relationship Id="rId211" Type="http://schemas.openxmlformats.org/officeDocument/2006/relationships/hyperlink" Target="https://vneconomy.vn/techconnect/nguoi-khuyet-tat-tiep-can-ai-nguy-co-hinh-thanh-khoang-cach-so-moi.htm" TargetMode="External"/><Relationship Id="rId253" Type="http://schemas.openxmlformats.org/officeDocument/2006/relationships/hyperlink" Target="https://techcrunch.com/2026/04/17/sayso-is-a-new-short-form-video-app-that-aims-to-restore-users-trust-in-news/" TargetMode="External"/><Relationship Id="rId295" Type="http://schemas.openxmlformats.org/officeDocument/2006/relationships/hyperlink" Target="https://genk.vn/youtube-cho-phep-tat-hoan-toan-tinh-nang-shorts-165260417021616317.chn" TargetMode="External"/><Relationship Id="rId309" Type="http://schemas.openxmlformats.org/officeDocument/2006/relationships/hyperlink" Target="https://vnexpress.net/deepseek-ra-mo-hinh-v4-5066619.html" TargetMode="External"/><Relationship Id="rId460" Type="http://schemas.openxmlformats.org/officeDocument/2006/relationships/hyperlink" Target="https://vnexpress.net/uu-dai-toi-1-trieu-dong-khi-dat-ve-may-bay-dip-le-5067015.html" TargetMode="External"/><Relationship Id="rId48" Type="http://schemas.openxmlformats.org/officeDocument/2006/relationships/hyperlink" Target="https://www.momo.vn/tin-tuc/khuyen-mai/rut-thong-diep-mo-yeu-thuong-khui-kho-qua-500-8570" TargetMode="External"/><Relationship Id="rId113" Type="http://schemas.openxmlformats.org/officeDocument/2006/relationships/hyperlink" Target="https://dantri.com.vn/cong-nghe/cong-ty-lam-lo-tai-lieu-noi-bo-he-mo-mo-hinh-ai-co-the-tan-cong-mang-20260328090451830.htm" TargetMode="External"/><Relationship Id="rId320" Type="http://schemas.openxmlformats.org/officeDocument/2006/relationships/hyperlink" Target="https://www.techinasia.com/news/malaysian-fintech-ryt-bank-adds-pay-later-to-card-payments" TargetMode="External"/><Relationship Id="rId155" Type="http://schemas.openxmlformats.org/officeDocument/2006/relationships/hyperlink" Target="https://techcrunch.com/2026/04/20/whatsapp-is-testing-a-premium-subscription-put-it-is-mainly-cosmetic/" TargetMode="External"/><Relationship Id="rId197" Type="http://schemas.openxmlformats.org/officeDocument/2006/relationships/hyperlink" Target="https://genk.vn/nha-dau-tu-nghi-ngo-dinh-gia-openai-anthropic-tang-truong-doanh-thu-nho-cong-cu-lap-trinh-165261604145429781.chn" TargetMode="External"/><Relationship Id="rId362" Type="http://schemas.openxmlformats.org/officeDocument/2006/relationships/hyperlink" Target="https://genk.vn/ket-thuc-mot-thoi-dai-ong-tim-cook-tu-chuc-ceo-apple-sau-15-nam-nguoi-ke-nhiem-la-ong-john-ternus-165260421064443106.chn" TargetMode="External"/><Relationship Id="rId418" Type="http://schemas.openxmlformats.org/officeDocument/2006/relationships/hyperlink" Target="https://techcrunch.com/2026/04/28/amazon-launches-an-ai-powered-audio-qa-experience-on-product-pages/" TargetMode="External"/><Relationship Id="rId222" Type="http://schemas.openxmlformats.org/officeDocument/2006/relationships/hyperlink" Target="https://dantri.com.vn/cong-nghe/apple-tung-am-tham-de-doa-grok-20260416123210939.htm" TargetMode="External"/><Relationship Id="rId264" Type="http://schemas.openxmlformats.org/officeDocument/2006/relationships/hyperlink" Target="https://www.techinasia.com/news/anthropic-suspends-openclaw-creator-claude-access" TargetMode="External"/><Relationship Id="rId17" Type="http://schemas.openxmlformats.org/officeDocument/2006/relationships/hyperlink" Target="https://techcrunch.com/2026/03/24/apple-music-partners-with-ticketmaster-to-power-its-concert-discovery-feature/" TargetMode="External"/><Relationship Id="rId59" Type="http://schemas.openxmlformats.org/officeDocument/2006/relationships/hyperlink" Target="https://genk.vn/chatgpt-sap-cho-phep-noi-dung-nhay-cam-day-lo-ngai-lo-du-lieu-ca-nhan-165260322073640315.chn" TargetMode="External"/><Relationship Id="rId124" Type="http://schemas.openxmlformats.org/officeDocument/2006/relationships/hyperlink" Target="https://vneconomy.vn/techconnect/ai-va-esg-dang-dinh-hinh-lai-suc-khoe-thuong-hieu-cua-cac-ngan-hang-viet.htm" TargetMode="External"/><Relationship Id="rId70" Type="http://schemas.openxmlformats.org/officeDocument/2006/relationships/hyperlink" Target="https://techcrunch.com/2026/03/25/apple-overhauls-its-app-developer-platform-with-100-new-metrics-more-tools/" TargetMode="External"/><Relationship Id="rId166" Type="http://schemas.openxmlformats.org/officeDocument/2006/relationships/hyperlink" Target="https://techcrunch.com/2026/04/15/fathom-adds-a-bot-less-meeting-mode-in-a-bid-to-take-on-granola/" TargetMode="External"/><Relationship Id="rId331" Type="http://schemas.openxmlformats.org/officeDocument/2006/relationships/hyperlink" Target="https://techcrunch.com/2026/04/29/meet-shapes-the-app-bringing-humans-and-ai-into-the-same-group-chats/" TargetMode="External"/><Relationship Id="rId373" Type="http://schemas.openxmlformats.org/officeDocument/2006/relationships/hyperlink" Target="https://genk.vn/nguoi-viet-mua-gi-ma-moi-ngay-chot-toi-126-trieu-san-pham-tren-san-tmdt-165260429075817689.chn" TargetMode="External"/><Relationship Id="rId429" Type="http://schemas.openxmlformats.org/officeDocument/2006/relationships/hyperlink" Target="https://techcrunch.com/2026/04/23/meta-will-now-allow-parents-to-see-the-topics-their-child-discussed-with-meta-ai/" TargetMode="External"/><Relationship Id="rId1" Type="http://schemas.openxmlformats.org/officeDocument/2006/relationships/hyperlink" Target="https://dantri.com.vn/cong-nghe/meta-va-google-bi-phat-vi-nen-tang-mang-xa-hoi-gay-nghien-cho-nguoi-dung-20260326092131367.htm" TargetMode="External"/><Relationship Id="rId233" Type="http://schemas.openxmlformats.org/officeDocument/2006/relationships/hyperlink" Target="https://vnexpress.net/nhung-hoat-dong-thuc-day-tri-tue-nhan-tao-tai-ai-day-2026-5062646.html" TargetMode="External"/><Relationship Id="rId440" Type="http://schemas.openxmlformats.org/officeDocument/2006/relationships/hyperlink" Target="https://genk.vn/startup-pha-san-ban-tin-nhan-slack-va-noi-dung-email-de-huan-luyen-ai-165260423161623665.chn" TargetMode="External"/><Relationship Id="rId28" Type="http://schemas.openxmlformats.org/officeDocument/2006/relationships/hyperlink" Target="https://www.techinasia.com/news/indonesia-enables-qr-code-payments-for-japanese-tourists" TargetMode="External"/><Relationship Id="rId275" Type="http://schemas.openxmlformats.org/officeDocument/2006/relationships/hyperlink" Target="https://genk.vn/hai-ra-tien-tu-quang-cao-chatgpt-openai-bo-tui-100-trieu-usd-sau-2-thang-nuoi-tham-vong-de-che-100-ty-usd-165260412010625971.chn" TargetMode="External"/><Relationship Id="rId300" Type="http://schemas.openxmlformats.org/officeDocument/2006/relationships/hyperlink" Target="https://vneconomy.vn/techconnect/atlassian-ra-mat-service-collection-tai-viet-nam-giai-phap-agentic-ai-hang-dau-ve-quan-ly-dich-vu.htm" TargetMode="External"/><Relationship Id="rId81" Type="http://schemas.openxmlformats.org/officeDocument/2006/relationships/hyperlink" Target="https://www.momo.vn/tin-tuc/khuyen-mai/ban-moi-nhap-ma-chonmomo-co-qua-500000d-giam-8225" TargetMode="External"/><Relationship Id="rId135" Type="http://schemas.openxmlformats.org/officeDocument/2006/relationships/hyperlink" Target="https://dantri.com.vn/cong-nghe/meta-phat-trien-ban-sao-ai-cua-mark-zuckerberg-20260414104541384.htm" TargetMode="External"/><Relationship Id="rId177" Type="http://schemas.openxmlformats.org/officeDocument/2006/relationships/hyperlink" Target="https://www.techinasia.com/news/china-fines-ecommerce-giants-527m-over-food-delivery-lapses" TargetMode="External"/><Relationship Id="rId342" Type="http://schemas.openxmlformats.org/officeDocument/2006/relationships/hyperlink" Target="https://techcrunch.com/2026/04/23/whatsapp-adds-prepaid-phone-recharges-in-india-as-its-payments-usage-still-lags/" TargetMode="External"/><Relationship Id="rId384" Type="http://schemas.openxmlformats.org/officeDocument/2006/relationships/hyperlink" Target="https://genk.vn/ha-noi-ra-mat-cong-thong-tin-an-toan-thuc-pham-kenh-tra-cuu-phan-anh-va-ket-noi-minh-bach-cho-nguoi-dan-165260418121253119.chn" TargetMode="External"/><Relationship Id="rId202" Type="http://schemas.openxmlformats.org/officeDocument/2006/relationships/hyperlink" Target="https://genk.vn/coi-ai-nhu-con-nguoi-microsoft-de-xuat-ai-agent-dung-phan-mem-cung-phai-tra-tien-16526041616370402.chn" TargetMode="External"/><Relationship Id="rId244" Type="http://schemas.openxmlformats.org/officeDocument/2006/relationships/hyperlink" Target="https://www.techinasia.com/news/indian-firms-step-up-cyber-checks-over-anthropic-ai" TargetMode="External"/><Relationship Id="rId39" Type="http://schemas.openxmlformats.org/officeDocument/2006/relationships/hyperlink" Target="https://www.momo.vn/tin-tuc/khuyen-mai/gio-nghi-trai-nghiem-coca-cola-mien-phi-tai-cvs-8585" TargetMode="External"/><Relationship Id="rId286" Type="http://schemas.openxmlformats.org/officeDocument/2006/relationships/hyperlink" Target="https://genk.vn/claude-opus-47-ra-mat-thi-giac-tang-gap-3-tu-kiem-tra-code-truoc-khi-bao-cao-nhung-canh-bao-danh-cho-lap-trinh-vien-dung-46-165260417071515907.chn" TargetMode="External"/><Relationship Id="rId451" Type="http://schemas.openxmlformats.org/officeDocument/2006/relationships/hyperlink" Target="https://dantri.com.vn/cong-nghe/openai-dang-am-tham-phat-trien-dien-thoai-chatgpt-dung-ai-thay-ung-dung-20260428094518469.htm" TargetMode="External"/><Relationship Id="rId50" Type="http://schemas.openxmlformats.org/officeDocument/2006/relationships/hyperlink" Target="https://www.momo.vn/tin-tuc/khuyen-mai/mua-shopee-qua-tinh-nang-hoan-tien-mua-sam-hoan-8563" TargetMode="External"/><Relationship Id="rId104" Type="http://schemas.openxmlformats.org/officeDocument/2006/relationships/hyperlink" Target="https://www.techinasia.com/news/alibaba-tencent-lose-66b-ai-bets-lack-clear-payoff" TargetMode="External"/><Relationship Id="rId146" Type="http://schemas.openxmlformats.org/officeDocument/2006/relationships/hyperlink" Target="https://www.bloomberg.com/news/articles/2026-04-16/roku-s-platform-crosses-100-million-users-fueling-ad-business?srnd=phx-technology-consumer-tech" TargetMode="External"/><Relationship Id="rId188" Type="http://schemas.openxmlformats.org/officeDocument/2006/relationships/hyperlink" Target="https://genk.vn/co-gi-o-mo-hinh-ai-dau-tien-do-biet-doi-sieu-tri-tue-cua-meta-phat-trien-165260414161711289.chn" TargetMode="External"/><Relationship Id="rId311" Type="http://schemas.openxmlformats.org/officeDocument/2006/relationships/hyperlink" Target="https://vnexpress.net/apple-ra-ban-cap-nhat-iphone-chan-fbi-trich-xuat-du-lieu-5066043.html" TargetMode="External"/><Relationship Id="rId353" Type="http://schemas.openxmlformats.org/officeDocument/2006/relationships/hyperlink" Target="https://miniapp.zaloplatforms.com/blog/zalo-mini-shop-cap-nhat-thay-doi-va-chinh-sach-nam-2026" TargetMode="External"/><Relationship Id="rId395" Type="http://schemas.openxmlformats.org/officeDocument/2006/relationships/hyperlink" Target="https://vnexpress.net/deepseek-ra-mo-hinh-v4-5066619.html" TargetMode="External"/><Relationship Id="rId409" Type="http://schemas.openxmlformats.org/officeDocument/2006/relationships/hyperlink" Target="https://techcrunch.com/2026/04/30/googles-gemini-ai-assistant-is-hitting-the-road-in-millions-of-vehicles/" TargetMode="External"/><Relationship Id="rId92" Type="http://schemas.openxmlformats.org/officeDocument/2006/relationships/hyperlink" Target="https://www.momo.vn/tin-tuc/thong-bao/momo-ra-mat-tinh-nang-cap-nhat-so-dien-thoai-8571" TargetMode="External"/><Relationship Id="rId213" Type="http://schemas.openxmlformats.org/officeDocument/2006/relationships/hyperlink" Target="https://vneconomy.vn/techconnect/nut-that-nhan-luc-quan-tri-du-lieu-voi-cac-doanh-nghiep-viet.htm" TargetMode="External"/><Relationship Id="rId420" Type="http://schemas.openxmlformats.org/officeDocument/2006/relationships/hyperlink" Target="https://techcrunch.com/2026/04/28/snapchat-brings-ai-powered-conversational-advertising-to-its-app/" TargetMode="External"/><Relationship Id="rId255" Type="http://schemas.openxmlformats.org/officeDocument/2006/relationships/hyperlink" Target="https://techcrunch.com/2026/04/16/google-adds-nano-banana-powered-image-generation-to-geminis-personal-intelligence/" TargetMode="External"/><Relationship Id="rId297" Type="http://schemas.openxmlformats.org/officeDocument/2006/relationships/hyperlink" Target="https://genk.vn/co-no-luc-nhung-khong-dang-ke-ai-tu-giac-lam-nhieu-hon-nhung-gi-duoc-yeu-cau-thang-tay-xoa-sach-du-lieu-va-bia-dat-thong-tin-nguoi-dung-16526041805565031.chn" TargetMode="External"/><Relationship Id="rId462" Type="http://schemas.openxmlformats.org/officeDocument/2006/relationships/hyperlink" Target="https://vnexpress.net/vcci-chua-den-2-ho-kinh-doanh-muon-mo-rong-hoat-dong-5066152.html" TargetMode="External"/><Relationship Id="rId115" Type="http://schemas.openxmlformats.org/officeDocument/2006/relationships/hyperlink" Target="https://genk.vn/quai-vat-ai-qua-nguy-hiem-nen-anthropic-khong-dam-cong-khai-chuyen-gia-bao-mat-vao-cuoc-va-tuyen-bo-chi-la-chieu-tro-marketing-165260411164541876.chn" TargetMode="External"/><Relationship Id="rId157" Type="http://schemas.openxmlformats.org/officeDocument/2006/relationships/hyperlink" Target="https://techcrunch.com/2026/04/17/zoom-teams-up-with-world-to-verify-humans-in-meeting/" TargetMode="External"/><Relationship Id="rId322" Type="http://schemas.openxmlformats.org/officeDocument/2006/relationships/hyperlink" Target="https://www.techinasia.com/news/ant-international-upgrades-alipay-with-privacy-tech" TargetMode="External"/><Relationship Id="rId364" Type="http://schemas.openxmlformats.org/officeDocument/2006/relationships/hyperlink" Target="https://genk.vn/xiaomi-co-ai-giong-noi-cuc-xin-clone-lai-giong-nguoi-chi-bang-vai-clip-165262404173908510.chn" TargetMode="External"/></Relationships>
</file>

<file path=xl/worksheets/_rels/sheet17.xml.rels><?xml version="1.0" encoding="UTF-8" standalone="yes"?>
<Relationships xmlns="http://schemas.openxmlformats.org/package/2006/relationships"><Relationship Id="rId13" Type="http://schemas.openxmlformats.org/officeDocument/2006/relationships/hyperlink" Target="https://vnexpress.net/viet-nam-quan-ly-ai-the-nao-theo-luat-moi-5054752.html" TargetMode="External"/><Relationship Id="rId18" Type="http://schemas.openxmlformats.org/officeDocument/2006/relationships/hyperlink" Target="https://techcrunch.com/2026/03/24/apple-music-partners-with-ticketmaster-to-power-its-concert-discovery-feature/" TargetMode="External"/><Relationship Id="rId26" Type="http://schemas.openxmlformats.org/officeDocument/2006/relationships/hyperlink" Target="https://genk.vn/openai-dot-ngot-khai-tu-ung-dung-sora-sau-4-thang-disney-ngo-ngang-khi-thoa-thuan-1-ty-usd-bay-mau-165260325083415473.chn" TargetMode="External"/><Relationship Id="rId39" Type="http://schemas.openxmlformats.org/officeDocument/2006/relationships/hyperlink" Target="https://www.momo.vn/tin-tuc/khuyen-mai/nhan-canh-bao-phat-hien-nguy-co-lua-dao-khi-8568" TargetMode="External"/><Relationship Id="rId21" Type="http://schemas.openxmlformats.org/officeDocument/2006/relationships/hyperlink" Target="https://techcrunch.com/2026/03/26/whatsapp-can-now-draft-ai-generated-responses-based-on-your-conversations/" TargetMode="External"/><Relationship Id="rId34" Type="http://schemas.openxmlformats.org/officeDocument/2006/relationships/hyperlink" Target="https://dantri.com.vn/cong-nghe/meta-va-google-bi-phat-vi-nen-tang-mang-xa-hoi-gay-nghien-cho-nguoi-dung-20260326092131367.htm" TargetMode="External"/><Relationship Id="rId42" Type="http://schemas.openxmlformats.org/officeDocument/2006/relationships/hyperlink" Target="https://www.momo.vn/tin-tuc/khuyen-mai/19-3-31-3-hoan-ngay-4k-khi-chuyen-2k-tu-ngan-hang-8572" TargetMode="External"/><Relationship Id="rId47" Type="http://schemas.openxmlformats.org/officeDocument/2006/relationships/hyperlink" Target="https://www.momo.vn/tin-tuc/khuyen-mai/tich-ngay-500-xu-khi-tai-ma-qr-nhan-tien-8582" TargetMode="External"/><Relationship Id="rId50" Type="http://schemas.openxmlformats.org/officeDocument/2006/relationships/hyperlink" Target="https://www.momo.vn/tin-tuc/khuyen-mai/tu-dong-canh-bao-phat-nguoi-khi-he-thong-phat-8586" TargetMode="External"/><Relationship Id="rId55" Type="http://schemas.openxmlformats.org/officeDocument/2006/relationships/hyperlink" Target="https://dantri.com.vn/cong-nghe/con-ga-de-trung-vang-cua-anthropic-bi-lo-ma-nguon-20260401091143923.htm" TargetMode="External"/><Relationship Id="rId7" Type="http://schemas.openxmlformats.org/officeDocument/2006/relationships/hyperlink" Target="https://www.techinasia.com/news/indonesia-enables-qr-code-payments-for-japanese-tourists" TargetMode="External"/><Relationship Id="rId2" Type="http://schemas.openxmlformats.org/officeDocument/2006/relationships/hyperlink" Target="https://www.momo.vn/tin-tuc/thong-bao/ban-tin-gop-y-va-tinh-nang-moi-thang-2-2026-8554" TargetMode="External"/><Relationship Id="rId16" Type="http://schemas.openxmlformats.org/officeDocument/2006/relationships/hyperlink" Target="https://vneconomy.vn/techconnect/esports-nations-cup-2026-cong-bo-viresa-la-doi-tac-quoc-gia-tai-viet-nam.htm" TargetMode="External"/><Relationship Id="rId29" Type="http://schemas.openxmlformats.org/officeDocument/2006/relationships/hyperlink" Target="https://genk.vn/con-ac-mong-cua-marketing-openclaw-co-the-lam-mat-dau-an-thuong-hieu-bien-app-thanh-vo-hinh-giao-dien-phan-mem-ui-ux-tro-nen-vo-dung-165260323082541686.chn" TargetMode="External"/><Relationship Id="rId11" Type="http://schemas.openxmlformats.org/officeDocument/2006/relationships/hyperlink" Target="https://www.bloomberg.com/news/articles/2026-03-23/samsung-phones-can-now-share-with-iphones-using-apple-s-airdrop-protocol?srnd=phx-technology-consumer-tech" TargetMode="External"/><Relationship Id="rId24" Type="http://schemas.openxmlformats.org/officeDocument/2006/relationships/hyperlink" Target="https://luatvietnam.vn/chinh-sach-moi-hang-thang/chinh-sach-moi-co-hieu-luc-thang-4-2026-559-107852-article.html" TargetMode="External"/><Relationship Id="rId32" Type="http://schemas.openxmlformats.org/officeDocument/2006/relationships/hyperlink" Target="https://dantri.com.vn/cong-nghe/tai-dien-chieu-tro-lua-dao-chiem-doat-tai-khoan-telegram-tai-viet-nam-20260324155052293.htm" TargetMode="External"/><Relationship Id="rId37" Type="http://schemas.openxmlformats.org/officeDocument/2006/relationships/hyperlink" Target="https://www.momo.vn/tin-tuc/khuyen-mai/mien-phi-ngay-1-lit-xang-khi-nhan-thich-muc-tra-8561" TargetMode="External"/><Relationship Id="rId40" Type="http://schemas.openxmlformats.org/officeDocument/2006/relationships/hyperlink" Target="https://www.momo.vn/tin-tuc/khuyen-mai/rut-thong-diep-mo-yeu-thuong-khui-kho-qua-500-8570" TargetMode="External"/><Relationship Id="rId45" Type="http://schemas.openxmlformats.org/officeDocument/2006/relationships/hyperlink" Target="https://www.momo.vn/tin-tuc/khuyen-mai/thong-bao-thay-doi-phi-thanh-toan-toi-thieu-va-8573" TargetMode="External"/><Relationship Id="rId53" Type="http://schemas.openxmlformats.org/officeDocument/2006/relationships/hyperlink" Target="https://www.momo.vn/tin-tuc/khuyen-mai/sale-44-combo-ve-du-lich-giam-den-50-san-ve-choi-8590" TargetMode="External"/><Relationship Id="rId58" Type="http://schemas.openxmlformats.org/officeDocument/2006/relationships/hyperlink" Target="https://dantri.com.vn/cong-nghe/cong-ty-lam-lo-tai-lieu-noi-bo-he-mo-mo-hinh-ai-co-the-tan-cong-mang-20260328090451830.htm" TargetMode="External"/><Relationship Id="rId5" Type="http://schemas.openxmlformats.org/officeDocument/2006/relationships/hyperlink" Target="https://www.techinasia.com/news/alibaba-tencent-lose-66b-ai-bets-lack-clear-payoff" TargetMode="External"/><Relationship Id="rId19" Type="http://schemas.openxmlformats.org/officeDocument/2006/relationships/hyperlink" Target="https://techcrunch.com/2026/03/25/meta-turns-to-ai-to-make-shopping-easier-on-instagram-and-facebook/" TargetMode="External"/><Relationship Id="rId4" Type="http://schemas.openxmlformats.org/officeDocument/2006/relationships/hyperlink" Target="https://www.techinasia.com/news/alibaba-net-income-drops-66-quick-commerce-investment-rises" TargetMode="External"/><Relationship Id="rId9" Type="http://schemas.openxmlformats.org/officeDocument/2006/relationships/hyperlink" Target="https://www.techinasia.com/news/fomo-pay-launches-ai-soundbox-for-unified-payments" TargetMode="External"/><Relationship Id="rId14" Type="http://schemas.openxmlformats.org/officeDocument/2006/relationships/hyperlink" Target="https://vnexpress.net/sap-ap-dung-quy-chuan-an-toan-cho-smartphone-tai-viet-nam-5054879.html" TargetMode="External"/><Relationship Id="rId22" Type="http://schemas.openxmlformats.org/officeDocument/2006/relationships/hyperlink" Target="https://luatvietnam.vn/tai-chinh/thong-tu-30-2025-tt-nhnn-sua-doi-thong-tu-15-2024-ve-dich-vu-thanh-toan-khong-dung-tien-mat-413828-d1.html" TargetMode="External"/><Relationship Id="rId27" Type="http://schemas.openxmlformats.org/officeDocument/2006/relationships/hyperlink" Target="https://genk.vn/mot-doanh-nghiep-cong-nghe-viet-lot-top-35-nha-cung-cap-dich-vu-phat-trien-ung-dung-ai-toan-cau-16526240315321592.chn" TargetMode="External"/><Relationship Id="rId30" Type="http://schemas.openxmlformats.org/officeDocument/2006/relationships/hyperlink" Target="https://genk.vn/openai-len-ke-hoach-ra-mat-sieu-ung-dung-tren-may-tinh-165260322073417885.chn" TargetMode="External"/><Relationship Id="rId35" Type="http://schemas.openxmlformats.org/officeDocument/2006/relationships/hyperlink" Target="https://www.momo.vn/tin-tuc/khuyen-mai/lan-dau-co-tren-momo-giam-den-45k-khi-dang-ky-8557" TargetMode="External"/><Relationship Id="rId43" Type="http://schemas.openxmlformats.org/officeDocument/2006/relationships/hyperlink" Target="https://www.momo.vn/tin-tuc/khuyen-mai/sale-cuoi-thang-duy-nhat-253-combo-du-lich-le-8577" TargetMode="External"/><Relationship Id="rId48" Type="http://schemas.openxmlformats.org/officeDocument/2006/relationships/hyperlink" Target="https://www.momo.vn/tin-tuc/khuyen-mai/sieu-sale-sinh-nhat-lazada-hoan-tien-gap-3-lan-8583" TargetMode="External"/><Relationship Id="rId56" Type="http://schemas.openxmlformats.org/officeDocument/2006/relationships/hyperlink" Target="https://dantri.com.vn/cong-nghe/instagram-thu-nghiem-goi-plus-thu-phi-nguoi-dung-20260331120043285.htm" TargetMode="External"/><Relationship Id="rId8" Type="http://schemas.openxmlformats.org/officeDocument/2006/relationships/hyperlink" Target="https://www.techinasia.com/news/robinhood-ups-stock-buyback-plan-15b" TargetMode="External"/><Relationship Id="rId51" Type="http://schemas.openxmlformats.org/officeDocument/2006/relationships/hyperlink" Target="https://www.momo.vn/tin-tuc/khuyen-mai/don-hoa-no-san-deal-xin-giam-den-500000d-tren-8588" TargetMode="External"/><Relationship Id="rId3" Type="http://schemas.openxmlformats.org/officeDocument/2006/relationships/hyperlink" Target="https://www.techinasia.com/news/meta-tests-ai-shopping-pop-up-on-facebook-instagram" TargetMode="External"/><Relationship Id="rId12" Type="http://schemas.openxmlformats.org/officeDocument/2006/relationships/hyperlink" Target="https://www.bloomberg.com/news/articles/2026-03-26/google-gemini-adds-tool-to-make-it-easier-to-switch-from-chatgpt?srnd=phx-technology-consumer-tech" TargetMode="External"/><Relationship Id="rId17" Type="http://schemas.openxmlformats.org/officeDocument/2006/relationships/hyperlink" Target="https://techcrunch.com/2026/03/24/tiktok-ads-are-about-to-get-a-tad-more-disruptive/" TargetMode="External"/><Relationship Id="rId25" Type="http://schemas.openxmlformats.org/officeDocument/2006/relationships/hyperlink" Target="https://genk.vn/tin-vui-cho-35-ty-nguoi-dung-google-chrome-16526032408203803.chn" TargetMode="External"/><Relationship Id="rId33" Type="http://schemas.openxmlformats.org/officeDocument/2006/relationships/hyperlink" Target="https://dantri.com.vn/cong-nghe/ios-27-se-giup-tro-ly-ao-siri-lot-xac-20260325124237776.htm" TargetMode="External"/><Relationship Id="rId38" Type="http://schemas.openxmlformats.org/officeDocument/2006/relationships/hyperlink" Target="https://www.momo.vn/tin-tuc/khuyen-mai/mua-shopee-qua-tinh-nang-hoan-tien-mua-sam-hoan-8563" TargetMode="External"/><Relationship Id="rId46" Type="http://schemas.openxmlformats.org/officeDocument/2006/relationships/hyperlink" Target="https://www.momo.vn/tin-tuc/thong-cao-bao-chi/momo-cap-nhat-moi-nhat-ve-giai-phap-nhan-tien-8587" TargetMode="External"/><Relationship Id="rId59" Type="http://schemas.openxmlformats.org/officeDocument/2006/relationships/hyperlink" Target="https://www.scmp.com/tech/big-tech/article/3349552/alibabas-qwen-family-captures-over-50-global-open-source-downloads-report-finds?module=top_story&amp;pgtype=section" TargetMode="External"/><Relationship Id="rId20" Type="http://schemas.openxmlformats.org/officeDocument/2006/relationships/hyperlink" Target="https://techcrunch.com/2026/03/25/apple-overhauls-its-app-developer-platform-with-100-new-metrics-more-tools/" TargetMode="External"/><Relationship Id="rId41" Type="http://schemas.openxmlformats.org/officeDocument/2006/relationships/hyperlink" Target="https://www.momo.vn/tin-tuc/thong-bao/momo-ra-mat-tinh-nang-cap-nhat-so-dien-thoai-8571" TargetMode="External"/><Relationship Id="rId54" Type="http://schemas.openxmlformats.org/officeDocument/2006/relationships/hyperlink" Target="https://dantri.com.vn/cong-nghe/doi-thiet-bi-khong-xac-thuc-lai-khuon-mat-se-bi-khoa-2-chieu-sau-30-ngay-20260403142249103.htm" TargetMode="External"/><Relationship Id="rId1" Type="http://schemas.openxmlformats.org/officeDocument/2006/relationships/hyperlink" Target="https://www.momo.vn/tin-tuc/khuyen-mai/uu-dai-hoi-nhat-thang-giam-den-45k-nap-game-leo-8556" TargetMode="External"/><Relationship Id="rId6" Type="http://schemas.openxmlformats.org/officeDocument/2006/relationships/hyperlink" Target="https://www.techinasia.com/shopee-tiktok-shops-dominance-squeezes-vietnams-couriers" TargetMode="External"/><Relationship Id="rId15" Type="http://schemas.openxmlformats.org/officeDocument/2006/relationships/hyperlink" Target="https://vneconomy.vn/techconnect/con-sot-ai-agent-dang-thuc-day-cuoc-dua-ha-tang-tinh-toan-toan-cau.htm" TargetMode="External"/><Relationship Id="rId23" Type="http://schemas.openxmlformats.org/officeDocument/2006/relationships/hyperlink" Target="https://luatvietnam.vn/thue/thong-tu-18-2026-tt-btc-quy-dinh-ho-so-thu-tuc-quan-ly-thue-cho-ho-kinh-doanh-427777-d1.html" TargetMode="External"/><Relationship Id="rId28" Type="http://schemas.openxmlformats.org/officeDocument/2006/relationships/hyperlink" Target="https://genk.vn/openclaw-khien-30-nam-kinh-nghiem-excel-tro-nen-vo-nghia-day-co-phai-ngay-tan-cua-ky-nang-su-dung-may-tinh-van-phong-165260323082818451.chn" TargetMode="External"/><Relationship Id="rId36" Type="http://schemas.openxmlformats.org/officeDocument/2006/relationships/hyperlink" Target="https://www.momo.vn/tin-tuc/khuyen-mai/uu-dai-hoi-nhat-thang-giam-den-45k-mua-icloud-luu-8558" TargetMode="External"/><Relationship Id="rId49" Type="http://schemas.openxmlformats.org/officeDocument/2006/relationships/hyperlink" Target="https://www.momo.vn/tin-tuc/khuyen-mai/gio-nghi-trai-nghiem-coca-cola-mien-phi-tai-cvs-8585" TargetMode="External"/><Relationship Id="rId57" Type="http://schemas.openxmlformats.org/officeDocument/2006/relationships/hyperlink" Target="https://dantri.com.vn/cong-nghe/tiet-lo-moi-ve-moi-quan-he-giua-apple-va-google-20260329170911100.htm" TargetMode="External"/><Relationship Id="rId10" Type="http://schemas.openxmlformats.org/officeDocument/2006/relationships/hyperlink" Target="https://www.techinasia.com/solving-mid-market-finance-pain-with-ai-agents" TargetMode="External"/><Relationship Id="rId31" Type="http://schemas.openxmlformats.org/officeDocument/2006/relationships/hyperlink" Target="https://genk.vn/chatgpt-sap-cho-phep-noi-dung-nhay-cam-day-lo-ngai-lo-du-lieu-ca-nhan-165260322073640315.chn" TargetMode="External"/><Relationship Id="rId44" Type="http://schemas.openxmlformats.org/officeDocument/2006/relationships/hyperlink" Target="https://www.momo.vn/tin-tuc/thong-bao/di-lam-tien-loi-tiet-kiem-hon-quet-momo-di-metro-8578" TargetMode="External"/><Relationship Id="rId52" Type="http://schemas.openxmlformats.org/officeDocument/2006/relationships/hyperlink" Target="https://www.momo.vn/tin-tuc/khuyen-mai/ban-moi-nhap-ma-chonmomo-co-qua-500000d-giam-82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D6AC5-F8B1-4950-A982-7615405A796D}">
  <dimension ref="A1:C44"/>
  <sheetViews>
    <sheetView tabSelected="1" topLeftCell="A13" workbookViewId="0">
      <selection activeCell="B19" sqref="B19"/>
    </sheetView>
  </sheetViews>
  <sheetFormatPr defaultColWidth="8.7109375" defaultRowHeight="14.45"/>
  <cols>
    <col min="1" max="1" width="46.85546875" style="43" customWidth="1"/>
    <col min="2" max="2" width="29.5703125" style="210" customWidth="1"/>
    <col min="3" max="3" width="50.5703125" style="43" customWidth="1"/>
    <col min="4" max="16384" width="8.7109375" style="43"/>
  </cols>
  <sheetData>
    <row r="1" spans="1:3">
      <c r="A1" s="267" t="s">
        <v>0</v>
      </c>
    </row>
    <row r="2" spans="1:3" ht="128.1" customHeight="1">
      <c r="A2" s="288" t="s">
        <v>1</v>
      </c>
      <c r="B2" s="289"/>
      <c r="C2" s="290"/>
    </row>
    <row r="3" spans="1:3" ht="48.95" customHeight="1">
      <c r="A3" s="288" t="s">
        <v>2</v>
      </c>
      <c r="B3" s="289"/>
      <c r="C3" s="290"/>
    </row>
    <row r="4" spans="1:3" ht="32.450000000000003" customHeight="1">
      <c r="A4" s="215" t="s">
        <v>3</v>
      </c>
      <c r="B4" s="297" t="s">
        <v>4</v>
      </c>
      <c r="C4" s="297"/>
    </row>
    <row r="5" spans="1:3" ht="68.099999999999994" customHeight="1">
      <c r="A5" s="215" t="s">
        <v>5</v>
      </c>
      <c r="B5" s="297" t="s">
        <v>6</v>
      </c>
      <c r="C5" s="297"/>
    </row>
    <row r="6" spans="1:3" ht="14.1" customHeight="1">
      <c r="A6" s="209"/>
      <c r="B6" s="249"/>
      <c r="C6" s="249"/>
    </row>
    <row r="7" spans="1:3">
      <c r="A7" s="258" t="s">
        <v>7</v>
      </c>
      <c r="B7" s="259"/>
      <c r="C7" s="260"/>
    </row>
    <row r="8" spans="1:3">
      <c r="A8" s="261" t="s">
        <v>8</v>
      </c>
      <c r="B8" s="262" t="s">
        <v>9</v>
      </c>
      <c r="C8" s="263"/>
    </row>
    <row r="9" spans="1:3">
      <c r="A9" s="264" t="s">
        <v>10</v>
      </c>
      <c r="B9" s="236" t="s">
        <v>11</v>
      </c>
      <c r="C9" s="265"/>
    </row>
    <row r="10" spans="1:3">
      <c r="A10" s="264" t="s">
        <v>12</v>
      </c>
      <c r="B10" s="236" t="s">
        <v>13</v>
      </c>
      <c r="C10" s="265"/>
    </row>
    <row r="11" spans="1:3">
      <c r="A11" s="264" t="s">
        <v>14</v>
      </c>
      <c r="B11" s="236" t="s">
        <v>15</v>
      </c>
      <c r="C11" s="265"/>
    </row>
    <row r="12" spans="1:3">
      <c r="A12" s="264" t="s">
        <v>16</v>
      </c>
      <c r="B12" s="236" t="s">
        <v>17</v>
      </c>
      <c r="C12" s="265"/>
    </row>
    <row r="13" spans="1:3">
      <c r="A13" s="264" t="s">
        <v>18</v>
      </c>
      <c r="B13" s="236" t="s">
        <v>19</v>
      </c>
      <c r="C13" s="265"/>
    </row>
    <row r="14" spans="1:3">
      <c r="A14" s="209"/>
      <c r="B14" s="209"/>
    </row>
    <row r="15" spans="1:3">
      <c r="A15" s="266" t="s">
        <v>20</v>
      </c>
      <c r="B15" s="209"/>
    </row>
    <row r="16" spans="1:3">
      <c r="A16" s="219" t="s">
        <v>21</v>
      </c>
      <c r="B16" s="247" t="s">
        <v>22</v>
      </c>
      <c r="C16" s="220" t="s">
        <v>23</v>
      </c>
    </row>
    <row r="17" spans="1:3">
      <c r="A17" s="291" t="s">
        <v>24</v>
      </c>
      <c r="B17" s="292"/>
      <c r="C17" s="293"/>
    </row>
    <row r="18" spans="1:3">
      <c r="A18" s="214" t="s">
        <v>25</v>
      </c>
      <c r="B18" s="216" t="s">
        <v>26</v>
      </c>
      <c r="C18" s="214" t="s">
        <v>27</v>
      </c>
    </row>
    <row r="19" spans="1:3" ht="56.45" customHeight="1">
      <c r="A19" s="215" t="s">
        <v>28</v>
      </c>
      <c r="B19" s="216" t="s">
        <v>29</v>
      </c>
      <c r="C19" s="215" t="s">
        <v>30</v>
      </c>
    </row>
    <row r="20" spans="1:3">
      <c r="A20" s="214" t="s">
        <v>31</v>
      </c>
      <c r="B20" s="216" t="s">
        <v>32</v>
      </c>
      <c r="C20" s="214"/>
    </row>
    <row r="21" spans="1:3">
      <c r="A21" s="299"/>
      <c r="B21" s="300"/>
      <c r="C21" s="301"/>
    </row>
    <row r="22" spans="1:3">
      <c r="A22" s="291" t="s">
        <v>33</v>
      </c>
      <c r="B22" s="292"/>
      <c r="C22" s="293"/>
    </row>
    <row r="23" spans="1:3" ht="57.95" customHeight="1">
      <c r="A23" s="214" t="s">
        <v>34</v>
      </c>
      <c r="B23" s="288" t="s">
        <v>35</v>
      </c>
      <c r="C23" s="290"/>
    </row>
    <row r="24" spans="1:3">
      <c r="A24" s="298" t="s">
        <v>36</v>
      </c>
      <c r="B24" s="216" t="s">
        <v>37</v>
      </c>
      <c r="C24" s="214" t="s">
        <v>38</v>
      </c>
    </row>
    <row r="25" spans="1:3">
      <c r="A25" s="298"/>
      <c r="B25" s="248" t="s">
        <v>39</v>
      </c>
      <c r="C25" s="214" t="s">
        <v>40</v>
      </c>
    </row>
    <row r="26" spans="1:3">
      <c r="A26" s="298"/>
      <c r="B26" s="160" t="s">
        <v>41</v>
      </c>
      <c r="C26" s="214" t="s">
        <v>42</v>
      </c>
    </row>
    <row r="27" spans="1:3">
      <c r="A27" s="298"/>
      <c r="B27" s="248" t="s">
        <v>43</v>
      </c>
      <c r="C27" s="214" t="s">
        <v>40</v>
      </c>
    </row>
    <row r="28" spans="1:3">
      <c r="A28" s="298"/>
      <c r="B28" s="216" t="s">
        <v>44</v>
      </c>
      <c r="C28" s="214" t="s">
        <v>45</v>
      </c>
    </row>
    <row r="29" spans="1:3">
      <c r="A29" s="298"/>
      <c r="B29" s="248" t="s">
        <v>46</v>
      </c>
      <c r="C29" s="214" t="s">
        <v>45</v>
      </c>
    </row>
    <row r="30" spans="1:3">
      <c r="A30" s="298"/>
      <c r="B30" s="216" t="s">
        <v>47</v>
      </c>
      <c r="C30" s="214" t="s">
        <v>48</v>
      </c>
    </row>
    <row r="31" spans="1:3">
      <c r="A31" s="298"/>
      <c r="B31" s="216" t="s">
        <v>49</v>
      </c>
      <c r="C31" s="214" t="s">
        <v>50</v>
      </c>
    </row>
    <row r="32" spans="1:3">
      <c r="A32" s="298"/>
      <c r="B32" s="256" t="s">
        <v>51</v>
      </c>
      <c r="C32" s="255" t="s">
        <v>52</v>
      </c>
    </row>
    <row r="33" spans="1:3">
      <c r="A33" s="298"/>
      <c r="B33" s="216" t="s">
        <v>53</v>
      </c>
      <c r="C33" s="217" t="s">
        <v>54</v>
      </c>
    </row>
    <row r="34" spans="1:3">
      <c r="A34" s="298"/>
      <c r="B34" s="216" t="s">
        <v>55</v>
      </c>
      <c r="C34" s="217" t="s">
        <v>54</v>
      </c>
    </row>
    <row r="35" spans="1:3" ht="29.1">
      <c r="A35" s="298"/>
      <c r="B35" s="216" t="s">
        <v>56</v>
      </c>
      <c r="C35" s="218" t="s">
        <v>57</v>
      </c>
    </row>
    <row r="36" spans="1:3" ht="29.1">
      <c r="A36" s="298"/>
      <c r="B36" s="216" t="s">
        <v>58</v>
      </c>
      <c r="C36" s="218" t="s">
        <v>59</v>
      </c>
    </row>
    <row r="37" spans="1:3">
      <c r="A37" s="298"/>
      <c r="B37" s="160" t="s">
        <v>60</v>
      </c>
      <c r="C37" s="214" t="s">
        <v>14</v>
      </c>
    </row>
    <row r="38" spans="1:3">
      <c r="A38" s="298"/>
      <c r="B38" s="160" t="s">
        <v>61</v>
      </c>
      <c r="C38" s="214" t="s">
        <v>62</v>
      </c>
    </row>
    <row r="39" spans="1:3">
      <c r="A39" s="298"/>
      <c r="B39" s="216" t="s">
        <v>63</v>
      </c>
      <c r="C39" s="214" t="s">
        <v>40</v>
      </c>
    </row>
    <row r="41" spans="1:3">
      <c r="A41" s="294" t="s">
        <v>64</v>
      </c>
      <c r="B41" s="295"/>
      <c r="C41" s="296"/>
    </row>
    <row r="42" spans="1:3">
      <c r="A42" s="214" t="s">
        <v>65</v>
      </c>
      <c r="B42" s="160" t="s">
        <v>66</v>
      </c>
      <c r="C42" s="214"/>
    </row>
    <row r="43" spans="1:3">
      <c r="A43" s="214" t="s">
        <v>67</v>
      </c>
      <c r="B43" s="160" t="s">
        <v>66</v>
      </c>
      <c r="C43" s="214"/>
    </row>
    <row r="44" spans="1:3">
      <c r="A44" s="214" t="s">
        <v>68</v>
      </c>
      <c r="B44" s="160" t="s">
        <v>66</v>
      </c>
      <c r="C44" s="214"/>
    </row>
  </sheetData>
  <mergeCells count="10">
    <mergeCell ref="A2:C2"/>
    <mergeCell ref="A3:C3"/>
    <mergeCell ref="A17:C17"/>
    <mergeCell ref="A22:C22"/>
    <mergeCell ref="A41:C41"/>
    <mergeCell ref="B4:C4"/>
    <mergeCell ref="B5:C5"/>
    <mergeCell ref="B23:C23"/>
    <mergeCell ref="A24:A39"/>
    <mergeCell ref="A21:C21"/>
  </mergeCells>
  <conditionalFormatting sqref="B29">
    <cfRule type="containsText" dxfId="89" priority="1" operator="containsText" text="Grab">
      <formula>NOT(ISERROR(SEARCH("Grab",B29)))</formula>
    </cfRule>
    <cfRule type="containsText" dxfId="88" priority="2" operator="containsText" text="Zalo">
      <formula>NOT(ISERROR(SEARCH("Zalo",B29)))</formula>
    </cfRule>
    <cfRule type="containsText" dxfId="87" priority="3" operator="containsText" text="MoMo">
      <formula>NOT(ISERROR(SEARCH("MoMo",B29)))</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1B282-280D-4C32-B9D5-08DA406A6922}">
  <sheetPr codeName="Sheet4"/>
  <dimension ref="A1:O54"/>
  <sheetViews>
    <sheetView zoomScale="55" zoomScaleNormal="55" workbookViewId="0">
      <selection activeCell="F1" sqref="F1:F1048576"/>
    </sheetView>
  </sheetViews>
  <sheetFormatPr defaultColWidth="8.7109375" defaultRowHeight="14.45"/>
  <cols>
    <col min="1" max="1" width="10.140625" style="1" bestFit="1" customWidth="1"/>
    <col min="2" max="2" width="17.140625" style="1" bestFit="1" customWidth="1"/>
    <col min="3" max="3" width="17.7109375" style="1" bestFit="1" customWidth="1"/>
    <col min="4" max="4" width="17.7109375" style="1" customWidth="1"/>
    <col min="5" max="5" width="49.7109375" style="1" customWidth="1"/>
    <col min="6" max="6" width="39.85546875" style="4" customWidth="1"/>
    <col min="7" max="7" width="48.5703125" style="4" customWidth="1"/>
    <col min="8" max="8" width="48.7109375" style="4" customWidth="1"/>
    <col min="9" max="9" width="46.5703125" style="4" customWidth="1"/>
    <col min="10" max="10" width="16" style="1" customWidth="1"/>
    <col min="11" max="11" width="18.42578125" style="1" customWidth="1"/>
    <col min="12" max="13" width="9.5703125" style="1" customWidth="1"/>
    <col min="14" max="15" width="11.5703125" style="1" customWidth="1"/>
    <col min="16" max="16384" width="8.7109375" style="1"/>
  </cols>
  <sheetData>
    <row r="1" spans="1:15">
      <c r="A1" s="251" t="s">
        <v>69</v>
      </c>
      <c r="B1" s="252">
        <v>46144</v>
      </c>
      <c r="C1" s="253"/>
    </row>
    <row r="2" spans="1:15">
      <c r="A2" s="251" t="s">
        <v>70</v>
      </c>
      <c r="B2" s="252">
        <f>B1+6</f>
        <v>46150</v>
      </c>
      <c r="C2" s="253">
        <f>WEEKNUM(B2,2)</f>
        <v>19</v>
      </c>
    </row>
    <row r="3" spans="1:15">
      <c r="A3" s="7"/>
      <c r="B3" s="8"/>
    </row>
    <row r="4" spans="1:15">
      <c r="A4" s="7"/>
      <c r="B4" s="8"/>
    </row>
    <row r="5" spans="1:15">
      <c r="A5" s="11" t="s">
        <v>71</v>
      </c>
      <c r="B5" s="11" t="s">
        <v>44</v>
      </c>
      <c r="C5" s="11" t="s">
        <v>37</v>
      </c>
      <c r="D5" s="11" t="s">
        <v>72</v>
      </c>
      <c r="E5" s="268" t="s">
        <v>73</v>
      </c>
      <c r="F5" s="12" t="s">
        <v>74</v>
      </c>
      <c r="G5" s="12" t="s">
        <v>75</v>
      </c>
      <c r="H5" s="12" t="s">
        <v>76</v>
      </c>
      <c r="I5" s="12" t="s">
        <v>77</v>
      </c>
      <c r="J5" s="12" t="s">
        <v>78</v>
      </c>
      <c r="K5" s="12" t="s">
        <v>79</v>
      </c>
      <c r="L5" s="12" t="s">
        <v>80</v>
      </c>
      <c r="M5" s="12" t="s">
        <v>81</v>
      </c>
      <c r="N5" s="12" t="s">
        <v>82</v>
      </c>
      <c r="O5" s="12" t="s">
        <v>83</v>
      </c>
    </row>
    <row r="6" spans="1:15" ht="90" customHeight="1">
      <c r="A6" s="13">
        <v>1</v>
      </c>
      <c r="B6" s="1" t="s">
        <v>84</v>
      </c>
      <c r="C6" s="1" t="s">
        <v>85</v>
      </c>
      <c r="D6" s="1" t="s">
        <v>86</v>
      </c>
      <c r="E6" s="9" t="s">
        <v>87</v>
      </c>
      <c r="F6" s="4" t="str">
        <f>_xlfn.TEXTJOIN("-",TRUE,K6&amp;M6,N6,O6)&amp;".chn"</f>
        <v>https://genk.vn/ai/2-5-2026.chn</v>
      </c>
      <c r="G6" s="3" t="s">
        <v>88</v>
      </c>
      <c r="H6" s="4" t="s">
        <v>89</v>
      </c>
      <c r="I6" s="3" t="s">
        <v>90</v>
      </c>
      <c r="J6" s="4" t="s">
        <v>91</v>
      </c>
      <c r="K6" s="269" t="s">
        <v>92</v>
      </c>
      <c r="L6" s="270">
        <f>B1</f>
        <v>46144</v>
      </c>
      <c r="M6" s="4">
        <f>DAY(L6)</f>
        <v>2</v>
      </c>
      <c r="N6" s="4">
        <f>MONTH(L6)</f>
        <v>5</v>
      </c>
      <c r="O6" s="4">
        <f>YEAR(L6)</f>
        <v>2026</v>
      </c>
    </row>
    <row r="7" spans="1:15" ht="81.75" customHeight="1">
      <c r="A7" s="13">
        <v>2</v>
      </c>
      <c r="B7" s="1" t="s">
        <v>84</v>
      </c>
      <c r="C7" s="1" t="s">
        <v>85</v>
      </c>
      <c r="D7" s="1" t="s">
        <v>93</v>
      </c>
      <c r="E7" s="9" t="s">
        <v>94</v>
      </c>
      <c r="F7" s="4" t="str">
        <f>_xlfn.TEXTJOIN("-",TRUE,K7&amp;M7,N7,O7)&amp;".chn"</f>
        <v>https://genk.vn/tin-ict/2-5-2026.chn</v>
      </c>
      <c r="G7" s="3" t="s">
        <v>95</v>
      </c>
      <c r="H7" s="4" t="s">
        <v>89</v>
      </c>
      <c r="I7" s="3" t="s">
        <v>90</v>
      </c>
      <c r="J7" s="4" t="s">
        <v>91</v>
      </c>
      <c r="K7" s="269" t="s">
        <v>96</v>
      </c>
      <c r="L7" s="270">
        <f>B1</f>
        <v>46144</v>
      </c>
      <c r="M7" s="4">
        <f>DAY(L7)</f>
        <v>2</v>
      </c>
      <c r="N7" s="4">
        <f>MONTH(L7)</f>
        <v>5</v>
      </c>
      <c r="O7" s="4">
        <f>YEAR(L7)</f>
        <v>2026</v>
      </c>
    </row>
    <row r="8" spans="1:15" ht="43.5">
      <c r="A8" s="13">
        <v>3</v>
      </c>
      <c r="B8" s="1" t="s">
        <v>84</v>
      </c>
      <c r="C8" s="1" t="s">
        <v>97</v>
      </c>
      <c r="D8" s="1" t="s">
        <v>98</v>
      </c>
      <c r="E8" s="9" t="s">
        <v>99</v>
      </c>
      <c r="F8" s="4" t="str">
        <f>_xlfn.TEXTJOIN("-",TRUE,K8&amp;M8,N8,O8)&amp;".htm"</f>
        <v>https://baotintuc.vn/thi-truong-tien-te-587ct128/d2-5-2026.htm</v>
      </c>
      <c r="G8" s="4" t="s">
        <v>100</v>
      </c>
      <c r="H8" s="4" t="s">
        <v>101</v>
      </c>
      <c r="I8" s="3" t="s">
        <v>102</v>
      </c>
      <c r="J8" s="4" t="s">
        <v>91</v>
      </c>
      <c r="K8" s="269" t="s">
        <v>103</v>
      </c>
      <c r="L8" s="270">
        <f>B1</f>
        <v>46144</v>
      </c>
      <c r="M8" s="4">
        <f>DAY(L8)</f>
        <v>2</v>
      </c>
      <c r="N8" s="4">
        <f>MONTH(L8)</f>
        <v>5</v>
      </c>
      <c r="O8" s="4">
        <f>YEAR(L8)</f>
        <v>2026</v>
      </c>
    </row>
    <row r="9" spans="1:15" ht="43.5">
      <c r="A9" s="13">
        <v>4</v>
      </c>
      <c r="B9" s="1" t="s">
        <v>84</v>
      </c>
      <c r="C9" s="1" t="s">
        <v>104</v>
      </c>
      <c r="D9" s="1" t="s">
        <v>105</v>
      </c>
      <c r="E9" s="9" t="s">
        <v>106</v>
      </c>
      <c r="F9" s="4" t="str">
        <f>E9</f>
        <v>https://vneconomy.vn/techconnect/</v>
      </c>
      <c r="G9" s="3" t="s">
        <v>107</v>
      </c>
      <c r="H9" s="4" t="s">
        <v>108</v>
      </c>
      <c r="I9" s="4" t="s">
        <v>109</v>
      </c>
      <c r="J9" s="4" t="s">
        <v>110</v>
      </c>
      <c r="K9" s="269"/>
      <c r="L9" s="269"/>
      <c r="M9" s="4"/>
      <c r="N9" s="4"/>
      <c r="O9" s="4"/>
    </row>
    <row r="10" spans="1:15" ht="29.1">
      <c r="A10" s="13">
        <v>5</v>
      </c>
      <c r="B10" s="1" t="s">
        <v>84</v>
      </c>
      <c r="C10" s="1" t="s">
        <v>104</v>
      </c>
      <c r="D10" s="1" t="s">
        <v>111</v>
      </c>
      <c r="E10" s="9" t="s">
        <v>112</v>
      </c>
      <c r="F10" s="4" t="str">
        <f>E10</f>
        <v>https://vneconomy.vn/techconnect/tech-lifestyle.htm</v>
      </c>
      <c r="G10" s="4" t="s">
        <v>113</v>
      </c>
      <c r="H10" s="4" t="s">
        <v>114</v>
      </c>
      <c r="I10" s="4" t="s">
        <v>115</v>
      </c>
      <c r="J10" s="4" t="s">
        <v>110</v>
      </c>
      <c r="K10" s="269"/>
      <c r="L10" s="269"/>
      <c r="M10" s="4"/>
      <c r="N10" s="4"/>
      <c r="O10" s="4"/>
    </row>
    <row r="11" spans="1:15" ht="29.1">
      <c r="A11" s="13">
        <v>6</v>
      </c>
      <c r="B11" s="1" t="s">
        <v>84</v>
      </c>
      <c r="C11" s="1" t="s">
        <v>104</v>
      </c>
      <c r="D11" s="1" t="s">
        <v>116</v>
      </c>
      <c r="E11" s="9" t="s">
        <v>117</v>
      </c>
      <c r="F11" s="4" t="str">
        <f>E11</f>
        <v>https://vneconomy.vn/techconnect/tech-talk.htm</v>
      </c>
      <c r="G11" s="4" t="s">
        <v>118</v>
      </c>
      <c r="H11" s="4" t="s">
        <v>114</v>
      </c>
      <c r="I11" s="4" t="s">
        <v>115</v>
      </c>
      <c r="J11" s="4" t="s">
        <v>110</v>
      </c>
      <c r="K11" s="269"/>
      <c r="L11" s="269"/>
      <c r="M11" s="4"/>
      <c r="N11" s="4"/>
      <c r="O11" s="4"/>
    </row>
    <row r="12" spans="1:15" ht="43.5">
      <c r="A12" s="13">
        <v>7</v>
      </c>
      <c r="B12" s="1" t="s">
        <v>84</v>
      </c>
      <c r="C12" s="1" t="s">
        <v>119</v>
      </c>
      <c r="D12" s="1" t="s">
        <v>120</v>
      </c>
      <c r="E12" s="9" t="s">
        <v>121</v>
      </c>
      <c r="F12" s="4" t="str">
        <f>K12&amp;"from/"&amp;N12&amp;"/to/"&amp;O12&amp;".htm"</f>
        <v>https://dantri.com.vn/cong-nghe/ai-internet/from/2026-05-02/to/2026-05-08.htm</v>
      </c>
      <c r="G12" s="3" t="s">
        <v>122</v>
      </c>
      <c r="H12" s="4" t="s">
        <v>123</v>
      </c>
      <c r="I12" s="3" t="s">
        <v>124</v>
      </c>
      <c r="J12" s="4" t="s">
        <v>125</v>
      </c>
      <c r="K12" s="269" t="s">
        <v>126</v>
      </c>
      <c r="L12" s="271">
        <f>B1</f>
        <v>46144</v>
      </c>
      <c r="M12" s="270">
        <f>L12+6</f>
        <v>46150</v>
      </c>
      <c r="N12" s="4" t="str">
        <f>TEXT(L12,"yyyy-mm-dd")</f>
        <v>2026-05-02</v>
      </c>
      <c r="O12" s="4" t="str">
        <f>TEXT(M12,"yyyy-mm-dd")</f>
        <v>2026-05-08</v>
      </c>
    </row>
    <row r="13" spans="1:15" ht="43.5">
      <c r="A13" s="13">
        <v>8</v>
      </c>
      <c r="B13" s="1" t="s">
        <v>84</v>
      </c>
      <c r="C13" s="1" t="s">
        <v>119</v>
      </c>
      <c r="D13" s="1" t="s">
        <v>127</v>
      </c>
      <c r="E13" s="9" t="s">
        <v>128</v>
      </c>
      <c r="F13" s="4" t="str">
        <f>K13&amp;"from/"&amp;N13&amp;"/to/"&amp;O13&amp;".htm"</f>
        <v>https://dantri.com.vn/cong-nghe/an-ninh-mang/from/2026-05-02/to/2026-05-08.htm</v>
      </c>
      <c r="G13" s="3" t="s">
        <v>129</v>
      </c>
      <c r="H13" s="4" t="s">
        <v>123</v>
      </c>
      <c r="I13" s="3" t="s">
        <v>124</v>
      </c>
      <c r="J13" s="4" t="s">
        <v>125</v>
      </c>
      <c r="K13" s="269" t="s">
        <v>130</v>
      </c>
      <c r="L13" s="271">
        <f>B1</f>
        <v>46144</v>
      </c>
      <c r="M13" s="270">
        <f>L13+6</f>
        <v>46150</v>
      </c>
      <c r="N13" s="4" t="str">
        <f>TEXT(L13,"yyyy-mm-dd")</f>
        <v>2026-05-02</v>
      </c>
      <c r="O13" s="4" t="str">
        <f>TEXT(M13,"yyyy-mm-dd")</f>
        <v>2026-05-08</v>
      </c>
    </row>
    <row r="14" spans="1:15" ht="72.599999999999994">
      <c r="A14" s="13">
        <v>9</v>
      </c>
      <c r="B14" s="1" t="s">
        <v>84</v>
      </c>
      <c r="C14" s="1" t="s">
        <v>131</v>
      </c>
      <c r="D14" s="1" t="s">
        <v>132</v>
      </c>
      <c r="E14" s="9" t="s">
        <v>133</v>
      </c>
      <c r="F14" s="4" t="str">
        <f>K14&amp;"fromdate/"&amp;N14&amp;"/todate/"&amp;O14&amp;"/allcate/1006219"</f>
        <v>https://vnexpress.net/category/day/cateid/1006219/fromdate/1777680000/todate/1778198400/allcate/1006219</v>
      </c>
      <c r="G14" s="3" t="s">
        <v>134</v>
      </c>
      <c r="H14" s="3" t="s">
        <v>135</v>
      </c>
      <c r="I14" s="3" t="s">
        <v>136</v>
      </c>
      <c r="J14" s="4" t="s">
        <v>125</v>
      </c>
      <c r="K14" s="269" t="s">
        <v>137</v>
      </c>
      <c r="L14" s="271">
        <f>B1</f>
        <v>46144</v>
      </c>
      <c r="M14" s="270">
        <f>L14+6</f>
        <v>46150</v>
      </c>
      <c r="N14" s="272">
        <f>(L14-DATE(1970,1,1))*86400</f>
        <v>1777680000</v>
      </c>
      <c r="O14" s="272">
        <f>(M14-DATE(1970,1,1))*86400</f>
        <v>1778198400</v>
      </c>
    </row>
    <row r="15" spans="1:15" ht="43.5">
      <c r="A15" s="13">
        <v>10</v>
      </c>
      <c r="B15" s="1" t="s">
        <v>84</v>
      </c>
      <c r="C15" s="1" t="s">
        <v>138</v>
      </c>
      <c r="D15" s="1" t="s">
        <v>139</v>
      </c>
      <c r="E15" s="9" t="s">
        <v>140</v>
      </c>
      <c r="F15" s="4" t="str">
        <f>E15</f>
        <v>https://www.bloomberg.com/technology/consumer-tech</v>
      </c>
      <c r="G15" s="3" t="s">
        <v>141</v>
      </c>
      <c r="H15" s="4" t="s">
        <v>142</v>
      </c>
      <c r="I15" s="3" t="s">
        <v>143</v>
      </c>
      <c r="J15" s="4" t="s">
        <v>110</v>
      </c>
      <c r="K15" s="269"/>
      <c r="L15" s="271"/>
      <c r="M15" s="270"/>
      <c r="N15" s="272"/>
      <c r="O15" s="272"/>
    </row>
    <row r="16" spans="1:15" ht="29.1">
      <c r="A16" s="13">
        <v>11</v>
      </c>
      <c r="B16" s="1" t="s">
        <v>84</v>
      </c>
      <c r="C16" s="1" t="s">
        <v>144</v>
      </c>
      <c r="D16" s="1" t="s">
        <v>145</v>
      </c>
      <c r="E16" s="9" t="s">
        <v>146</v>
      </c>
      <c r="F16" s="4" t="str">
        <f>E16</f>
        <v>https://www.techinasia.com/category/fintech</v>
      </c>
      <c r="G16" s="3" t="s">
        <v>147</v>
      </c>
      <c r="H16" s="4" t="s">
        <v>142</v>
      </c>
      <c r="I16" s="3" t="s">
        <v>143</v>
      </c>
      <c r="J16" s="4" t="s">
        <v>110</v>
      </c>
      <c r="K16" s="269"/>
      <c r="L16" s="271"/>
      <c r="M16" s="270"/>
      <c r="N16" s="272"/>
      <c r="O16" s="272"/>
    </row>
    <row r="17" spans="1:15" ht="29.1">
      <c r="A17" s="13">
        <v>12</v>
      </c>
      <c r="B17" s="1" t="s">
        <v>84</v>
      </c>
      <c r="C17" s="1" t="s">
        <v>148</v>
      </c>
      <c r="D17" s="1" t="s">
        <v>149</v>
      </c>
      <c r="E17" s="9" t="s">
        <v>150</v>
      </c>
      <c r="F17" s="4" t="str">
        <f>E17</f>
        <v>https://techcrunch.com/category/apps/</v>
      </c>
      <c r="G17" s="3" t="s">
        <v>151</v>
      </c>
      <c r="H17" s="4" t="s">
        <v>89</v>
      </c>
      <c r="I17" s="3" t="s">
        <v>152</v>
      </c>
      <c r="J17" s="4" t="s">
        <v>110</v>
      </c>
      <c r="K17" s="269"/>
      <c r="L17" s="271"/>
      <c r="M17" s="270"/>
      <c r="N17" s="272"/>
      <c r="O17" s="272"/>
    </row>
    <row r="18" spans="1:15" ht="101.45">
      <c r="A18" s="13">
        <v>13</v>
      </c>
      <c r="B18" s="1" t="s">
        <v>84</v>
      </c>
      <c r="C18" s="1" t="s">
        <v>153</v>
      </c>
      <c r="D18" s="1" t="s">
        <v>154</v>
      </c>
      <c r="E18" s="9" t="s">
        <v>155</v>
      </c>
      <c r="F18" s="4" t="str">
        <f>TEXT(K18&amp;"&amp;bdate="&amp;N18&amp;"&amp;edate="&amp;O18,0)</f>
        <v>https://thuvienphapluat.vn/page/tim-van-ban.aspx?keyword=nhnn&amp;area=0&amp;type=0&amp;status=0&amp;lan=1&amp;org=0&amp;signer=0&amp;match=True&amp;sort=1&amp;bdate=02-05-2026&amp;edate=08-05-2026</v>
      </c>
      <c r="G18" s="3" t="s">
        <v>156</v>
      </c>
      <c r="H18" s="3" t="s">
        <v>157</v>
      </c>
      <c r="I18" s="3" t="s">
        <v>158</v>
      </c>
      <c r="J18" s="4" t="s">
        <v>125</v>
      </c>
      <c r="K18" s="269" t="s">
        <v>159</v>
      </c>
      <c r="L18" s="270">
        <f>B1</f>
        <v>46144</v>
      </c>
      <c r="M18" s="270">
        <f>L18+6</f>
        <v>46150</v>
      </c>
      <c r="N18" s="4" t="str">
        <f>TEXT(L18,"dd-mm-yyyy")</f>
        <v>02-05-2026</v>
      </c>
      <c r="O18" s="4" t="str">
        <f>TEXT(M18,"dd-mm-yyyy")</f>
        <v>08-05-2026</v>
      </c>
    </row>
    <row r="19" spans="1:15" ht="101.45">
      <c r="A19" s="13">
        <v>14</v>
      </c>
      <c r="B19" s="1" t="s">
        <v>84</v>
      </c>
      <c r="C19" s="1" t="s">
        <v>160</v>
      </c>
      <c r="D19" s="1" t="s">
        <v>161</v>
      </c>
      <c r="E19" s="9" t="s">
        <v>162</v>
      </c>
      <c r="F19" s="4" t="str">
        <f t="shared" ref="F19:F33" si="0">E19</f>
        <v>https://luatvietnam.vn/ban-tin-luatvietnam/diem-tin-chinh-sach-moi-c559-article.html</v>
      </c>
      <c r="G19" s="3" t="s">
        <v>163</v>
      </c>
      <c r="H19" s="3" t="s">
        <v>164</v>
      </c>
      <c r="I19" s="3" t="s">
        <v>165</v>
      </c>
      <c r="J19" s="4" t="s">
        <v>110</v>
      </c>
      <c r="K19" s="4"/>
      <c r="L19" s="4"/>
      <c r="M19" s="4"/>
      <c r="N19" s="4"/>
      <c r="O19" s="4"/>
    </row>
    <row r="20" spans="1:15" ht="43.5">
      <c r="A20" s="13">
        <v>15</v>
      </c>
      <c r="B20" s="1" t="s">
        <v>84</v>
      </c>
      <c r="C20" s="1" t="s">
        <v>160</v>
      </c>
      <c r="D20" s="1" t="s">
        <v>154</v>
      </c>
      <c r="E20" s="9" t="s">
        <v>166</v>
      </c>
      <c r="F20" s="4" t="str">
        <f t="shared" si="0"/>
        <v>https://luatvietnam.vn/ban-tin-luatvietnam/diem-tin-van-ban-moi-c220-article.html</v>
      </c>
      <c r="G20" s="3" t="s">
        <v>167</v>
      </c>
      <c r="H20" s="3" t="s">
        <v>168</v>
      </c>
      <c r="I20" s="3" t="s">
        <v>169</v>
      </c>
      <c r="J20" s="4" t="s">
        <v>110</v>
      </c>
      <c r="K20" s="4"/>
      <c r="L20" s="4"/>
      <c r="M20" s="4"/>
      <c r="N20" s="4"/>
      <c r="O20" s="270"/>
    </row>
    <row r="21" spans="1:15">
      <c r="A21" s="13">
        <v>16</v>
      </c>
      <c r="B21" s="1" t="s">
        <v>170</v>
      </c>
      <c r="C21" s="1" t="s">
        <v>171</v>
      </c>
      <c r="D21" s="1" t="s">
        <v>172</v>
      </c>
      <c r="E21" s="9" t="s">
        <v>173</v>
      </c>
      <c r="F21" s="4" t="str">
        <f t="shared" si="0"/>
        <v>https://zalopay.vn/tin-tuc</v>
      </c>
      <c r="G21" s="3"/>
      <c r="H21" s="3"/>
      <c r="I21" s="3"/>
      <c r="J21" s="4"/>
      <c r="K21" s="269"/>
      <c r="L21" s="269"/>
      <c r="M21" s="4"/>
      <c r="N21" s="4"/>
      <c r="O21" s="4"/>
    </row>
    <row r="22" spans="1:15">
      <c r="A22" s="13">
        <v>17</v>
      </c>
      <c r="B22" s="1" t="s">
        <v>170</v>
      </c>
      <c r="C22" s="1" t="s">
        <v>171</v>
      </c>
      <c r="D22" s="1" t="s">
        <v>174</v>
      </c>
      <c r="E22" s="9" t="s">
        <v>175</v>
      </c>
      <c r="F22" s="4" t="str">
        <f t="shared" si="0"/>
        <v>https://zalopay.vn/khuyen-mai</v>
      </c>
      <c r="G22" s="3"/>
      <c r="H22" s="3"/>
      <c r="J22" s="4"/>
      <c r="K22" s="269"/>
      <c r="L22" s="269"/>
      <c r="M22" s="4"/>
      <c r="N22" s="4"/>
      <c r="O22" s="4"/>
    </row>
    <row r="23" spans="1:15">
      <c r="A23" s="13">
        <v>18</v>
      </c>
      <c r="B23" s="1" t="s">
        <v>170</v>
      </c>
      <c r="C23" s="1" t="s">
        <v>176</v>
      </c>
      <c r="D23" s="1" t="s">
        <v>172</v>
      </c>
      <c r="E23" s="9" t="s">
        <v>177</v>
      </c>
      <c r="F23" s="4" t="str">
        <f t="shared" si="0"/>
        <v>https://oa.zalo.me/home/resources/news</v>
      </c>
      <c r="G23" s="3"/>
      <c r="H23" s="3"/>
      <c r="J23" s="4"/>
      <c r="K23" s="269"/>
      <c r="L23" s="269"/>
      <c r="M23" s="4"/>
      <c r="N23" s="4"/>
      <c r="O23" s="4"/>
    </row>
    <row r="24" spans="1:15">
      <c r="A24" s="13">
        <v>19</v>
      </c>
      <c r="B24" s="1" t="s">
        <v>170</v>
      </c>
      <c r="C24" s="1" t="s">
        <v>178</v>
      </c>
      <c r="D24" s="1" t="s">
        <v>172</v>
      </c>
      <c r="E24" s="9" t="s">
        <v>179</v>
      </c>
      <c r="F24" s="4" t="str">
        <f t="shared" si="0"/>
        <v>https://www.momo.vn/tin-tuc</v>
      </c>
      <c r="G24" s="3"/>
      <c r="H24" s="3"/>
      <c r="I24" s="3"/>
      <c r="J24" s="4"/>
      <c r="K24" s="4"/>
      <c r="L24" s="4"/>
      <c r="M24" s="4"/>
      <c r="N24" s="4"/>
      <c r="O24" s="4"/>
    </row>
    <row r="25" spans="1:15">
      <c r="A25" s="13">
        <v>20</v>
      </c>
      <c r="B25" s="1" t="s">
        <v>170</v>
      </c>
      <c r="C25" s="1" t="s">
        <v>180</v>
      </c>
      <c r="D25" s="1" t="s">
        <v>181</v>
      </c>
      <c r="E25" s="9" t="s">
        <v>182</v>
      </c>
      <c r="F25" s="4" t="str">
        <f t="shared" si="0"/>
        <v>https://blog.whatsapp.com/</v>
      </c>
      <c r="G25" s="3"/>
      <c r="H25" s="3"/>
      <c r="I25" s="3"/>
      <c r="J25" s="4"/>
      <c r="K25" s="4"/>
      <c r="L25" s="4"/>
      <c r="M25" s="4"/>
      <c r="N25" s="4"/>
      <c r="O25" s="4"/>
    </row>
    <row r="26" spans="1:15">
      <c r="A26" s="13">
        <v>21</v>
      </c>
      <c r="B26" s="1" t="s">
        <v>170</v>
      </c>
      <c r="C26" s="1" t="s">
        <v>183</v>
      </c>
      <c r="D26" s="1" t="s">
        <v>181</v>
      </c>
      <c r="E26" s="9" t="s">
        <v>184</v>
      </c>
      <c r="F26" s="4" t="str">
        <f t="shared" si="0"/>
        <v>https://telegram.org/blog</v>
      </c>
      <c r="G26" s="3"/>
      <c r="H26" s="3"/>
      <c r="I26" s="3"/>
      <c r="J26" s="4"/>
      <c r="K26" s="4"/>
      <c r="L26" s="4"/>
      <c r="M26" s="4"/>
      <c r="N26" s="4"/>
      <c r="O26" s="4"/>
    </row>
    <row r="27" spans="1:15" ht="29.1">
      <c r="A27" s="13">
        <v>22</v>
      </c>
      <c r="B27" s="1" t="s">
        <v>170</v>
      </c>
      <c r="C27" s="1" t="s">
        <v>185</v>
      </c>
      <c r="D27" s="1" t="s">
        <v>181</v>
      </c>
      <c r="E27" s="9" t="s">
        <v>186</v>
      </c>
      <c r="F27" s="4" t="str">
        <f t="shared" si="0"/>
        <v>https://banhang.shopee.vn/edu/category?sub_cat_id=1006</v>
      </c>
      <c r="G27" s="3"/>
      <c r="H27" s="3"/>
      <c r="I27" s="3"/>
      <c r="J27" s="4"/>
      <c r="K27" s="4"/>
      <c r="L27" s="4"/>
      <c r="M27" s="4"/>
      <c r="N27" s="4"/>
      <c r="O27" s="4"/>
    </row>
    <row r="28" spans="1:15" ht="43.5">
      <c r="A28" s="13">
        <v>23</v>
      </c>
      <c r="B28" s="1" t="s">
        <v>170</v>
      </c>
      <c r="C28" s="1" t="s">
        <v>187</v>
      </c>
      <c r="D28" s="1" t="s">
        <v>181</v>
      </c>
      <c r="E28" s="9" t="s">
        <v>188</v>
      </c>
      <c r="F28" s="4" t="str">
        <f t="shared" si="0"/>
        <v>https://seller-vn.tiktok.com/university/essay?knowledge_id=8858869405370113</v>
      </c>
      <c r="G28" s="3"/>
      <c r="H28" s="3"/>
      <c r="I28" s="3"/>
      <c r="J28" s="4"/>
      <c r="K28" s="4"/>
      <c r="L28" s="4"/>
      <c r="M28" s="4"/>
      <c r="N28" s="4"/>
      <c r="O28" s="4"/>
    </row>
    <row r="29" spans="1:15">
      <c r="A29" s="13">
        <v>24</v>
      </c>
      <c r="B29" s="1" t="s">
        <v>170</v>
      </c>
      <c r="C29" s="1" t="s">
        <v>189</v>
      </c>
      <c r="D29" s="1" t="s">
        <v>181</v>
      </c>
      <c r="E29" s="9" t="s">
        <v>190</v>
      </c>
      <c r="F29" s="4" t="str">
        <f t="shared" si="0"/>
        <v>https://merchant.grab.com/vn-vn/blog</v>
      </c>
      <c r="G29" s="3"/>
      <c r="H29" s="3"/>
      <c r="I29" s="3"/>
      <c r="J29" s="4"/>
      <c r="K29" s="4"/>
      <c r="L29" s="4"/>
      <c r="M29" s="4"/>
      <c r="N29" s="4"/>
      <c r="O29" s="4"/>
    </row>
    <row r="30" spans="1:15">
      <c r="A30" s="13">
        <v>25</v>
      </c>
      <c r="B30" s="1" t="s">
        <v>170</v>
      </c>
      <c r="C30" s="1" t="s">
        <v>191</v>
      </c>
      <c r="D30" s="1" t="s">
        <v>181</v>
      </c>
      <c r="E30" s="9" t="s">
        <v>192</v>
      </c>
      <c r="F30" s="4" t="str">
        <f t="shared" si="0"/>
        <v>https://www.grab.com/vn/blog/</v>
      </c>
      <c r="G30" s="3"/>
      <c r="H30" s="3"/>
      <c r="I30" s="3"/>
      <c r="J30" s="4"/>
      <c r="K30" s="4"/>
      <c r="L30" s="4"/>
      <c r="M30" s="4"/>
      <c r="N30" s="4"/>
      <c r="O30" s="4"/>
    </row>
    <row r="31" spans="1:15" ht="29.1">
      <c r="A31" s="13">
        <v>26</v>
      </c>
      <c r="B31" s="1" t="s">
        <v>84</v>
      </c>
      <c r="C31" s="1" t="s">
        <v>193</v>
      </c>
      <c r="D31" s="1" t="s">
        <v>139</v>
      </c>
      <c r="E31" s="35" t="s">
        <v>194</v>
      </c>
      <c r="F31" s="4" t="str">
        <f t="shared" si="0"/>
        <v>https://www.techinasia.com/category/consumer-tech</v>
      </c>
      <c r="G31" s="3"/>
      <c r="H31" s="3"/>
      <c r="J31" s="4"/>
      <c r="K31" s="4"/>
      <c r="L31" s="4"/>
      <c r="M31" s="4"/>
      <c r="N31" s="4"/>
      <c r="O31" s="4"/>
    </row>
    <row r="32" spans="1:15" ht="29.1">
      <c r="A32" s="13">
        <v>27</v>
      </c>
      <c r="B32" s="1" t="s">
        <v>84</v>
      </c>
      <c r="C32" s="1" t="s">
        <v>193</v>
      </c>
      <c r="D32" s="1" t="s">
        <v>195</v>
      </c>
      <c r="E32" s="9" t="s">
        <v>196</v>
      </c>
      <c r="F32" s="4" t="str">
        <f t="shared" si="0"/>
        <v>https://www.techinasia.com/category/e-commerce-social-commerce</v>
      </c>
      <c r="J32" s="4"/>
      <c r="K32" s="4"/>
      <c r="L32" s="4"/>
      <c r="M32" s="4"/>
      <c r="N32" s="4"/>
      <c r="O32" s="4"/>
    </row>
    <row r="33" spans="1:15">
      <c r="A33" s="13">
        <v>28</v>
      </c>
      <c r="B33" s="1" t="s">
        <v>84</v>
      </c>
      <c r="C33" s="1" t="s">
        <v>197</v>
      </c>
      <c r="D33" s="1" t="s">
        <v>198</v>
      </c>
      <c r="E33" s="9" t="s">
        <v>199</v>
      </c>
      <c r="F33" s="4" t="str">
        <f t="shared" si="0"/>
        <v>https://www.scmp.com/tech</v>
      </c>
      <c r="J33" s="4"/>
      <c r="K33" s="4"/>
      <c r="L33" s="4"/>
      <c r="M33" s="4"/>
      <c r="N33" s="4"/>
      <c r="O33" s="4"/>
    </row>
    <row r="34" spans="1:15" ht="43.5">
      <c r="A34" s="13">
        <v>29</v>
      </c>
      <c r="B34" s="1" t="s">
        <v>84</v>
      </c>
      <c r="C34" s="1" t="s">
        <v>131</v>
      </c>
      <c r="D34" s="1" t="s">
        <v>200</v>
      </c>
      <c r="E34" s="9" t="s">
        <v>201</v>
      </c>
      <c r="F34" s="4" t="str">
        <f>K34&amp;"fromdate/"&amp;N34&amp;"/todate/"&amp;O34&amp;"/allcate/1006219"</f>
        <v>https://vnexpress.net/category/day/cateid/1003159/fromdate/1777680000/todate/1778198400/allcate/1006219</v>
      </c>
      <c r="J34" s="4"/>
      <c r="K34" s="269" t="s">
        <v>202</v>
      </c>
      <c r="L34" s="271">
        <f>B1</f>
        <v>46144</v>
      </c>
      <c r="M34" s="270">
        <f>L34+6</f>
        <v>46150</v>
      </c>
      <c r="N34" s="272">
        <f>(L34-DATE(1970,1,1))*86400</f>
        <v>1777680000</v>
      </c>
      <c r="O34" s="272">
        <f>(M34-DATE(1970,1,1))*86400</f>
        <v>1778198400</v>
      </c>
    </row>
    <row r="35" spans="1:15">
      <c r="A35" s="13"/>
      <c r="E35" s="9"/>
      <c r="J35" s="4"/>
      <c r="K35" s="9"/>
      <c r="L35" s="5"/>
      <c r="M35" s="2"/>
      <c r="N35" s="6"/>
      <c r="O35" s="6"/>
    </row>
    <row r="36" spans="1:15" s="39" customFormat="1">
      <c r="F36" s="40"/>
      <c r="G36" s="40"/>
      <c r="H36" s="40"/>
      <c r="I36" s="40"/>
    </row>
    <row r="37" spans="1:15" ht="43.5">
      <c r="A37" s="13"/>
      <c r="B37" s="1" t="s">
        <v>84</v>
      </c>
      <c r="C37" s="1" t="s">
        <v>203</v>
      </c>
      <c r="E37" s="10" t="s">
        <v>99</v>
      </c>
      <c r="F37" s="4" t="str">
        <f t="shared" ref="F37:F42" si="1">_xlfn.TEXTJOIN("-",TRUE,K37&amp;M37,N37,O37)&amp;".htm"</f>
        <v>https://baotintuc.vn/thi-truong-tien-te-587ct128/d3-5-2026.htm</v>
      </c>
      <c r="G37" s="4" t="s">
        <v>100</v>
      </c>
      <c r="H37" s="4" t="s">
        <v>101</v>
      </c>
      <c r="I37" s="3" t="s">
        <v>204</v>
      </c>
      <c r="K37" s="9" t="s">
        <v>103</v>
      </c>
      <c r="L37" s="2">
        <f>B1+1</f>
        <v>46145</v>
      </c>
      <c r="M37" s="1">
        <f t="shared" ref="M37:M42" si="2">DAY(L37)</f>
        <v>3</v>
      </c>
      <c r="N37" s="1">
        <f t="shared" ref="N37:N42" si="3">MONTH(L37)</f>
        <v>5</v>
      </c>
      <c r="O37" s="1">
        <f t="shared" ref="O37:O42" si="4">YEAR(L37)</f>
        <v>2026</v>
      </c>
    </row>
    <row r="38" spans="1:15" ht="43.5">
      <c r="A38" s="13"/>
      <c r="B38" s="1" t="s">
        <v>84</v>
      </c>
      <c r="C38" s="1" t="s">
        <v>203</v>
      </c>
      <c r="E38" s="10" t="s">
        <v>99</v>
      </c>
      <c r="F38" s="4" t="str">
        <f t="shared" si="1"/>
        <v>https://baotintuc.vn/thi-truong-tien-te-587ct128/d4-5-2026.htm</v>
      </c>
      <c r="G38" s="4" t="s">
        <v>100</v>
      </c>
      <c r="H38" s="4" t="s">
        <v>101</v>
      </c>
      <c r="I38" s="3" t="s">
        <v>204</v>
      </c>
      <c r="K38" s="9" t="s">
        <v>103</v>
      </c>
      <c r="L38" s="2">
        <f>L37+1</f>
        <v>46146</v>
      </c>
      <c r="M38" s="1">
        <f t="shared" si="2"/>
        <v>4</v>
      </c>
      <c r="N38" s="1">
        <f t="shared" si="3"/>
        <v>5</v>
      </c>
      <c r="O38" s="1">
        <f t="shared" si="4"/>
        <v>2026</v>
      </c>
    </row>
    <row r="39" spans="1:15" ht="43.5">
      <c r="A39" s="13"/>
      <c r="B39" s="1" t="s">
        <v>84</v>
      </c>
      <c r="C39" s="1" t="s">
        <v>203</v>
      </c>
      <c r="E39" s="10" t="s">
        <v>99</v>
      </c>
      <c r="F39" s="4" t="str">
        <f t="shared" si="1"/>
        <v>https://baotintuc.vn/thi-truong-tien-te-587ct128/d5-5-2026.htm</v>
      </c>
      <c r="G39" s="4" t="s">
        <v>100</v>
      </c>
      <c r="H39" s="4" t="s">
        <v>101</v>
      </c>
      <c r="I39" s="3" t="s">
        <v>204</v>
      </c>
      <c r="K39" s="9" t="s">
        <v>103</v>
      </c>
      <c r="L39" s="2">
        <f>L38+1</f>
        <v>46147</v>
      </c>
      <c r="M39" s="1">
        <f t="shared" si="2"/>
        <v>5</v>
      </c>
      <c r="N39" s="1">
        <f t="shared" si="3"/>
        <v>5</v>
      </c>
      <c r="O39" s="1">
        <f t="shared" si="4"/>
        <v>2026</v>
      </c>
    </row>
    <row r="40" spans="1:15" ht="43.5">
      <c r="A40" s="13"/>
      <c r="B40" s="1" t="s">
        <v>84</v>
      </c>
      <c r="C40" s="1" t="s">
        <v>203</v>
      </c>
      <c r="E40" s="10" t="s">
        <v>99</v>
      </c>
      <c r="F40" s="4" t="str">
        <f t="shared" si="1"/>
        <v>https://baotintuc.vn/thi-truong-tien-te-587ct128/d6-5-2026.htm</v>
      </c>
      <c r="G40" s="4" t="s">
        <v>100</v>
      </c>
      <c r="H40" s="4" t="s">
        <v>101</v>
      </c>
      <c r="I40" s="3" t="s">
        <v>204</v>
      </c>
      <c r="K40" s="9" t="s">
        <v>103</v>
      </c>
      <c r="L40" s="2">
        <f>L39+1</f>
        <v>46148</v>
      </c>
      <c r="M40" s="1">
        <f t="shared" si="2"/>
        <v>6</v>
      </c>
      <c r="N40" s="1">
        <f t="shared" si="3"/>
        <v>5</v>
      </c>
      <c r="O40" s="1">
        <f t="shared" si="4"/>
        <v>2026</v>
      </c>
    </row>
    <row r="41" spans="1:15" ht="43.5">
      <c r="A41" s="13"/>
      <c r="B41" s="1" t="s">
        <v>84</v>
      </c>
      <c r="C41" s="1" t="s">
        <v>203</v>
      </c>
      <c r="E41" s="10" t="s">
        <v>99</v>
      </c>
      <c r="F41" s="4" t="str">
        <f t="shared" si="1"/>
        <v>https://baotintuc.vn/thi-truong-tien-te-587ct128/d7-5-2026.htm</v>
      </c>
      <c r="G41" s="4" t="s">
        <v>100</v>
      </c>
      <c r="H41" s="4" t="s">
        <v>101</v>
      </c>
      <c r="I41" s="3" t="s">
        <v>204</v>
      </c>
      <c r="K41" s="9" t="s">
        <v>103</v>
      </c>
      <c r="L41" s="2">
        <f>L40+1</f>
        <v>46149</v>
      </c>
      <c r="M41" s="1">
        <f t="shared" si="2"/>
        <v>7</v>
      </c>
      <c r="N41" s="1">
        <f t="shared" si="3"/>
        <v>5</v>
      </c>
      <c r="O41" s="1">
        <f t="shared" si="4"/>
        <v>2026</v>
      </c>
    </row>
    <row r="42" spans="1:15" ht="43.5">
      <c r="A42" s="13"/>
      <c r="B42" s="1" t="s">
        <v>84</v>
      </c>
      <c r="C42" s="1" t="s">
        <v>203</v>
      </c>
      <c r="E42" s="10" t="s">
        <v>99</v>
      </c>
      <c r="F42" s="4" t="str">
        <f t="shared" si="1"/>
        <v>https://baotintuc.vn/thi-truong-tien-te-587ct128/d8-5-2026.htm</v>
      </c>
      <c r="G42" s="4" t="s">
        <v>100</v>
      </c>
      <c r="H42" s="4" t="s">
        <v>101</v>
      </c>
      <c r="I42" s="3" t="s">
        <v>204</v>
      </c>
      <c r="K42" s="9" t="s">
        <v>103</v>
      </c>
      <c r="L42" s="2">
        <f>L41+1</f>
        <v>46150</v>
      </c>
      <c r="M42" s="1">
        <f t="shared" si="2"/>
        <v>8</v>
      </c>
      <c r="N42" s="1">
        <f t="shared" si="3"/>
        <v>5</v>
      </c>
      <c r="O42" s="1">
        <f t="shared" si="4"/>
        <v>2026</v>
      </c>
    </row>
    <row r="43" spans="1:15" ht="57.95">
      <c r="A43" s="13"/>
      <c r="B43" s="1" t="s">
        <v>84</v>
      </c>
      <c r="C43" s="1" t="s">
        <v>85</v>
      </c>
      <c r="E43" s="9" t="s">
        <v>87</v>
      </c>
      <c r="F43" s="4" t="str">
        <f t="shared" ref="F43:F54" si="5">_xlfn.TEXTJOIN("-",TRUE,K43&amp;M43,N43,O43)&amp;".chn"</f>
        <v>https://genk.vn/ai/3-5-2026.chn</v>
      </c>
      <c r="G43" s="3" t="s">
        <v>88</v>
      </c>
      <c r="H43" s="4" t="s">
        <v>89</v>
      </c>
      <c r="I43" s="3" t="s">
        <v>90</v>
      </c>
      <c r="K43" s="9" t="s">
        <v>92</v>
      </c>
      <c r="L43" s="2">
        <f>B1+1</f>
        <v>46145</v>
      </c>
      <c r="M43" s="1">
        <f t="shared" ref="M43:M54" si="6">DAY(L43)</f>
        <v>3</v>
      </c>
      <c r="N43" s="1">
        <f t="shared" ref="N43:N54" si="7">MONTH(L43)</f>
        <v>5</v>
      </c>
      <c r="O43" s="1">
        <f t="shared" ref="O43:O54" si="8">YEAR(L43)</f>
        <v>2026</v>
      </c>
    </row>
    <row r="44" spans="1:15">
      <c r="B44" s="1" t="s">
        <v>84</v>
      </c>
      <c r="C44" s="1" t="s">
        <v>85</v>
      </c>
      <c r="E44" s="9" t="s">
        <v>87</v>
      </c>
      <c r="F44" s="4" t="str">
        <f t="shared" si="5"/>
        <v>https://genk.vn/ai/4-5-2026.chn</v>
      </c>
      <c r="K44" s="9" t="s">
        <v>92</v>
      </c>
      <c r="L44" s="2">
        <f>L43+1</f>
        <v>46146</v>
      </c>
      <c r="M44" s="1">
        <f t="shared" si="6"/>
        <v>4</v>
      </c>
      <c r="N44" s="1">
        <f t="shared" si="7"/>
        <v>5</v>
      </c>
      <c r="O44" s="1">
        <f t="shared" si="8"/>
        <v>2026</v>
      </c>
    </row>
    <row r="45" spans="1:15">
      <c r="B45" s="1" t="s">
        <v>84</v>
      </c>
      <c r="C45" s="1" t="s">
        <v>85</v>
      </c>
      <c r="E45" s="9" t="s">
        <v>87</v>
      </c>
      <c r="F45" s="4" t="str">
        <f t="shared" si="5"/>
        <v>https://genk.vn/ai/5-5-2026.chn</v>
      </c>
      <c r="K45" s="9" t="s">
        <v>92</v>
      </c>
      <c r="L45" s="2">
        <f>L44+1</f>
        <v>46147</v>
      </c>
      <c r="M45" s="1">
        <f t="shared" si="6"/>
        <v>5</v>
      </c>
      <c r="N45" s="1">
        <f t="shared" si="7"/>
        <v>5</v>
      </c>
      <c r="O45" s="1">
        <f t="shared" si="8"/>
        <v>2026</v>
      </c>
    </row>
    <row r="46" spans="1:15">
      <c r="B46" s="1" t="s">
        <v>84</v>
      </c>
      <c r="C46" s="1" t="s">
        <v>85</v>
      </c>
      <c r="E46" s="9" t="s">
        <v>87</v>
      </c>
      <c r="F46" s="4" t="str">
        <f t="shared" si="5"/>
        <v>https://genk.vn/ai/6-5-2026.chn</v>
      </c>
      <c r="K46" s="9" t="s">
        <v>92</v>
      </c>
      <c r="L46" s="2">
        <f>L45+1</f>
        <v>46148</v>
      </c>
      <c r="M46" s="1">
        <f t="shared" si="6"/>
        <v>6</v>
      </c>
      <c r="N46" s="1">
        <f t="shared" si="7"/>
        <v>5</v>
      </c>
      <c r="O46" s="1">
        <f t="shared" si="8"/>
        <v>2026</v>
      </c>
    </row>
    <row r="47" spans="1:15">
      <c r="B47" s="1" t="s">
        <v>84</v>
      </c>
      <c r="C47" s="1" t="s">
        <v>85</v>
      </c>
      <c r="E47" s="9" t="s">
        <v>87</v>
      </c>
      <c r="F47" s="4" t="str">
        <f t="shared" si="5"/>
        <v>https://genk.vn/ai/7-5-2026.chn</v>
      </c>
      <c r="K47" s="9" t="s">
        <v>92</v>
      </c>
      <c r="L47" s="2">
        <f>L46+1</f>
        <v>46149</v>
      </c>
      <c r="M47" s="1">
        <f t="shared" si="6"/>
        <v>7</v>
      </c>
      <c r="N47" s="1">
        <f t="shared" si="7"/>
        <v>5</v>
      </c>
      <c r="O47" s="1">
        <f t="shared" si="8"/>
        <v>2026</v>
      </c>
    </row>
    <row r="48" spans="1:15">
      <c r="B48" s="1" t="s">
        <v>84</v>
      </c>
      <c r="C48" s="1" t="s">
        <v>85</v>
      </c>
      <c r="E48" s="9" t="s">
        <v>87</v>
      </c>
      <c r="F48" s="4" t="str">
        <f t="shared" si="5"/>
        <v>https://genk.vn/ai/8-5-2026.chn</v>
      </c>
      <c r="K48" s="9" t="s">
        <v>92</v>
      </c>
      <c r="L48" s="2">
        <f>L47+1</f>
        <v>46150</v>
      </c>
      <c r="M48" s="1">
        <f t="shared" si="6"/>
        <v>8</v>
      </c>
      <c r="N48" s="1">
        <f t="shared" si="7"/>
        <v>5</v>
      </c>
      <c r="O48" s="1">
        <f t="shared" si="8"/>
        <v>2026</v>
      </c>
    </row>
    <row r="49" spans="2:15">
      <c r="B49" s="1" t="s">
        <v>84</v>
      </c>
      <c r="C49" s="1" t="s">
        <v>85</v>
      </c>
      <c r="E49" s="9" t="s">
        <v>94</v>
      </c>
      <c r="F49" s="4" t="str">
        <f t="shared" si="5"/>
        <v>https://genk.vn/tin-ict/3-5-2026.chn</v>
      </c>
      <c r="K49" s="9" t="s">
        <v>96</v>
      </c>
      <c r="L49" s="2">
        <f>B1+1</f>
        <v>46145</v>
      </c>
      <c r="M49" s="1">
        <f t="shared" si="6"/>
        <v>3</v>
      </c>
      <c r="N49" s="1">
        <f t="shared" si="7"/>
        <v>5</v>
      </c>
      <c r="O49" s="1">
        <f t="shared" si="8"/>
        <v>2026</v>
      </c>
    </row>
    <row r="50" spans="2:15">
      <c r="B50" s="1" t="s">
        <v>84</v>
      </c>
      <c r="C50" s="1" t="s">
        <v>85</v>
      </c>
      <c r="E50" s="9" t="s">
        <v>94</v>
      </c>
      <c r="F50" s="4" t="str">
        <f t="shared" si="5"/>
        <v>https://genk.vn/tin-ict/4-5-2026.chn</v>
      </c>
      <c r="K50" s="9" t="s">
        <v>96</v>
      </c>
      <c r="L50" s="2">
        <f>L49+1</f>
        <v>46146</v>
      </c>
      <c r="M50" s="1">
        <f t="shared" si="6"/>
        <v>4</v>
      </c>
      <c r="N50" s="1">
        <f t="shared" si="7"/>
        <v>5</v>
      </c>
      <c r="O50" s="1">
        <f t="shared" si="8"/>
        <v>2026</v>
      </c>
    </row>
    <row r="51" spans="2:15">
      <c r="B51" s="1" t="s">
        <v>84</v>
      </c>
      <c r="C51" s="1" t="s">
        <v>85</v>
      </c>
      <c r="E51" s="9" t="s">
        <v>94</v>
      </c>
      <c r="F51" s="4" t="str">
        <f t="shared" si="5"/>
        <v>https://genk.vn/tin-ict/5-5-2026.chn</v>
      </c>
      <c r="K51" s="9" t="s">
        <v>96</v>
      </c>
      <c r="L51" s="2">
        <f>L50+1</f>
        <v>46147</v>
      </c>
      <c r="M51" s="1">
        <f t="shared" si="6"/>
        <v>5</v>
      </c>
      <c r="N51" s="1">
        <f t="shared" si="7"/>
        <v>5</v>
      </c>
      <c r="O51" s="1">
        <f t="shared" si="8"/>
        <v>2026</v>
      </c>
    </row>
    <row r="52" spans="2:15">
      <c r="B52" s="1" t="s">
        <v>84</v>
      </c>
      <c r="C52" s="1" t="s">
        <v>85</v>
      </c>
      <c r="E52" s="9" t="s">
        <v>94</v>
      </c>
      <c r="F52" s="4" t="str">
        <f t="shared" si="5"/>
        <v>https://genk.vn/tin-ict/6-5-2026.chn</v>
      </c>
      <c r="K52" s="9" t="s">
        <v>96</v>
      </c>
      <c r="L52" s="2">
        <f>L51+1</f>
        <v>46148</v>
      </c>
      <c r="M52" s="1">
        <f t="shared" si="6"/>
        <v>6</v>
      </c>
      <c r="N52" s="1">
        <f t="shared" si="7"/>
        <v>5</v>
      </c>
      <c r="O52" s="1">
        <f t="shared" si="8"/>
        <v>2026</v>
      </c>
    </row>
    <row r="53" spans="2:15">
      <c r="B53" s="1" t="s">
        <v>84</v>
      </c>
      <c r="C53" s="1" t="s">
        <v>85</v>
      </c>
      <c r="E53" s="9" t="s">
        <v>94</v>
      </c>
      <c r="F53" s="4" t="str">
        <f t="shared" si="5"/>
        <v>https://genk.vn/tin-ict/7-5-2026.chn</v>
      </c>
      <c r="K53" s="9" t="s">
        <v>96</v>
      </c>
      <c r="L53" s="2">
        <f>L52+1</f>
        <v>46149</v>
      </c>
      <c r="M53" s="1">
        <f t="shared" si="6"/>
        <v>7</v>
      </c>
      <c r="N53" s="1">
        <f t="shared" si="7"/>
        <v>5</v>
      </c>
      <c r="O53" s="1">
        <f t="shared" si="8"/>
        <v>2026</v>
      </c>
    </row>
    <row r="54" spans="2:15">
      <c r="B54" s="1" t="s">
        <v>84</v>
      </c>
      <c r="C54" s="1" t="s">
        <v>85</v>
      </c>
      <c r="E54" s="9" t="s">
        <v>94</v>
      </c>
      <c r="F54" s="4" t="str">
        <f t="shared" si="5"/>
        <v>https://genk.vn/tin-ict/8-5-2026.chn</v>
      </c>
      <c r="K54" s="9" t="s">
        <v>96</v>
      </c>
      <c r="L54" s="2">
        <f>L53+1</f>
        <v>46150</v>
      </c>
      <c r="M54" s="1">
        <f t="shared" si="6"/>
        <v>8</v>
      </c>
      <c r="N54" s="1">
        <f t="shared" si="7"/>
        <v>5</v>
      </c>
      <c r="O54" s="1">
        <f t="shared" si="8"/>
        <v>2026</v>
      </c>
    </row>
  </sheetData>
  <phoneticPr fontId="2" type="noConversion"/>
  <hyperlinks>
    <hyperlink ref="E6" r:id="rId1" xr:uid="{AC600955-4F34-4943-88DF-B09E7A38D509}"/>
    <hyperlink ref="E7" r:id="rId2" xr:uid="{FF2BE486-3032-4271-891B-74883E98A07E}"/>
    <hyperlink ref="E9" r:id="rId3" xr:uid="{DF63C4E6-3B63-4099-8284-7CC82836F947}"/>
    <hyperlink ref="E10" r:id="rId4" xr:uid="{C8EF7A32-960B-492B-903C-52B88D790D9B}"/>
    <hyperlink ref="E11" r:id="rId5" xr:uid="{0E090512-3C3E-44C0-9682-055EF903331A}"/>
    <hyperlink ref="K37" r:id="rId6" xr:uid="{2B19A09D-C0B8-4DBD-B25E-2A59F5BACC48}"/>
    <hyperlink ref="K38" r:id="rId7" xr:uid="{83CA308D-05D0-4261-88BA-0EBE1482C137}"/>
    <hyperlink ref="K40" r:id="rId8" xr:uid="{CECA7625-F855-4B3C-A2A7-9020187AD3B0}"/>
    <hyperlink ref="K42" r:id="rId9" xr:uid="{204EDFA2-6B32-4F4D-8B43-B9E255D8B888}"/>
    <hyperlink ref="K39" r:id="rId10" xr:uid="{C9CAAECE-1184-4783-96F2-09DBFB04BCCA}"/>
    <hyperlink ref="K41" r:id="rId11" xr:uid="{ADC65D32-889F-4DE7-8D6F-FE3335E51BFF}"/>
    <hyperlink ref="E21" r:id="rId12" xr:uid="{DAE6DB1B-E43A-4F97-9C08-5778F6022A5B}"/>
    <hyperlink ref="E22" r:id="rId13" xr:uid="{839E42D7-62D4-42B0-9949-FB788ACB9BA2}"/>
    <hyperlink ref="E24" r:id="rId14" xr:uid="{1E3376C0-B1BC-408F-A293-DF641F0951F0}"/>
    <hyperlink ref="E18" r:id="rId15" xr:uid="{4DAD2C41-3E5F-4B77-916C-F9A8EAF3B74A}"/>
    <hyperlink ref="K18" r:id="rId16" xr:uid="{98C94997-F126-43CA-B085-9CC2CBD28034}"/>
    <hyperlink ref="E19" r:id="rId17" xr:uid="{96E9F916-9971-4429-980D-6627F5C83BA0}"/>
    <hyperlink ref="E20" r:id="rId18" xr:uid="{C6F6A21B-4907-4D19-A73A-E17F698B1C66}"/>
    <hyperlink ref="K12" r:id="rId19" xr:uid="{44FED905-EEDD-485E-BC61-7F742F7D2B15}"/>
    <hyperlink ref="E13" r:id="rId20" xr:uid="{72E335E1-31F7-4087-B764-BEE8FD21CAC9}"/>
    <hyperlink ref="K13" r:id="rId21" xr:uid="{1D024552-C37D-42BF-BA36-344A07D1741F}"/>
    <hyperlink ref="E37" r:id="rId22" xr:uid="{249B9904-9D5B-4800-A753-80B48919F8BC}"/>
    <hyperlink ref="K14" r:id="rId23" xr:uid="{6531CDFC-A17A-4E57-9585-0310ADF3BC46}"/>
    <hyperlink ref="E38" r:id="rId24" xr:uid="{66C6AC84-4E8E-4F29-A6E0-B8A75C301D94}"/>
    <hyperlink ref="E39" r:id="rId25" xr:uid="{E33728DE-D7A2-4C86-ABCC-D72A4BA58C77}"/>
    <hyperlink ref="E41" r:id="rId26" xr:uid="{CD888924-546F-41BB-95FD-EFCAD216AD19}"/>
    <hyperlink ref="E40" r:id="rId27" xr:uid="{EAB00E18-C7F5-4ABB-BC4B-2F58C114D61C}"/>
    <hyperlink ref="E42" r:id="rId28" xr:uid="{F24A47D6-70B2-4858-876E-60036CB9202E}"/>
    <hyperlink ref="K6" r:id="rId29" xr:uid="{2D799207-8C0E-4641-B354-66ACB8110C40}"/>
    <hyperlink ref="K7" r:id="rId30" xr:uid="{E9A69F41-8D36-461B-8FD4-F2F08E6DB65D}"/>
    <hyperlink ref="K8" r:id="rId31" xr:uid="{CBAEF553-C40A-4808-B2FC-D17F7E617EB1}"/>
    <hyperlink ref="E8" r:id="rId32" xr:uid="{CDCC1FF1-F025-499D-891B-1AAC80174D31}"/>
    <hyperlink ref="E43" r:id="rId33" xr:uid="{E499DD58-381C-4E40-8B4B-DFB71D0173A2}"/>
    <hyperlink ref="K43" r:id="rId34" xr:uid="{DCE2307E-2EC6-4DB6-B1C3-32B48FAE6CEB}"/>
    <hyperlink ref="E44" r:id="rId35" xr:uid="{B5E1F14D-1459-4809-B872-CEE8FBD88ECE}"/>
    <hyperlink ref="E45" r:id="rId36" xr:uid="{87995B66-1DAE-4698-B124-170546225144}"/>
    <hyperlink ref="E46" r:id="rId37" xr:uid="{935CD6E8-8156-4612-90E6-4FA385A9ABF9}"/>
    <hyperlink ref="E47" r:id="rId38" xr:uid="{B3AF90BA-D1BC-4E3D-895C-7A16F5399C3C}"/>
    <hyperlink ref="E48" r:id="rId39" xr:uid="{F97AD2D5-B57E-4E38-83D4-67320146BEE8}"/>
    <hyperlink ref="K44" r:id="rId40" xr:uid="{ACE17D7A-A1BE-4B96-B56A-79C7DC369BE6}"/>
    <hyperlink ref="K45" r:id="rId41" xr:uid="{6EDE87D6-2589-49FD-86BF-DFCAE625665C}"/>
    <hyperlink ref="K46" r:id="rId42" xr:uid="{EE12CED5-A2CC-4A2B-83A8-AF73AFD9946D}"/>
    <hyperlink ref="K47" r:id="rId43" xr:uid="{3C1288C1-9D9D-4E41-8751-9591B5BB0A46}"/>
    <hyperlink ref="K48" r:id="rId44" xr:uid="{5D3EEBA6-C8FF-4633-A721-1AF6213E9678}"/>
    <hyperlink ref="E49" r:id="rId45" xr:uid="{A0DBC67B-1F88-4D45-AC7C-AFA82ABE641B}"/>
    <hyperlink ref="K49" r:id="rId46" xr:uid="{A627B234-730D-4C6D-BED7-33956088846A}"/>
    <hyperlink ref="E50" r:id="rId47" xr:uid="{91E61815-FDC1-4DC4-AF78-0A2CAAE36739}"/>
    <hyperlink ref="E51" r:id="rId48" xr:uid="{9D00A933-73A8-4B31-8FAA-82EAF622AE90}"/>
    <hyperlink ref="E52" r:id="rId49" xr:uid="{059E6F5D-7ADA-4821-B7B2-CF96BECBDAEB}"/>
    <hyperlink ref="E53" r:id="rId50" xr:uid="{04B3FE05-FD92-4023-8791-C1AD55225AF0}"/>
    <hyperlink ref="E54" r:id="rId51" xr:uid="{9C54B73D-D53A-4F31-B12C-4221F3E2B869}"/>
    <hyperlink ref="K50" r:id="rId52" xr:uid="{34FB00A8-A06F-4779-BBD9-BFC7312EA6BD}"/>
    <hyperlink ref="K51" r:id="rId53" xr:uid="{C93D759F-BE65-49C1-969C-497D0A45CB7D}"/>
    <hyperlink ref="K52" r:id="rId54" xr:uid="{AA1AEE02-739B-4DA3-907A-216CE0BCEA2D}"/>
    <hyperlink ref="K53" r:id="rId55" xr:uid="{C7402701-F8F1-4DAF-8340-230C6EB8A0FD}"/>
    <hyperlink ref="K54" r:id="rId56" xr:uid="{6436EDC1-1249-447A-81D0-24AD32E21CC6}"/>
    <hyperlink ref="E15" r:id="rId57" xr:uid="{6EB8CD83-5FB3-42BD-877F-44DF9B747FF9}"/>
    <hyperlink ref="E16" r:id="rId58" xr:uid="{D964FDA0-115B-4811-B0B7-7C789F1C13F4}"/>
    <hyperlink ref="E17" r:id="rId59" xr:uid="{AE68D5FD-9B79-480B-8760-6F49866F4167}"/>
    <hyperlink ref="E31" r:id="rId60" xr:uid="{8F94EDAB-FBE4-4CBD-8E27-D9414AD54645}"/>
    <hyperlink ref="E32" r:id="rId61" xr:uid="{F6B8B41A-CFD2-4458-8150-858FF0DB3D71}"/>
    <hyperlink ref="E33" r:id="rId62" xr:uid="{BA2C02EE-751F-4C4C-BACF-3578921007F2}"/>
    <hyperlink ref="K34" r:id="rId63" xr:uid="{F0B5D884-D865-4733-9D8B-D70BABF39938}"/>
    <hyperlink ref="E25" r:id="rId64" xr:uid="{7464BDC7-BE0F-4B5C-B957-42DBDEFEFACD}"/>
    <hyperlink ref="E26" r:id="rId65" xr:uid="{41AC9A87-1209-4AD3-860D-ED272D83A898}"/>
    <hyperlink ref="E23" r:id="rId66" xr:uid="{D7BA91D0-EFDA-4138-AAB0-1E7850379A8E}"/>
    <hyperlink ref="E28" r:id="rId67" xr:uid="{76093933-96D0-4704-8D72-ACA02F166BC3}"/>
    <hyperlink ref="E29" r:id="rId68" xr:uid="{5D0818E3-0EA7-44EF-A82E-781AAB7DD8E1}"/>
    <hyperlink ref="E30" r:id="rId69" xr:uid="{7F435A63-7A8F-4013-8C7B-EEA1BC17EAC2}"/>
    <hyperlink ref="E27" r:id="rId70" xr:uid="{CA122BE7-93FF-4059-A0CF-17867F5D6749}"/>
    <hyperlink ref="E12" r:id="rId71" xr:uid="{77403A74-A7BC-43FB-8016-4881A7453451}"/>
    <hyperlink ref="E14" r:id="rId72" xr:uid="{403AD4E7-312A-4935-AAA6-0C77794D0E16}"/>
    <hyperlink ref="E34" r:id="rId73" xr:uid="{76DDF0F9-AEE2-4399-B074-0E140E8F3426}"/>
  </hyperlinks>
  <pageMargins left="0.7" right="0.7" top="0.75" bottom="0.75" header="0.3" footer="0.3"/>
  <pageSetup orientation="portrait" r:id="rId74"/>
  <ignoredErrors>
    <ignoredError sqref="F7:F8 F10:F13" calculatedColumn="1"/>
  </ignoredErrors>
  <tableParts count="1">
    <tablePart r:id="rId7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1003-D688-4AB6-9046-D2862D335651}">
  <dimension ref="A1:E38"/>
  <sheetViews>
    <sheetView topLeftCell="A10" zoomScale="85" zoomScaleNormal="85" workbookViewId="0">
      <selection activeCell="E26" sqref="E26"/>
    </sheetView>
  </sheetViews>
  <sheetFormatPr defaultRowHeight="14.45"/>
  <cols>
    <col min="1" max="1" width="11.28515625" customWidth="1"/>
    <col min="2" max="2" width="14.140625" customWidth="1"/>
    <col min="3" max="3" width="16.42578125" bestFit="1" customWidth="1"/>
    <col min="4" max="4" width="21" customWidth="1"/>
    <col min="5" max="5" width="113.5703125" bestFit="1" customWidth="1"/>
  </cols>
  <sheetData>
    <row r="1" spans="1:5">
      <c r="A1" s="274" t="s">
        <v>69</v>
      </c>
      <c r="B1" s="275">
        <v>46130</v>
      </c>
      <c r="C1" s="274"/>
    </row>
    <row r="2" spans="1:5">
      <c r="A2" s="274" t="s">
        <v>70</v>
      </c>
      <c r="B2" s="275">
        <v>46136</v>
      </c>
      <c r="C2" s="274">
        <v>17</v>
      </c>
    </row>
    <row r="4" spans="1:5">
      <c r="A4" s="277" t="s">
        <v>71</v>
      </c>
      <c r="B4" s="278" t="s">
        <v>205</v>
      </c>
      <c r="C4" s="278" t="s">
        <v>37</v>
      </c>
      <c r="D4" s="278" t="s">
        <v>72</v>
      </c>
      <c r="E4" s="279" t="s">
        <v>73</v>
      </c>
    </row>
    <row r="5" spans="1:5">
      <c r="A5" s="276">
        <v>1</v>
      </c>
      <c r="B5" s="17">
        <v>0</v>
      </c>
      <c r="C5" s="273" t="s">
        <v>189</v>
      </c>
      <c r="D5" s="273" t="s">
        <v>181</v>
      </c>
      <c r="E5" s="280" t="s">
        <v>190</v>
      </c>
    </row>
    <row r="6" spans="1:5">
      <c r="A6" s="276">
        <v>2</v>
      </c>
      <c r="B6" s="17">
        <v>0</v>
      </c>
      <c r="C6" s="273" t="s">
        <v>191</v>
      </c>
      <c r="D6" s="273" t="s">
        <v>181</v>
      </c>
      <c r="E6" s="280" t="s">
        <v>192</v>
      </c>
    </row>
    <row r="7" spans="1:5">
      <c r="A7" s="276">
        <v>3</v>
      </c>
      <c r="B7" s="17">
        <v>0</v>
      </c>
      <c r="C7" s="273" t="s">
        <v>191</v>
      </c>
      <c r="D7" s="273" t="s">
        <v>206</v>
      </c>
      <c r="E7" t="s">
        <v>207</v>
      </c>
    </row>
    <row r="8" spans="1:5">
      <c r="A8" s="276">
        <v>4</v>
      </c>
      <c r="B8" s="17">
        <v>0</v>
      </c>
      <c r="C8" s="273" t="s">
        <v>178</v>
      </c>
      <c r="D8" s="273" t="s">
        <v>172</v>
      </c>
      <c r="E8" s="280" t="s">
        <v>179</v>
      </c>
    </row>
    <row r="9" spans="1:5">
      <c r="A9" s="276">
        <v>5</v>
      </c>
      <c r="B9" s="17">
        <v>0</v>
      </c>
      <c r="C9" s="273" t="s">
        <v>185</v>
      </c>
      <c r="D9" s="273" t="s">
        <v>181</v>
      </c>
      <c r="E9" s="280" t="s">
        <v>186</v>
      </c>
    </row>
    <row r="10" spans="1:5">
      <c r="A10" s="276">
        <v>6</v>
      </c>
      <c r="B10" s="17">
        <v>0</v>
      </c>
      <c r="C10" s="273" t="s">
        <v>183</v>
      </c>
      <c r="D10" s="273" t="s">
        <v>181</v>
      </c>
      <c r="E10" s="280" t="s">
        <v>184</v>
      </c>
    </row>
    <row r="11" spans="1:5">
      <c r="A11" s="276">
        <v>7</v>
      </c>
      <c r="B11" s="17">
        <v>0</v>
      </c>
      <c r="C11" s="273" t="s">
        <v>187</v>
      </c>
      <c r="D11" s="273" t="s">
        <v>181</v>
      </c>
      <c r="E11" s="280" t="s">
        <v>188</v>
      </c>
    </row>
    <row r="12" spans="1:5">
      <c r="A12" s="276">
        <v>8</v>
      </c>
      <c r="B12" s="17">
        <v>0</v>
      </c>
      <c r="C12" s="273" t="s">
        <v>180</v>
      </c>
      <c r="D12" s="273" t="s">
        <v>181</v>
      </c>
      <c r="E12" s="280" t="s">
        <v>182</v>
      </c>
    </row>
    <row r="13" spans="1:5">
      <c r="A13" s="276">
        <v>9</v>
      </c>
      <c r="B13" s="17">
        <v>0</v>
      </c>
      <c r="C13" s="273" t="s">
        <v>176</v>
      </c>
      <c r="D13" s="273" t="s">
        <v>172</v>
      </c>
      <c r="E13" s="280" t="s">
        <v>177</v>
      </c>
    </row>
    <row r="14" spans="1:5">
      <c r="A14" s="276">
        <v>10</v>
      </c>
      <c r="B14" s="17">
        <v>0</v>
      </c>
      <c r="C14" s="273" t="s">
        <v>171</v>
      </c>
      <c r="D14" s="273" t="s">
        <v>172</v>
      </c>
      <c r="E14" s="280" t="s">
        <v>173</v>
      </c>
    </row>
    <row r="15" spans="1:5">
      <c r="A15" s="276">
        <v>11</v>
      </c>
      <c r="B15" s="17">
        <v>0</v>
      </c>
      <c r="C15" s="273" t="s">
        <v>171</v>
      </c>
      <c r="D15" s="273" t="s">
        <v>174</v>
      </c>
      <c r="E15" s="280" t="s">
        <v>175</v>
      </c>
    </row>
    <row r="16" spans="1:5">
      <c r="A16" s="276">
        <v>12</v>
      </c>
      <c r="B16" s="17">
        <v>1</v>
      </c>
      <c r="C16" s="273" t="s">
        <v>138</v>
      </c>
      <c r="D16" s="273" t="s">
        <v>139</v>
      </c>
      <c r="E16" s="280" t="s">
        <v>140</v>
      </c>
    </row>
    <row r="17" spans="1:5">
      <c r="A17" s="276">
        <v>13</v>
      </c>
      <c r="B17" s="17">
        <v>1</v>
      </c>
      <c r="C17" s="273" t="s">
        <v>119</v>
      </c>
      <c r="D17" s="273" t="s">
        <v>120</v>
      </c>
      <c r="E17" s="280" t="s">
        <v>121</v>
      </c>
    </row>
    <row r="18" spans="1:5">
      <c r="A18" s="276">
        <v>14</v>
      </c>
      <c r="B18" s="17">
        <v>1</v>
      </c>
      <c r="C18" s="273" t="s">
        <v>119</v>
      </c>
      <c r="D18" s="273" t="s">
        <v>127</v>
      </c>
      <c r="E18" s="280" t="s">
        <v>128</v>
      </c>
    </row>
    <row r="19" spans="1:5">
      <c r="A19" s="276">
        <v>15</v>
      </c>
      <c r="B19" s="17">
        <v>1</v>
      </c>
      <c r="C19" s="273" t="s">
        <v>160</v>
      </c>
      <c r="D19" s="273" t="s">
        <v>161</v>
      </c>
      <c r="E19" s="280" t="s">
        <v>162</v>
      </c>
    </row>
    <row r="20" spans="1:5">
      <c r="A20" s="276">
        <v>16</v>
      </c>
      <c r="B20" s="17">
        <v>1</v>
      </c>
      <c r="C20" s="273" t="s">
        <v>160</v>
      </c>
      <c r="D20" s="273" t="s">
        <v>154</v>
      </c>
      <c r="E20" s="280" t="s">
        <v>166</v>
      </c>
    </row>
    <row r="21" spans="1:5">
      <c r="A21" s="276">
        <v>17</v>
      </c>
      <c r="B21" s="17">
        <v>1</v>
      </c>
      <c r="C21" s="273" t="s">
        <v>208</v>
      </c>
      <c r="D21" s="273" t="s">
        <v>209</v>
      </c>
      <c r="E21" s="280" t="s">
        <v>210</v>
      </c>
    </row>
    <row r="22" spans="1:5">
      <c r="A22" s="276">
        <v>18</v>
      </c>
      <c r="B22" s="17">
        <v>1</v>
      </c>
      <c r="C22" s="273" t="s">
        <v>208</v>
      </c>
      <c r="D22" s="273" t="s">
        <v>211</v>
      </c>
      <c r="E22" s="280" t="s">
        <v>212</v>
      </c>
    </row>
    <row r="23" spans="1:5">
      <c r="A23" s="276">
        <v>19</v>
      </c>
      <c r="B23" s="17">
        <v>1</v>
      </c>
      <c r="C23" s="273" t="s">
        <v>213</v>
      </c>
      <c r="D23" s="273" t="s">
        <v>198</v>
      </c>
      <c r="E23" s="280" t="s">
        <v>214</v>
      </c>
    </row>
    <row r="24" spans="1:5">
      <c r="A24" s="276">
        <v>20</v>
      </c>
      <c r="B24" s="17">
        <v>1</v>
      </c>
      <c r="C24" s="273" t="s">
        <v>197</v>
      </c>
      <c r="D24" s="273" t="s">
        <v>198</v>
      </c>
      <c r="E24" s="280" t="s">
        <v>199</v>
      </c>
    </row>
    <row r="25" spans="1:5">
      <c r="A25" s="276">
        <v>21</v>
      </c>
      <c r="B25" s="17">
        <v>1</v>
      </c>
      <c r="C25" s="273" t="s">
        <v>148</v>
      </c>
      <c r="D25" s="273" t="s">
        <v>149</v>
      </c>
      <c r="E25" s="280" t="s">
        <v>150</v>
      </c>
    </row>
    <row r="26" spans="1:5">
      <c r="A26" s="276">
        <v>22</v>
      </c>
      <c r="B26" s="17">
        <v>1</v>
      </c>
      <c r="C26" s="273" t="s">
        <v>148</v>
      </c>
      <c r="D26" s="273" t="s">
        <v>86</v>
      </c>
      <c r="E26" t="s">
        <v>215</v>
      </c>
    </row>
    <row r="27" spans="1:5">
      <c r="A27" s="276">
        <v>23</v>
      </c>
      <c r="B27" s="17">
        <v>1</v>
      </c>
      <c r="C27" s="273" t="s">
        <v>144</v>
      </c>
      <c r="D27" s="273" t="s">
        <v>145</v>
      </c>
      <c r="E27" s="280" t="s">
        <v>146</v>
      </c>
    </row>
    <row r="28" spans="1:5">
      <c r="A28" s="276">
        <v>24</v>
      </c>
      <c r="B28" s="17">
        <v>1</v>
      </c>
      <c r="C28" s="273" t="s">
        <v>193</v>
      </c>
      <c r="D28" s="273" t="s">
        <v>139</v>
      </c>
      <c r="E28" s="280" t="s">
        <v>194</v>
      </c>
    </row>
    <row r="29" spans="1:5">
      <c r="A29" s="276">
        <v>25</v>
      </c>
      <c r="B29" s="17">
        <v>1</v>
      </c>
      <c r="C29" s="273" t="s">
        <v>193</v>
      </c>
      <c r="D29" s="273" t="s">
        <v>195</v>
      </c>
      <c r="E29" s="280" t="s">
        <v>196</v>
      </c>
    </row>
    <row r="30" spans="1:5">
      <c r="A30" s="276">
        <v>26</v>
      </c>
      <c r="B30" s="17">
        <v>1</v>
      </c>
      <c r="C30" s="273" t="s">
        <v>104</v>
      </c>
      <c r="D30" s="273" t="s">
        <v>116</v>
      </c>
      <c r="E30" s="280" t="s">
        <v>117</v>
      </c>
    </row>
    <row r="31" spans="1:5">
      <c r="A31" s="276">
        <v>27</v>
      </c>
      <c r="B31" s="17">
        <v>1</v>
      </c>
      <c r="C31" s="273" t="s">
        <v>131</v>
      </c>
      <c r="D31" s="273" t="s">
        <v>132</v>
      </c>
      <c r="E31" s="280" t="s">
        <v>133</v>
      </c>
    </row>
    <row r="32" spans="1:5">
      <c r="A32" s="276">
        <v>28</v>
      </c>
      <c r="B32" s="17">
        <v>1</v>
      </c>
      <c r="C32" s="273" t="s">
        <v>131</v>
      </c>
      <c r="D32" s="273" t="s">
        <v>200</v>
      </c>
      <c r="E32" s="280" t="s">
        <v>201</v>
      </c>
    </row>
    <row r="33" spans="1:5">
      <c r="A33" s="276">
        <v>29</v>
      </c>
      <c r="B33" s="17">
        <v>2</v>
      </c>
      <c r="C33" s="273" t="s">
        <v>97</v>
      </c>
      <c r="D33" s="273" t="s">
        <v>98</v>
      </c>
      <c r="E33" s="280" t="s">
        <v>99</v>
      </c>
    </row>
    <row r="34" spans="1:5">
      <c r="A34" s="276">
        <v>30</v>
      </c>
      <c r="B34" s="17">
        <v>2</v>
      </c>
      <c r="C34" s="273" t="s">
        <v>104</v>
      </c>
      <c r="D34" s="273" t="s">
        <v>105</v>
      </c>
      <c r="E34" s="280" t="s">
        <v>106</v>
      </c>
    </row>
    <row r="35" spans="1:5">
      <c r="A35" s="276">
        <v>31</v>
      </c>
      <c r="B35" s="17">
        <v>2</v>
      </c>
      <c r="C35" s="273" t="s">
        <v>104</v>
      </c>
      <c r="D35" s="273" t="s">
        <v>111</v>
      </c>
      <c r="E35" s="280" t="s">
        <v>112</v>
      </c>
    </row>
    <row r="36" spans="1:5">
      <c r="A36" s="276">
        <v>32</v>
      </c>
      <c r="B36" s="281">
        <v>3</v>
      </c>
      <c r="C36" s="282" t="s">
        <v>85</v>
      </c>
      <c r="D36" s="282" t="s">
        <v>86</v>
      </c>
      <c r="E36" s="273" t="s">
        <v>87</v>
      </c>
    </row>
    <row r="37" spans="1:5">
      <c r="A37" s="276">
        <v>33</v>
      </c>
      <c r="B37" s="281">
        <v>3</v>
      </c>
      <c r="C37" s="282" t="s">
        <v>85</v>
      </c>
      <c r="D37" s="282" t="s">
        <v>93</v>
      </c>
      <c r="E37" s="273" t="s">
        <v>94</v>
      </c>
    </row>
    <row r="38" spans="1:5">
      <c r="A38" s="276">
        <v>34</v>
      </c>
      <c r="B38" s="281">
        <v>3</v>
      </c>
      <c r="C38" s="282" t="s">
        <v>216</v>
      </c>
      <c r="D38" s="282" t="s">
        <v>198</v>
      </c>
      <c r="E38" s="273" t="s">
        <v>217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CB3E-19D5-42A2-9516-55572A455115}">
  <dimension ref="A1:B26"/>
  <sheetViews>
    <sheetView workbookViewId="0">
      <selection activeCell="E9" sqref="E9"/>
    </sheetView>
  </sheetViews>
  <sheetFormatPr defaultColWidth="8.7109375" defaultRowHeight="14.45"/>
  <cols>
    <col min="1" max="1" width="37.28515625" style="210" customWidth="1"/>
    <col min="2" max="2" width="84.28515625" style="209" customWidth="1"/>
    <col min="3" max="16384" width="8.7109375" style="210"/>
  </cols>
  <sheetData>
    <row r="1" spans="1:2" ht="18.600000000000001">
      <c r="A1" s="254" t="s">
        <v>218</v>
      </c>
    </row>
    <row r="2" spans="1:2">
      <c r="A2" s="212" t="s">
        <v>219</v>
      </c>
    </row>
    <row r="3" spans="1:2">
      <c r="A3" s="211"/>
    </row>
    <row r="4" spans="1:2">
      <c r="A4" s="222" t="s">
        <v>220</v>
      </c>
      <c r="B4" s="221"/>
    </row>
    <row r="5" spans="1:2" ht="50.45" customHeight="1">
      <c r="A5" s="215" t="s">
        <v>3</v>
      </c>
      <c r="B5" s="215" t="s">
        <v>4</v>
      </c>
    </row>
    <row r="6" spans="1:2" ht="50.45" customHeight="1">
      <c r="A6" s="215" t="s">
        <v>5</v>
      </c>
      <c r="B6" s="215" t="s">
        <v>6</v>
      </c>
    </row>
    <row r="8" spans="1:2">
      <c r="A8" s="222" t="s">
        <v>221</v>
      </c>
      <c r="B8" s="221"/>
    </row>
    <row r="9" spans="1:2">
      <c r="A9" s="223" t="s">
        <v>222</v>
      </c>
      <c r="B9" s="213" t="s">
        <v>223</v>
      </c>
    </row>
    <row r="10" spans="1:2" ht="29.1">
      <c r="A10" s="216" t="s">
        <v>224</v>
      </c>
      <c r="B10" s="215" t="s">
        <v>225</v>
      </c>
    </row>
    <row r="11" spans="1:2">
      <c r="A11" s="216" t="s">
        <v>226</v>
      </c>
      <c r="B11" s="215" t="s">
        <v>227</v>
      </c>
    </row>
    <row r="12" spans="1:2">
      <c r="A12" s="216" t="s">
        <v>228</v>
      </c>
      <c r="B12" s="215" t="s">
        <v>229</v>
      </c>
    </row>
    <row r="13" spans="1:2">
      <c r="A13" s="216" t="s">
        <v>86</v>
      </c>
      <c r="B13" s="215" t="s">
        <v>230</v>
      </c>
    </row>
    <row r="14" spans="1:2">
      <c r="A14" s="216" t="s">
        <v>231</v>
      </c>
      <c r="B14" s="215" t="s">
        <v>232</v>
      </c>
    </row>
    <row r="15" spans="1:2">
      <c r="A15" s="216" t="s">
        <v>233</v>
      </c>
      <c r="B15" s="215" t="s">
        <v>234</v>
      </c>
    </row>
    <row r="16" spans="1:2">
      <c r="A16" s="216" t="s">
        <v>235</v>
      </c>
      <c r="B16" s="215" t="s">
        <v>236</v>
      </c>
    </row>
    <row r="18" spans="1:2">
      <c r="A18" s="224" t="s">
        <v>237</v>
      </c>
      <c r="B18" s="225"/>
    </row>
    <row r="19" spans="1:2">
      <c r="A19" s="223" t="s">
        <v>238</v>
      </c>
      <c r="B19" s="213" t="s">
        <v>239</v>
      </c>
    </row>
    <row r="20" spans="1:2">
      <c r="A20" s="216" t="s">
        <v>240</v>
      </c>
      <c r="B20" s="215" t="s">
        <v>241</v>
      </c>
    </row>
    <row r="21" spans="1:2">
      <c r="A21" s="216" t="s">
        <v>242</v>
      </c>
      <c r="B21" s="215" t="s">
        <v>243</v>
      </c>
    </row>
    <row r="22" spans="1:2">
      <c r="A22" s="216" t="s">
        <v>244</v>
      </c>
      <c r="B22" s="215" t="s">
        <v>245</v>
      </c>
    </row>
    <row r="23" spans="1:2" ht="29.1">
      <c r="A23" s="216" t="s">
        <v>246</v>
      </c>
      <c r="B23" s="215" t="s">
        <v>247</v>
      </c>
    </row>
    <row r="24" spans="1:2">
      <c r="A24" s="215" t="s">
        <v>248</v>
      </c>
      <c r="B24" s="215" t="s">
        <v>249</v>
      </c>
    </row>
    <row r="25" spans="1:2">
      <c r="A25" s="216" t="s">
        <v>250</v>
      </c>
      <c r="B25" s="215" t="s">
        <v>251</v>
      </c>
    </row>
    <row r="26" spans="1:2">
      <c r="A26" s="216" t="s">
        <v>252</v>
      </c>
      <c r="B26" s="215" t="s">
        <v>253</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F745A-FE90-4961-BABC-8F592014BBB2}">
  <dimension ref="A1:H20"/>
  <sheetViews>
    <sheetView workbookViewId="0">
      <selection activeCell="D14" sqref="D14"/>
    </sheetView>
  </sheetViews>
  <sheetFormatPr defaultColWidth="8.7109375" defaultRowHeight="14.45"/>
  <cols>
    <col min="1" max="1" width="13" style="210" customWidth="1"/>
    <col min="2" max="2" width="18.140625" style="43" customWidth="1"/>
    <col min="3" max="3" width="50.28515625" style="210" customWidth="1"/>
    <col min="4" max="4" width="6.140625" style="43" customWidth="1"/>
    <col min="5" max="5" width="13.42578125" style="210" bestFit="1" customWidth="1"/>
    <col min="6" max="6" width="8.7109375" style="210"/>
    <col min="7" max="7" width="45.42578125" style="209" customWidth="1"/>
    <col min="8" max="8" width="24.7109375" style="209" customWidth="1"/>
    <col min="9" max="16384" width="8.7109375" style="43"/>
  </cols>
  <sheetData>
    <row r="1" spans="1:7">
      <c r="A1" s="244" t="s">
        <v>254</v>
      </c>
      <c r="B1" s="231"/>
      <c r="C1" s="232"/>
    </row>
    <row r="2" spans="1:7">
      <c r="A2" s="245" t="s">
        <v>255</v>
      </c>
      <c r="B2" s="246" t="s">
        <v>256</v>
      </c>
      <c r="C2" s="230"/>
    </row>
    <row r="3" spans="1:7">
      <c r="A3" s="229" t="s">
        <v>257</v>
      </c>
      <c r="B3" s="228" t="s">
        <v>258</v>
      </c>
      <c r="C3" s="230"/>
    </row>
    <row r="4" spans="1:7">
      <c r="A4" s="229" t="s">
        <v>259</v>
      </c>
      <c r="B4" s="228" t="s">
        <v>260</v>
      </c>
      <c r="C4" s="230"/>
    </row>
    <row r="5" spans="1:7">
      <c r="A5" s="229" t="s">
        <v>261</v>
      </c>
      <c r="B5" s="228" t="s">
        <v>262</v>
      </c>
      <c r="C5" s="230"/>
    </row>
    <row r="6" spans="1:7">
      <c r="A6" s="229" t="s">
        <v>263</v>
      </c>
      <c r="B6" s="228" t="s">
        <v>264</v>
      </c>
      <c r="C6" s="230"/>
    </row>
    <row r="7" spans="1:7">
      <c r="A7" s="229" t="s">
        <v>265</v>
      </c>
      <c r="B7" s="228" t="s">
        <v>266</v>
      </c>
      <c r="C7" s="230"/>
    </row>
    <row r="9" spans="1:7" ht="19.5" customHeight="1">
      <c r="A9" s="233" t="s">
        <v>267</v>
      </c>
      <c r="B9" s="234"/>
      <c r="C9" s="241"/>
      <c r="D9" s="234"/>
      <c r="E9" s="241"/>
      <c r="F9" s="241"/>
      <c r="G9" s="242"/>
    </row>
    <row r="10" spans="1:7" ht="27.95" customHeight="1">
      <c r="A10" s="243" t="s">
        <v>268</v>
      </c>
      <c r="B10" s="49"/>
      <c r="C10" s="227"/>
      <c r="D10" s="49"/>
      <c r="E10" s="227"/>
      <c r="F10" s="227"/>
      <c r="G10" s="235"/>
    </row>
    <row r="12" spans="1:7">
      <c r="A12" s="237" t="s">
        <v>269</v>
      </c>
      <c r="B12" s="238">
        <v>0.6</v>
      </c>
      <c r="C12" s="237" t="s">
        <v>270</v>
      </c>
      <c r="E12" s="237" t="s">
        <v>271</v>
      </c>
      <c r="F12" s="238">
        <v>0.4</v>
      </c>
      <c r="G12" s="240" t="s">
        <v>272</v>
      </c>
    </row>
    <row r="13" spans="1:7" ht="57.95">
      <c r="A13" s="298" t="s">
        <v>255</v>
      </c>
      <c r="B13" s="61">
        <v>5</v>
      </c>
      <c r="C13" s="239" t="s">
        <v>273</v>
      </c>
      <c r="E13" s="298" t="s">
        <v>255</v>
      </c>
      <c r="F13" s="61">
        <v>5</v>
      </c>
      <c r="G13" s="215" t="s">
        <v>274</v>
      </c>
    </row>
    <row r="14" spans="1:7" ht="87">
      <c r="A14" s="298"/>
      <c r="B14" s="61">
        <v>4</v>
      </c>
      <c r="C14" s="215" t="s">
        <v>275</v>
      </c>
      <c r="E14" s="298"/>
      <c r="F14" s="61">
        <v>4</v>
      </c>
      <c r="G14" s="215" t="s">
        <v>276</v>
      </c>
    </row>
    <row r="15" spans="1:7" ht="87">
      <c r="A15" s="298"/>
      <c r="B15" s="61">
        <v>3</v>
      </c>
      <c r="C15" s="215" t="s">
        <v>277</v>
      </c>
      <c r="E15" s="298"/>
      <c r="F15" s="61">
        <v>3</v>
      </c>
      <c r="G15" s="215" t="s">
        <v>278</v>
      </c>
    </row>
    <row r="16" spans="1:7" ht="43.5">
      <c r="A16" s="298"/>
      <c r="B16" s="61">
        <v>2</v>
      </c>
      <c r="C16" s="215" t="s">
        <v>279</v>
      </c>
      <c r="E16" s="298"/>
      <c r="F16" s="61">
        <v>2</v>
      </c>
      <c r="G16" s="215" t="s">
        <v>280</v>
      </c>
    </row>
    <row r="17" spans="1:7" ht="43.5">
      <c r="A17" s="298"/>
      <c r="B17" s="61">
        <v>1</v>
      </c>
      <c r="C17" s="215" t="s">
        <v>281</v>
      </c>
      <c r="E17" s="298"/>
      <c r="F17" s="61">
        <v>1</v>
      </c>
      <c r="G17" s="215" t="s">
        <v>282</v>
      </c>
    </row>
    <row r="18" spans="1:7" ht="29.1">
      <c r="A18" s="298" t="s">
        <v>283</v>
      </c>
      <c r="B18" s="160" t="s">
        <v>284</v>
      </c>
      <c r="C18" s="215" t="s">
        <v>285</v>
      </c>
      <c r="F18" s="226"/>
    </row>
    <row r="19" spans="1:7" ht="29.1">
      <c r="A19" s="298"/>
      <c r="B19" s="160" t="s">
        <v>284</v>
      </c>
      <c r="C19" s="215" t="s">
        <v>286</v>
      </c>
      <c r="F19" s="226"/>
    </row>
    <row r="20" spans="1:7" ht="29.1">
      <c r="A20" s="298"/>
      <c r="B20" s="160" t="s">
        <v>170</v>
      </c>
      <c r="C20" s="215" t="s">
        <v>287</v>
      </c>
    </row>
  </sheetData>
  <mergeCells count="3">
    <mergeCell ref="A13:A17"/>
    <mergeCell ref="E13:E17"/>
    <mergeCell ref="A18:A2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5C504-422C-4A13-AF8C-9488597E09D7}">
  <sheetPr codeName="Sheet9"/>
  <dimension ref="A1:E71"/>
  <sheetViews>
    <sheetView topLeftCell="A4" zoomScale="85" zoomScaleNormal="85" workbookViewId="0">
      <selection activeCell="D6" sqref="D6"/>
    </sheetView>
  </sheetViews>
  <sheetFormatPr defaultColWidth="8.7109375" defaultRowHeight="14.45"/>
  <cols>
    <col min="1" max="1" width="8.7109375" style="1"/>
    <col min="2" max="2" width="17.140625" style="1" bestFit="1" customWidth="1"/>
    <col min="3" max="3" width="37.42578125" style="1" customWidth="1"/>
    <col min="4" max="4" width="30.140625" style="1" customWidth="1"/>
    <col min="5" max="5" width="60.85546875" style="1" customWidth="1"/>
    <col min="6" max="6" width="47.7109375" style="1" customWidth="1"/>
    <col min="7" max="16384" width="8.7109375" style="1"/>
  </cols>
  <sheetData>
    <row r="1" spans="1:5">
      <c r="A1" s="1" t="s">
        <v>288</v>
      </c>
    </row>
    <row r="2" spans="1:5">
      <c r="A2" s="1" t="s">
        <v>255</v>
      </c>
      <c r="B2" s="1" t="s">
        <v>289</v>
      </c>
      <c r="C2" s="1" t="s">
        <v>290</v>
      </c>
      <c r="D2" s="1" t="s">
        <v>291</v>
      </c>
      <c r="E2" s="1" t="s">
        <v>292</v>
      </c>
    </row>
    <row r="3" spans="1:5" ht="186.75" customHeight="1">
      <c r="A3" s="1">
        <v>1</v>
      </c>
      <c r="B3" s="1" t="s">
        <v>293</v>
      </c>
      <c r="C3" s="1">
        <v>1</v>
      </c>
      <c r="D3" s="1" t="s">
        <v>294</v>
      </c>
      <c r="E3" s="4" t="s">
        <v>295</v>
      </c>
    </row>
    <row r="4" spans="1:5" ht="144.94999999999999">
      <c r="A4" s="1">
        <v>2</v>
      </c>
      <c r="B4" s="1" t="s">
        <v>296</v>
      </c>
      <c r="C4" s="1">
        <v>1.81</v>
      </c>
      <c r="D4" s="1" t="s">
        <v>297</v>
      </c>
      <c r="E4" s="4" t="s">
        <v>298</v>
      </c>
    </row>
    <row r="5" spans="1:5" ht="144.94999999999999">
      <c r="A5" s="1">
        <v>3</v>
      </c>
      <c r="B5" s="1" t="s">
        <v>299</v>
      </c>
      <c r="C5" s="1">
        <v>3.01</v>
      </c>
      <c r="D5" s="1" t="s">
        <v>300</v>
      </c>
      <c r="E5" s="4" t="s">
        <v>301</v>
      </c>
    </row>
    <row r="6" spans="1:5" ht="174">
      <c r="A6" s="1">
        <v>4</v>
      </c>
      <c r="B6" s="1" t="s">
        <v>302</v>
      </c>
      <c r="C6" s="1">
        <v>3.41</v>
      </c>
      <c r="D6" s="1" t="s">
        <v>303</v>
      </c>
      <c r="E6" s="4" t="s">
        <v>304</v>
      </c>
    </row>
    <row r="7" spans="1:5" ht="174">
      <c r="A7" s="1">
        <v>5</v>
      </c>
      <c r="B7" s="1" t="s">
        <v>305</v>
      </c>
      <c r="C7" s="1">
        <v>4.21</v>
      </c>
      <c r="D7" s="1" t="s">
        <v>306</v>
      </c>
      <c r="E7" s="4" t="s">
        <v>307</v>
      </c>
    </row>
    <row r="9" spans="1:5">
      <c r="A9" s="1" t="s">
        <v>308</v>
      </c>
    </row>
    <row r="10" spans="1:5">
      <c r="B10" s="99" t="s">
        <v>309</v>
      </c>
      <c r="C10" s="99" t="s">
        <v>310</v>
      </c>
      <c r="D10" s="99" t="s">
        <v>311</v>
      </c>
      <c r="E10" s="99" t="s">
        <v>312</v>
      </c>
    </row>
    <row r="11" spans="1:5">
      <c r="B11" s="4" t="s">
        <v>313</v>
      </c>
      <c r="C11" s="4" t="s">
        <v>314</v>
      </c>
      <c r="D11" s="4" t="s">
        <v>315</v>
      </c>
      <c r="E11" s="4" t="s">
        <v>316</v>
      </c>
    </row>
    <row r="12" spans="1:5">
      <c r="B12" s="4" t="s">
        <v>317</v>
      </c>
      <c r="C12" s="4" t="s">
        <v>318</v>
      </c>
      <c r="D12" s="4" t="s">
        <v>319</v>
      </c>
      <c r="E12" s="4" t="s">
        <v>320</v>
      </c>
    </row>
    <row r="13" spans="1:5">
      <c r="B13" s="4" t="s">
        <v>321</v>
      </c>
      <c r="C13" s="4" t="s">
        <v>322</v>
      </c>
      <c r="D13" s="4" t="s">
        <v>323</v>
      </c>
      <c r="E13" s="4" t="s">
        <v>324</v>
      </c>
    </row>
    <row r="14" spans="1:5">
      <c r="B14" s="4" t="s">
        <v>325</v>
      </c>
      <c r="C14" s="4" t="s">
        <v>326</v>
      </c>
      <c r="D14" s="4" t="s">
        <v>327</v>
      </c>
      <c r="E14" s="4" t="s">
        <v>328</v>
      </c>
    </row>
    <row r="16" spans="1:5">
      <c r="A16" s="1" t="s">
        <v>329</v>
      </c>
    </row>
    <row r="17" spans="1:5">
      <c r="B17" s="1" t="s">
        <v>330</v>
      </c>
    </row>
    <row r="19" spans="1:5">
      <c r="A19" s="1" t="s">
        <v>331</v>
      </c>
    </row>
    <row r="20" spans="1:5">
      <c r="A20" s="1" t="s">
        <v>332</v>
      </c>
      <c r="B20" s="1" t="s">
        <v>333</v>
      </c>
      <c r="C20" s="1" t="s">
        <v>334</v>
      </c>
      <c r="D20" s="1" t="s">
        <v>335</v>
      </c>
      <c r="E20" s="1" t="s">
        <v>336</v>
      </c>
    </row>
    <row r="21" spans="1:5" ht="144.94999999999999">
      <c r="A21" s="1" t="s">
        <v>337</v>
      </c>
      <c r="B21" s="1" t="s">
        <v>338</v>
      </c>
      <c r="C21" s="148">
        <v>0.4</v>
      </c>
      <c r="D21" s="3" t="s">
        <v>339</v>
      </c>
      <c r="E21" s="4" t="s">
        <v>340</v>
      </c>
    </row>
    <row r="22" spans="1:5" ht="130.5">
      <c r="A22" s="1" t="s">
        <v>341</v>
      </c>
      <c r="B22" s="1" t="s">
        <v>342</v>
      </c>
      <c r="C22" s="148">
        <v>0.25</v>
      </c>
      <c r="D22" s="3" t="s">
        <v>343</v>
      </c>
      <c r="E22" s="4" t="s">
        <v>344</v>
      </c>
    </row>
    <row r="23" spans="1:5" ht="130.5">
      <c r="A23" s="1" t="s">
        <v>345</v>
      </c>
      <c r="B23" s="1" t="s">
        <v>346</v>
      </c>
      <c r="C23" s="148">
        <v>0.2</v>
      </c>
      <c r="D23" s="3" t="s">
        <v>347</v>
      </c>
      <c r="E23" s="4" t="s">
        <v>348</v>
      </c>
    </row>
    <row r="24" spans="1:5" ht="130.5">
      <c r="A24" s="1" t="s">
        <v>349</v>
      </c>
      <c r="B24" s="1" t="s">
        <v>350</v>
      </c>
      <c r="C24" s="148">
        <v>0.15</v>
      </c>
      <c r="D24" s="3" t="s">
        <v>351</v>
      </c>
      <c r="E24" s="4" t="s">
        <v>352</v>
      </c>
    </row>
    <row r="26" spans="1:5" ht="23.45">
      <c r="A26" s="149" t="s">
        <v>353</v>
      </c>
    </row>
    <row r="28" spans="1:5" ht="17.45">
      <c r="A28" s="150" t="s">
        <v>354</v>
      </c>
    </row>
    <row r="30" spans="1:5">
      <c r="A30" s="99" t="s">
        <v>355</v>
      </c>
      <c r="B30" s="99" t="s">
        <v>356</v>
      </c>
      <c r="C30" s="99" t="s">
        <v>357</v>
      </c>
    </row>
    <row r="31" spans="1:5" ht="57.95">
      <c r="A31" s="4" t="s">
        <v>358</v>
      </c>
      <c r="B31" s="4" t="s">
        <v>359</v>
      </c>
      <c r="C31" s="4" t="s">
        <v>360</v>
      </c>
    </row>
    <row r="32" spans="1:5" ht="29.1">
      <c r="A32" s="4" t="s">
        <v>361</v>
      </c>
      <c r="B32" s="4" t="s">
        <v>160</v>
      </c>
      <c r="C32" s="4" t="s">
        <v>362</v>
      </c>
    </row>
    <row r="33" spans="1:3">
      <c r="A33" s="4" t="s">
        <v>363</v>
      </c>
      <c r="B33" s="4" t="s">
        <v>364</v>
      </c>
      <c r="C33" s="4" t="s">
        <v>365</v>
      </c>
    </row>
    <row r="34" spans="1:3" ht="29.1">
      <c r="A34" s="4" t="s">
        <v>366</v>
      </c>
      <c r="B34" s="4" t="s">
        <v>367</v>
      </c>
      <c r="C34" s="4" t="s">
        <v>368</v>
      </c>
    </row>
    <row r="36" spans="1:3">
      <c r="A36" s="1" t="s">
        <v>369</v>
      </c>
    </row>
    <row r="40" spans="1:3" ht="17.45">
      <c r="A40" s="150" t="s">
        <v>370</v>
      </c>
    </row>
    <row r="42" spans="1:3">
      <c r="A42" s="1" t="s">
        <v>371</v>
      </c>
    </row>
    <row r="44" spans="1:3">
      <c r="A44" s="99" t="s">
        <v>372</v>
      </c>
      <c r="B44" s="99" t="s">
        <v>373</v>
      </c>
      <c r="C44" s="99" t="s">
        <v>374</v>
      </c>
    </row>
    <row r="45" spans="1:3" ht="43.5">
      <c r="A45" s="99" t="s">
        <v>375</v>
      </c>
      <c r="B45" s="4" t="s">
        <v>376</v>
      </c>
      <c r="C45" s="4" t="s">
        <v>377</v>
      </c>
    </row>
    <row r="46" spans="1:3" ht="57.95">
      <c r="A46" s="99" t="s">
        <v>378</v>
      </c>
      <c r="B46" s="4" t="s">
        <v>379</v>
      </c>
      <c r="C46" s="4" t="s">
        <v>380</v>
      </c>
    </row>
    <row r="47" spans="1:3" ht="43.5">
      <c r="A47" s="99" t="s">
        <v>381</v>
      </c>
      <c r="B47" s="4" t="s">
        <v>382</v>
      </c>
      <c r="C47" s="4" t="s">
        <v>383</v>
      </c>
    </row>
    <row r="48" spans="1:3" ht="57.95">
      <c r="A48" s="99" t="s">
        <v>384</v>
      </c>
      <c r="B48" s="4" t="s">
        <v>385</v>
      </c>
      <c r="C48" s="4" t="s">
        <v>386</v>
      </c>
    </row>
    <row r="49" spans="1:3" ht="43.5">
      <c r="A49" s="99" t="s">
        <v>387</v>
      </c>
      <c r="B49" s="4" t="s">
        <v>388</v>
      </c>
      <c r="C49" s="4" t="s">
        <v>389</v>
      </c>
    </row>
    <row r="52" spans="1:3" ht="17.45">
      <c r="A52" s="150" t="s">
        <v>390</v>
      </c>
    </row>
    <row r="54" spans="1:3">
      <c r="A54" s="1" t="s">
        <v>391</v>
      </c>
    </row>
    <row r="56" spans="1:3">
      <c r="A56" s="1" t="s">
        <v>392</v>
      </c>
    </row>
    <row r="57" spans="1:3">
      <c r="A57" s="1" t="s">
        <v>253</v>
      </c>
    </row>
    <row r="58" spans="1:3">
      <c r="A58" s="1" t="s">
        <v>393</v>
      </c>
    </row>
    <row r="62" spans="1:3" ht="17.45">
      <c r="A62" s="150" t="s">
        <v>394</v>
      </c>
    </row>
    <row r="64" spans="1:3">
      <c r="A64" s="99" t="s">
        <v>256</v>
      </c>
      <c r="B64" s="99" t="s">
        <v>395</v>
      </c>
      <c r="C64" s="99" t="s">
        <v>396</v>
      </c>
    </row>
    <row r="65" spans="1:3" ht="43.5">
      <c r="A65" s="99">
        <v>5</v>
      </c>
      <c r="B65" s="4" t="s">
        <v>397</v>
      </c>
      <c r="C65" s="4" t="s">
        <v>398</v>
      </c>
    </row>
    <row r="66" spans="1:3" ht="29.1">
      <c r="A66" s="99">
        <v>4</v>
      </c>
      <c r="B66" s="4" t="s">
        <v>399</v>
      </c>
      <c r="C66" s="4" t="s">
        <v>400</v>
      </c>
    </row>
    <row r="67" spans="1:3" ht="29.1">
      <c r="A67" s="99">
        <v>3</v>
      </c>
      <c r="B67" s="4" t="s">
        <v>401</v>
      </c>
      <c r="C67" s="4" t="s">
        <v>402</v>
      </c>
    </row>
    <row r="68" spans="1:3" ht="29.1">
      <c r="A68" s="99">
        <v>2</v>
      </c>
      <c r="B68" s="4" t="s">
        <v>403</v>
      </c>
      <c r="C68" s="4" t="s">
        <v>404</v>
      </c>
    </row>
    <row r="69" spans="1:3" ht="29.1">
      <c r="A69" s="99">
        <v>1</v>
      </c>
      <c r="B69" s="4" t="s">
        <v>405</v>
      </c>
      <c r="C69" s="4" t="s">
        <v>406</v>
      </c>
    </row>
    <row r="71" spans="1:3">
      <c r="A71" s="1" t="s">
        <v>407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F4F58-1F05-41ED-9F75-A2D86276C273}">
  <sheetPr codeName="Sheet7"/>
  <dimension ref="A1:R121"/>
  <sheetViews>
    <sheetView topLeftCell="A87" zoomScaleNormal="100" workbookViewId="0">
      <selection activeCell="K91" sqref="K91"/>
    </sheetView>
  </sheetViews>
  <sheetFormatPr defaultColWidth="8.7109375" defaultRowHeight="14.45"/>
  <cols>
    <col min="1" max="1" width="11" style="42" bestFit="1" customWidth="1"/>
    <col min="2" max="2" width="19.28515625" style="42" customWidth="1"/>
    <col min="3" max="3" width="8.7109375" style="42"/>
    <col min="4" max="4" width="27.140625" style="42" bestFit="1" customWidth="1"/>
    <col min="5" max="5" width="11.42578125" style="42" customWidth="1"/>
    <col min="6" max="6" width="40.42578125" style="42" bestFit="1" customWidth="1"/>
    <col min="7" max="10" width="8.7109375" style="43"/>
    <col min="11" max="11" width="36.140625" style="43" customWidth="1"/>
    <col min="12" max="13" width="28.85546875" style="43" bestFit="1" customWidth="1"/>
    <col min="14" max="14" width="28.140625" style="43" bestFit="1" customWidth="1"/>
    <col min="15" max="18" width="37.85546875" style="43" customWidth="1"/>
    <col min="19" max="16384" width="8.7109375" style="43"/>
  </cols>
  <sheetData>
    <row r="1" spans="1:18" ht="18.600000000000001" hidden="1">
      <c r="A1" s="54" t="s">
        <v>408</v>
      </c>
      <c r="B1" s="55"/>
      <c r="K1" s="152" t="s">
        <v>409</v>
      </c>
      <c r="L1" s="153" t="s">
        <v>410</v>
      </c>
      <c r="M1" s="154" t="s">
        <v>411</v>
      </c>
      <c r="N1" s="155" t="s">
        <v>412</v>
      </c>
      <c r="O1" s="156" t="s">
        <v>413</v>
      </c>
      <c r="P1" s="157" t="s">
        <v>414</v>
      </c>
      <c r="Q1" s="158" t="s">
        <v>415</v>
      </c>
      <c r="R1" s="159" t="s">
        <v>416</v>
      </c>
    </row>
    <row r="2" spans="1:18" hidden="1">
      <c r="A2" s="44" t="s">
        <v>417</v>
      </c>
      <c r="B2" s="51"/>
    </row>
    <row r="3" spans="1:18" hidden="1">
      <c r="A3" s="46" t="s">
        <v>418</v>
      </c>
      <c r="B3" s="51" t="s">
        <v>37</v>
      </c>
    </row>
    <row r="4" spans="1:18" hidden="1">
      <c r="A4" s="46">
        <v>1</v>
      </c>
      <c r="B4" s="51" t="s">
        <v>85</v>
      </c>
    </row>
    <row r="5" spans="1:18" hidden="1">
      <c r="A5" s="46">
        <v>2</v>
      </c>
      <c r="B5" s="51" t="s">
        <v>97</v>
      </c>
    </row>
    <row r="6" spans="1:18" hidden="1">
      <c r="A6" s="46">
        <v>3</v>
      </c>
      <c r="B6" s="51" t="s">
        <v>104</v>
      </c>
    </row>
    <row r="7" spans="1:18" hidden="1">
      <c r="A7" s="46">
        <v>4</v>
      </c>
      <c r="B7" s="51" t="s">
        <v>119</v>
      </c>
    </row>
    <row r="8" spans="1:18" hidden="1">
      <c r="A8" s="46">
        <v>5</v>
      </c>
      <c r="B8" s="51" t="s">
        <v>131</v>
      </c>
    </row>
    <row r="9" spans="1:18" hidden="1">
      <c r="A9" s="46">
        <v>6</v>
      </c>
      <c r="B9" s="51" t="s">
        <v>153</v>
      </c>
    </row>
    <row r="10" spans="1:18" hidden="1">
      <c r="A10" s="46">
        <v>7</v>
      </c>
      <c r="B10" s="51" t="s">
        <v>160</v>
      </c>
    </row>
    <row r="11" spans="1:18" hidden="1">
      <c r="A11" s="46">
        <v>8</v>
      </c>
      <c r="B11" s="51" t="s">
        <v>171</v>
      </c>
    </row>
    <row r="12" spans="1:18" hidden="1">
      <c r="A12" s="46">
        <v>9</v>
      </c>
      <c r="B12" s="51" t="s">
        <v>419</v>
      </c>
    </row>
    <row r="13" spans="1:18" hidden="1">
      <c r="A13" s="46">
        <v>10</v>
      </c>
      <c r="B13" s="51" t="s">
        <v>178</v>
      </c>
    </row>
    <row r="14" spans="1:18" hidden="1">
      <c r="A14" s="47">
        <v>11</v>
      </c>
      <c r="B14" s="53" t="s">
        <v>420</v>
      </c>
    </row>
    <row r="16" spans="1:18" ht="105.6" customHeight="1">
      <c r="A16" s="283" t="s">
        <v>421</v>
      </c>
      <c r="B16" s="284"/>
      <c r="C16" s="284"/>
      <c r="D16" s="284"/>
      <c r="E16" s="284"/>
      <c r="F16" s="285"/>
    </row>
    <row r="17" spans="1:6" ht="21.6" customHeight="1">
      <c r="A17" s="250" t="s">
        <v>422</v>
      </c>
      <c r="B17" s="56"/>
      <c r="C17" s="56"/>
      <c r="D17" s="56"/>
      <c r="E17" s="56"/>
      <c r="F17" s="55"/>
    </row>
    <row r="18" spans="1:6">
      <c r="A18" s="44" t="s">
        <v>423</v>
      </c>
      <c r="F18" s="51"/>
    </row>
    <row r="19" spans="1:6">
      <c r="A19" s="46" t="s">
        <v>424</v>
      </c>
      <c r="B19" s="42" t="s">
        <v>44</v>
      </c>
      <c r="C19" s="52" t="s">
        <v>425</v>
      </c>
      <c r="D19" s="42" t="s">
        <v>46</v>
      </c>
      <c r="E19" s="42" t="s">
        <v>426</v>
      </c>
      <c r="F19" s="51" t="s">
        <v>427</v>
      </c>
    </row>
    <row r="20" spans="1:6">
      <c r="A20" s="46">
        <v>1</v>
      </c>
      <c r="B20" s="42" t="s">
        <v>284</v>
      </c>
      <c r="C20" s="52">
        <f>COUNTIF($B$20:B20,B20)</f>
        <v>1</v>
      </c>
      <c r="D20" s="42" t="s">
        <v>428</v>
      </c>
      <c r="E20" s="42" t="str">
        <f t="shared" ref="E20:E32" si="0">_xlfn.TEXTJOIN(".",TRUE,A20,C20)</f>
        <v>1.1</v>
      </c>
      <c r="F20" s="51" t="str">
        <f>_xlfn.TEXTJOIN(" | ",TRUE,B20,D20)</f>
        <v>Market Pulse | Quốc tế</v>
      </c>
    </row>
    <row r="21" spans="1:6">
      <c r="A21" s="46">
        <v>1</v>
      </c>
      <c r="B21" s="42" t="s">
        <v>284</v>
      </c>
      <c r="C21" s="52">
        <f>COUNTIF($B$20:B21,B21)</f>
        <v>2</v>
      </c>
      <c r="D21" s="42" t="s">
        <v>429</v>
      </c>
      <c r="E21" s="42" t="str">
        <f t="shared" si="0"/>
        <v>1.2</v>
      </c>
      <c r="F21" s="51" t="str">
        <f t="shared" ref="F21:F32" si="1">_xlfn.TEXTJOIN(" | ",TRUE,B21,D21)</f>
        <v>Market Pulse | Trung quốc</v>
      </c>
    </row>
    <row r="22" spans="1:6">
      <c r="A22" s="46">
        <v>1</v>
      </c>
      <c r="B22" s="42" t="s">
        <v>284</v>
      </c>
      <c r="C22" s="52">
        <f>COUNTIF($B$20:B22,B22)</f>
        <v>3</v>
      </c>
      <c r="D22" s="42" t="s">
        <v>430</v>
      </c>
      <c r="E22" s="42" t="str">
        <f t="shared" si="0"/>
        <v>1.3</v>
      </c>
      <c r="F22" s="51" t="str">
        <f t="shared" si="1"/>
        <v>Market Pulse | SEA</v>
      </c>
    </row>
    <row r="23" spans="1:6">
      <c r="A23" s="46">
        <v>1</v>
      </c>
      <c r="B23" s="42" t="s">
        <v>284</v>
      </c>
      <c r="C23" s="52">
        <f>COUNTIF($B$20:B23,B23)</f>
        <v>4</v>
      </c>
      <c r="D23" s="42" t="s">
        <v>431</v>
      </c>
      <c r="E23" s="42" t="str">
        <f t="shared" si="0"/>
        <v>1.4</v>
      </c>
      <c r="F23" s="51" t="str">
        <f t="shared" si="1"/>
        <v>Market Pulse | Trong nước</v>
      </c>
    </row>
    <row r="24" spans="1:6">
      <c r="A24" s="46">
        <v>2</v>
      </c>
      <c r="B24" s="42" t="s">
        <v>170</v>
      </c>
      <c r="C24" s="52">
        <f>COUNTIF($B$20:B24,B24)</f>
        <v>1</v>
      </c>
      <c r="D24" s="42" t="s">
        <v>432</v>
      </c>
      <c r="E24" s="42" t="str">
        <f t="shared" si="0"/>
        <v>2.1</v>
      </c>
      <c r="F24" s="51" t="str">
        <f t="shared" si="1"/>
        <v>Players Movement | MoMo</v>
      </c>
    </row>
    <row r="25" spans="1:6">
      <c r="A25" s="46">
        <v>2</v>
      </c>
      <c r="B25" s="42" t="s">
        <v>170</v>
      </c>
      <c r="C25" s="52">
        <f>COUNTIF($B$20:B25,B25)</f>
        <v>2</v>
      </c>
      <c r="D25" s="42" t="s">
        <v>433</v>
      </c>
      <c r="E25" s="42" t="str">
        <f t="shared" si="0"/>
        <v>2.2</v>
      </c>
      <c r="F25" s="51" t="str">
        <f t="shared" si="1"/>
        <v>Players Movement | Zalo</v>
      </c>
    </row>
    <row r="26" spans="1:6">
      <c r="A26" s="46">
        <v>2</v>
      </c>
      <c r="B26" s="42" t="s">
        <v>170</v>
      </c>
      <c r="C26" s="52">
        <f>COUNTIF($B$20:B26,B26)</f>
        <v>3</v>
      </c>
      <c r="D26" s="42" t="s">
        <v>434</v>
      </c>
      <c r="E26" s="42" t="str">
        <f t="shared" ref="E26:E31" si="2">_xlfn.TEXTJOIN(".",TRUE,A26,C26)</f>
        <v>2.3</v>
      </c>
      <c r="F26" s="51" t="str">
        <f t="shared" ref="F26:F31" si="3">_xlfn.TEXTJOIN(" | ",TRUE,B26,D26)</f>
        <v>Players Movement | Zalopay</v>
      </c>
    </row>
    <row r="27" spans="1:6">
      <c r="A27" s="46">
        <v>2</v>
      </c>
      <c r="B27" s="42" t="s">
        <v>170</v>
      </c>
      <c r="C27" s="52">
        <f>COUNTIF($B$20:B27,B27)</f>
        <v>4</v>
      </c>
      <c r="D27" s="42" t="s">
        <v>435</v>
      </c>
      <c r="E27" s="42" t="str">
        <f t="shared" si="2"/>
        <v>2.4</v>
      </c>
      <c r="F27" s="51" t="str">
        <f t="shared" si="3"/>
        <v>Players Movement | Traveloka</v>
      </c>
    </row>
    <row r="28" spans="1:6">
      <c r="A28" s="46">
        <v>2</v>
      </c>
      <c r="B28" s="42" t="s">
        <v>170</v>
      </c>
      <c r="C28" s="52">
        <f>COUNTIF($B$20:B28,B28)</f>
        <v>5</v>
      </c>
      <c r="D28" s="42" t="s">
        <v>436</v>
      </c>
      <c r="E28" s="42" t="str">
        <f t="shared" si="2"/>
        <v>2.5</v>
      </c>
      <c r="F28" s="51" t="str">
        <f t="shared" si="3"/>
        <v>Players Movement | WhatsApp</v>
      </c>
    </row>
    <row r="29" spans="1:6">
      <c r="A29" s="46">
        <v>2</v>
      </c>
      <c r="B29" s="42" t="s">
        <v>170</v>
      </c>
      <c r="C29" s="52">
        <f>COUNTIF($B$20:B29,B29)</f>
        <v>6</v>
      </c>
      <c r="D29" s="42" t="s">
        <v>437</v>
      </c>
      <c r="E29" s="42" t="str">
        <f t="shared" si="2"/>
        <v>2.6</v>
      </c>
      <c r="F29" s="51" t="str">
        <f t="shared" si="3"/>
        <v>Players Movement | Telegram</v>
      </c>
    </row>
    <row r="30" spans="1:6">
      <c r="A30" s="46">
        <v>2</v>
      </c>
      <c r="B30" s="42" t="s">
        <v>170</v>
      </c>
      <c r="C30" s="52">
        <f>COUNTIF($B$20:B30,B30)</f>
        <v>7</v>
      </c>
      <c r="D30" s="42" t="s">
        <v>185</v>
      </c>
      <c r="E30" s="42" t="str">
        <f t="shared" si="2"/>
        <v>2.7</v>
      </c>
      <c r="F30" s="51" t="str">
        <f t="shared" si="3"/>
        <v>Players Movement | Shopee</v>
      </c>
    </row>
    <row r="31" spans="1:6">
      <c r="A31" s="46">
        <v>2</v>
      </c>
      <c r="B31" s="42" t="s">
        <v>170</v>
      </c>
      <c r="C31" s="52">
        <f>COUNTIF($B$20:B31,B31)</f>
        <v>8</v>
      </c>
      <c r="D31" s="42" t="s">
        <v>187</v>
      </c>
      <c r="E31" s="42" t="str">
        <f t="shared" si="2"/>
        <v>2.8</v>
      </c>
      <c r="F31" s="51" t="str">
        <f t="shared" si="3"/>
        <v>Players Movement | TiktokShop</v>
      </c>
    </row>
    <row r="32" spans="1:6">
      <c r="A32" s="47">
        <v>2</v>
      </c>
      <c r="B32" s="48" t="s">
        <v>170</v>
      </c>
      <c r="C32" s="48">
        <f>COUNTIF($B$20:B32,B32)</f>
        <v>9</v>
      </c>
      <c r="D32" s="48" t="s">
        <v>438</v>
      </c>
      <c r="E32" s="48" t="str">
        <f t="shared" si="0"/>
        <v>2.9</v>
      </c>
      <c r="F32" s="53" t="str">
        <f t="shared" si="1"/>
        <v>Players Movement | Grab</v>
      </c>
    </row>
    <row r="34" spans="1:10" ht="81.95" customHeight="1">
      <c r="A34" s="286" t="s">
        <v>439</v>
      </c>
      <c r="B34" s="287"/>
      <c r="C34" s="287"/>
      <c r="D34" s="287"/>
      <c r="E34" s="287"/>
      <c r="F34" s="287"/>
      <c r="G34" s="287"/>
      <c r="H34" s="287"/>
      <c r="I34" s="287"/>
      <c r="J34" s="287"/>
    </row>
    <row r="35" spans="1:10">
      <c r="A35" s="54" t="s">
        <v>440</v>
      </c>
      <c r="B35" s="56"/>
      <c r="C35" s="56"/>
      <c r="D35" s="56"/>
      <c r="E35" s="56"/>
      <c r="F35" s="56"/>
      <c r="G35" s="57"/>
      <c r="H35" s="57"/>
      <c r="I35" s="57"/>
      <c r="J35" s="58"/>
    </row>
    <row r="36" spans="1:10">
      <c r="A36" s="44" t="s">
        <v>441</v>
      </c>
      <c r="J36" s="45"/>
    </row>
    <row r="37" spans="1:10">
      <c r="A37" s="46" t="s">
        <v>424</v>
      </c>
      <c r="B37" s="42" t="s">
        <v>44</v>
      </c>
      <c r="C37" s="42" t="s">
        <v>442</v>
      </c>
      <c r="D37" s="42" t="s">
        <v>443</v>
      </c>
      <c r="E37" s="42" t="s">
        <v>444</v>
      </c>
      <c r="J37" s="45"/>
    </row>
    <row r="38" spans="1:10">
      <c r="A38" s="46">
        <v>1</v>
      </c>
      <c r="B38" s="42" t="s">
        <v>284</v>
      </c>
      <c r="C38" s="42">
        <f>COUNTIF($B$38:B38,B38)</f>
        <v>1</v>
      </c>
      <c r="D38" s="42" t="s">
        <v>445</v>
      </c>
      <c r="E38" s="42" t="s">
        <v>446</v>
      </c>
      <c r="J38" s="45"/>
    </row>
    <row r="39" spans="1:10">
      <c r="A39" s="46">
        <v>1</v>
      </c>
      <c r="B39" s="42" t="s">
        <v>284</v>
      </c>
      <c r="C39" s="42">
        <f>COUNTIF($B$38:B39,B39)</f>
        <v>2</v>
      </c>
      <c r="D39" s="42" t="s">
        <v>447</v>
      </c>
      <c r="E39" s="42" t="s">
        <v>448</v>
      </c>
      <c r="J39" s="45"/>
    </row>
    <row r="40" spans="1:10">
      <c r="A40" s="46">
        <v>1</v>
      </c>
      <c r="B40" s="42" t="s">
        <v>284</v>
      </c>
      <c r="C40" s="42">
        <f>COUNTIF($B$38:B40,B40)</f>
        <v>3</v>
      </c>
      <c r="D40" s="42" t="s">
        <v>449</v>
      </c>
      <c r="E40" s="42" t="s">
        <v>450</v>
      </c>
      <c r="J40" s="45"/>
    </row>
    <row r="41" spans="1:10">
      <c r="A41" s="46">
        <v>1</v>
      </c>
      <c r="B41" s="42" t="s">
        <v>284</v>
      </c>
      <c r="C41" s="42">
        <f>COUNTIF($B$38:B41,B41)</f>
        <v>4</v>
      </c>
      <c r="D41" s="42" t="s">
        <v>451</v>
      </c>
      <c r="E41" s="42" t="s">
        <v>452</v>
      </c>
      <c r="J41" s="45"/>
    </row>
    <row r="42" spans="1:10">
      <c r="A42" s="46">
        <v>1</v>
      </c>
      <c r="B42" s="42" t="s">
        <v>284</v>
      </c>
      <c r="C42" s="42">
        <f>COUNTIF($B$38:B42,B42)</f>
        <v>5</v>
      </c>
      <c r="D42" s="42" t="s">
        <v>453</v>
      </c>
      <c r="E42" s="42" t="s">
        <v>454</v>
      </c>
      <c r="J42" s="45"/>
    </row>
    <row r="43" spans="1:10">
      <c r="A43" s="46">
        <v>2</v>
      </c>
      <c r="B43" s="42" t="s">
        <v>170</v>
      </c>
      <c r="C43" s="42">
        <f>COUNTIF($B$38:B43,B43)</f>
        <v>1</v>
      </c>
      <c r="D43" s="42" t="s">
        <v>410</v>
      </c>
      <c r="E43" s="42" t="s">
        <v>455</v>
      </c>
      <c r="J43" s="45"/>
    </row>
    <row r="44" spans="1:10">
      <c r="A44" s="46">
        <v>2</v>
      </c>
      <c r="B44" s="42" t="s">
        <v>170</v>
      </c>
      <c r="C44" s="42">
        <f>COUNTIF($B$38:B44,B44)</f>
        <v>2</v>
      </c>
      <c r="D44" s="42" t="s">
        <v>411</v>
      </c>
      <c r="E44" s="42" t="s">
        <v>456</v>
      </c>
      <c r="J44" s="45"/>
    </row>
    <row r="45" spans="1:10">
      <c r="A45" s="46">
        <v>2</v>
      </c>
      <c r="B45" s="42" t="s">
        <v>170</v>
      </c>
      <c r="C45" s="42">
        <f>COUNTIF($B$38:B45,B45)</f>
        <v>3</v>
      </c>
      <c r="D45" s="42" t="s">
        <v>457</v>
      </c>
      <c r="E45" s="42" t="s">
        <v>458</v>
      </c>
      <c r="J45" s="45"/>
    </row>
    <row r="46" spans="1:10">
      <c r="A46" s="46">
        <v>2</v>
      </c>
      <c r="B46" s="42" t="s">
        <v>170</v>
      </c>
      <c r="C46" s="42">
        <f>COUNTIF($B$38:B46,B46)</f>
        <v>4</v>
      </c>
      <c r="D46" s="42" t="s">
        <v>459</v>
      </c>
      <c r="E46" s="42" t="s">
        <v>460</v>
      </c>
      <c r="J46" s="45"/>
    </row>
    <row r="47" spans="1:10">
      <c r="A47" s="46">
        <v>2</v>
      </c>
      <c r="B47" s="42" t="s">
        <v>170</v>
      </c>
      <c r="C47" s="42">
        <f>COUNTIF($B$38:B47,B47)</f>
        <v>5</v>
      </c>
      <c r="D47" s="42" t="s">
        <v>461</v>
      </c>
      <c r="E47" s="42" t="s">
        <v>462</v>
      </c>
      <c r="J47" s="45"/>
    </row>
    <row r="48" spans="1:10">
      <c r="A48" s="47">
        <v>2</v>
      </c>
      <c r="B48" s="48" t="s">
        <v>170</v>
      </c>
      <c r="C48" s="48">
        <f>COUNTIF($B$38:B48,B48)</f>
        <v>6</v>
      </c>
      <c r="D48" s="48" t="s">
        <v>409</v>
      </c>
      <c r="E48" s="48" t="s">
        <v>463</v>
      </c>
      <c r="F48" s="48"/>
      <c r="G48" s="49"/>
      <c r="H48" s="49"/>
      <c r="I48" s="49"/>
      <c r="J48" s="50"/>
    </row>
    <row r="50" spans="1:6">
      <c r="A50" s="54" t="s">
        <v>464</v>
      </c>
      <c r="B50" s="56"/>
      <c r="C50" s="56"/>
      <c r="D50" s="56"/>
      <c r="E50" s="56"/>
      <c r="F50" s="55"/>
    </row>
    <row r="51" spans="1:6">
      <c r="A51" s="44" t="s">
        <v>465</v>
      </c>
      <c r="F51" s="51"/>
    </row>
    <row r="52" spans="1:6">
      <c r="A52" s="46" t="s">
        <v>442</v>
      </c>
      <c r="B52" s="42" t="s">
        <v>443</v>
      </c>
      <c r="C52" s="42" t="s">
        <v>466</v>
      </c>
      <c r="D52" s="42" t="s">
        <v>467</v>
      </c>
      <c r="E52" s="42" t="s">
        <v>426</v>
      </c>
      <c r="F52" s="51" t="s">
        <v>427</v>
      </c>
    </row>
    <row r="53" spans="1:6">
      <c r="A53" s="46">
        <f>_xlfn.XLOOKUP(B53,$D$38:$D$48,$C$38:$C$48)</f>
        <v>1</v>
      </c>
      <c r="B53" s="42" t="s">
        <v>445</v>
      </c>
      <c r="C53" s="42">
        <f>COUNTIF($B$53:B53,B53)</f>
        <v>1</v>
      </c>
      <c r="D53" s="42" t="s">
        <v>468</v>
      </c>
      <c r="E53" s="42" t="str">
        <f>_xlfn.TEXTJOIN(".",TRUE,A53,C53)</f>
        <v>1.1</v>
      </c>
      <c r="F53" s="51" t="str">
        <f>_xlfn.TEXTJOIN(" | ",TRUE,B53,D53)</f>
        <v>Political | New poilicy</v>
      </c>
    </row>
    <row r="54" spans="1:6">
      <c r="A54" s="46">
        <f t="shared" ref="A54:A110" si="4">_xlfn.XLOOKUP(B54,$D$38:$D$48,$C$38:$C$48)</f>
        <v>1</v>
      </c>
      <c r="B54" s="42" t="s">
        <v>445</v>
      </c>
      <c r="C54" s="42">
        <f>COUNTIF($B$53:B54,B54)</f>
        <v>2</v>
      </c>
      <c r="D54" s="42" t="s">
        <v>469</v>
      </c>
      <c r="E54" s="42" t="str">
        <f t="shared" ref="E54:E110" si="5">_xlfn.TEXTJOIN(".",TRUE,A54,C54)</f>
        <v>1.2</v>
      </c>
      <c r="F54" s="51" t="str">
        <f t="shared" ref="F54:F110" si="6">_xlfn.TEXTJOIN(" | ",TRUE,B54,D54)</f>
        <v>Political | Technology policy</v>
      </c>
    </row>
    <row r="55" spans="1:6">
      <c r="A55" s="46">
        <f t="shared" si="4"/>
        <v>1</v>
      </c>
      <c r="B55" s="42" t="s">
        <v>445</v>
      </c>
      <c r="C55" s="42">
        <f>COUNTIF($B$53:B55,B55)</f>
        <v>3</v>
      </c>
      <c r="D55" s="42" t="s">
        <v>470</v>
      </c>
      <c r="E55" s="42" t="str">
        <f t="shared" si="5"/>
        <v>1.3</v>
      </c>
      <c r="F55" s="51" t="str">
        <f t="shared" si="6"/>
        <v>Political | Geopolitical tension</v>
      </c>
    </row>
    <row r="56" spans="1:6">
      <c r="A56" s="46">
        <f t="shared" si="4"/>
        <v>1</v>
      </c>
      <c r="B56" s="42" t="s">
        <v>445</v>
      </c>
      <c r="C56" s="42">
        <f>COUNTIF($B$53:B56,B56)</f>
        <v>4</v>
      </c>
      <c r="D56" s="42" t="s">
        <v>471</v>
      </c>
      <c r="E56" s="42" t="str">
        <f t="shared" si="5"/>
        <v>1.4</v>
      </c>
      <c r="F56" s="51" t="str">
        <f t="shared" si="6"/>
        <v>Political | National digital strategy</v>
      </c>
    </row>
    <row r="57" spans="1:6">
      <c r="A57" s="46">
        <f t="shared" si="4"/>
        <v>1</v>
      </c>
      <c r="B57" s="42" t="s">
        <v>445</v>
      </c>
      <c r="C57" s="42">
        <f>COUNTIF($B$53:B57,B57)</f>
        <v>5</v>
      </c>
      <c r="D57" s="42" t="s">
        <v>472</v>
      </c>
      <c r="E57" s="42" t="str">
        <f t="shared" si="5"/>
        <v>1.5</v>
      </c>
      <c r="F57" s="51" t="str">
        <f t="shared" si="6"/>
        <v>Political | Others</v>
      </c>
    </row>
    <row r="58" spans="1:6">
      <c r="A58" s="46">
        <f t="shared" si="4"/>
        <v>2</v>
      </c>
      <c r="B58" s="42" t="s">
        <v>447</v>
      </c>
      <c r="C58" s="42">
        <f>COUNTIF($B$53:B58,B58)</f>
        <v>1</v>
      </c>
      <c r="D58" s="42" t="s">
        <v>473</v>
      </c>
      <c r="E58" s="42" t="str">
        <f t="shared" si="5"/>
        <v>2.1</v>
      </c>
      <c r="F58" s="51" t="str">
        <f t="shared" si="6"/>
        <v>Economic | Funding/ investment</v>
      </c>
    </row>
    <row r="59" spans="1:6">
      <c r="A59" s="46">
        <f t="shared" si="4"/>
        <v>2</v>
      </c>
      <c r="B59" s="42" t="s">
        <v>447</v>
      </c>
      <c r="C59" s="42">
        <f>COUNTIF($B$53:B59,B59)</f>
        <v>2</v>
      </c>
      <c r="D59" s="42" t="s">
        <v>474</v>
      </c>
      <c r="E59" s="42" t="str">
        <f t="shared" si="5"/>
        <v>2.2</v>
      </c>
      <c r="F59" s="51" t="str">
        <f t="shared" si="6"/>
        <v>Economic | M&amp;A activity</v>
      </c>
    </row>
    <row r="60" spans="1:6">
      <c r="A60" s="46">
        <f t="shared" si="4"/>
        <v>2</v>
      </c>
      <c r="B60" s="42" t="s">
        <v>447</v>
      </c>
      <c r="C60" s="42">
        <f>COUNTIF($B$53:B60,B60)</f>
        <v>3</v>
      </c>
      <c r="D60" s="42" t="s">
        <v>475</v>
      </c>
      <c r="E60" s="42" t="str">
        <f t="shared" si="5"/>
        <v>2.3</v>
      </c>
      <c r="F60" s="51" t="str">
        <f t="shared" si="6"/>
        <v>Economic | Market growth/market size</v>
      </c>
    </row>
    <row r="61" spans="1:6">
      <c r="A61" s="46">
        <f t="shared" si="4"/>
        <v>2</v>
      </c>
      <c r="B61" s="42" t="s">
        <v>447</v>
      </c>
      <c r="C61" s="42">
        <f>COUNTIF($B$53:B61,B61)</f>
        <v>4</v>
      </c>
      <c r="D61" s="42" t="s">
        <v>476</v>
      </c>
      <c r="E61" s="42" t="str">
        <f t="shared" si="5"/>
        <v>2.4</v>
      </c>
      <c r="F61" s="51" t="str">
        <f t="shared" si="6"/>
        <v>Economic | Business model change</v>
      </c>
    </row>
    <row r="62" spans="1:6">
      <c r="A62" s="46">
        <f t="shared" si="4"/>
        <v>2</v>
      </c>
      <c r="B62" s="42" t="s">
        <v>447</v>
      </c>
      <c r="C62" s="42">
        <f>COUNTIF($B$53:B62,B62)</f>
        <v>5</v>
      </c>
      <c r="D62" s="42" t="s">
        <v>477</v>
      </c>
      <c r="E62" s="42" t="str">
        <f t="shared" si="5"/>
        <v>2.5</v>
      </c>
      <c r="F62" s="51" t="str">
        <f t="shared" si="6"/>
        <v>Economic | Government initiative</v>
      </c>
    </row>
    <row r="63" spans="1:6">
      <c r="A63" s="46">
        <f t="shared" si="4"/>
        <v>3</v>
      </c>
      <c r="B63" s="42" t="s">
        <v>449</v>
      </c>
      <c r="C63" s="42">
        <f>COUNTIF($B$53:B63,B63)</f>
        <v>1</v>
      </c>
      <c r="D63" s="42" t="s">
        <v>478</v>
      </c>
      <c r="E63" s="42" t="str">
        <f t="shared" si="5"/>
        <v>3.1</v>
      </c>
      <c r="F63" s="51" t="str">
        <f t="shared" si="6"/>
        <v>Social | Consumer behavior</v>
      </c>
    </row>
    <row r="64" spans="1:6">
      <c r="A64" s="46">
        <f>_xlfn.XLOOKUP(B64,$D$38:$D$48,$C$38:$C$48)</f>
        <v>3</v>
      </c>
      <c r="B64" s="42" t="s">
        <v>449</v>
      </c>
      <c r="C64" s="42">
        <f>COUNTIF($B$53:B64,B64)</f>
        <v>2</v>
      </c>
      <c r="D64" s="42" t="s">
        <v>479</v>
      </c>
      <c r="E64" s="42" t="str">
        <f>_xlfn.TEXTJOIN(".",TRUE,A64,C64)</f>
        <v>3.2</v>
      </c>
      <c r="F64" s="51" t="str">
        <f>_xlfn.TEXTJOIN(" | ",TRUE,B64,D64)</f>
        <v>Social | Digital adoption</v>
      </c>
    </row>
    <row r="65" spans="1:6">
      <c r="A65" s="46">
        <f>_xlfn.XLOOKUP(B65,$D$38:$D$48,$C$38:$C$48)</f>
        <v>3</v>
      </c>
      <c r="B65" s="42" t="s">
        <v>449</v>
      </c>
      <c r="C65" s="42">
        <f>COUNTIF($B$53:B65,B65)</f>
        <v>3</v>
      </c>
      <c r="D65" s="42" t="s">
        <v>480</v>
      </c>
      <c r="E65" s="42" t="str">
        <f>_xlfn.TEXTJOIN(".",TRUE,A65,C65)</f>
        <v>3.3</v>
      </c>
      <c r="F65" s="51" t="str">
        <f>_xlfn.TEXTJOIN(" | ",TRUE,B65,D65)</f>
        <v>Social | Payment behavior</v>
      </c>
    </row>
    <row r="66" spans="1:6">
      <c r="A66" s="46">
        <f>_xlfn.XLOOKUP(B66,$D$38:$D$48,$C$38:$C$48)</f>
        <v>3</v>
      </c>
      <c r="B66" s="42" t="s">
        <v>449</v>
      </c>
      <c r="C66" s="42">
        <f>COUNTIF($B$53:B66,B66)</f>
        <v>4</v>
      </c>
      <c r="D66" s="42" t="s">
        <v>481</v>
      </c>
      <c r="E66" s="42" t="str">
        <f>_xlfn.TEXTJOIN(".",TRUE,A66,C66)</f>
        <v>3.4</v>
      </c>
      <c r="F66" s="51" t="str">
        <f>_xlfn.TEXTJOIN(" | ",TRUE,B66,D66)</f>
        <v>Social | Ads strategy</v>
      </c>
    </row>
    <row r="67" spans="1:6">
      <c r="A67" s="46">
        <f>_xlfn.XLOOKUP(B67,$D$38:$D$48,$C$38:$C$48)</f>
        <v>3</v>
      </c>
      <c r="B67" s="42" t="s">
        <v>449</v>
      </c>
      <c r="C67" s="42">
        <f>COUNTIF($B$53:B67,B67)</f>
        <v>5</v>
      </c>
      <c r="D67" s="42" t="s">
        <v>482</v>
      </c>
      <c r="E67" s="42" t="str">
        <f>_xlfn.TEXTJOIN(".",TRUE,A67,C67)</f>
        <v>3.5</v>
      </c>
      <c r="F67" s="51" t="str">
        <f>_xlfn.TEXTJOIN(" | ",TRUE,B67,D67)</f>
        <v>Social | Digital workforce</v>
      </c>
    </row>
    <row r="68" spans="1:6">
      <c r="A68" s="46">
        <f t="shared" si="4"/>
        <v>4</v>
      </c>
      <c r="B68" s="42" t="s">
        <v>451</v>
      </c>
      <c r="C68" s="42">
        <f>COUNTIF($B$53:B68,B68)</f>
        <v>1</v>
      </c>
      <c r="D68" s="42" t="s">
        <v>483</v>
      </c>
      <c r="E68" s="42" t="str">
        <f t="shared" si="5"/>
        <v>4.1</v>
      </c>
      <c r="F68" s="51" t="str">
        <f t="shared" si="6"/>
        <v>Technology | AI/ Gen AI</v>
      </c>
    </row>
    <row r="69" spans="1:6">
      <c r="A69" s="46">
        <f t="shared" si="4"/>
        <v>4</v>
      </c>
      <c r="B69" s="42" t="s">
        <v>451</v>
      </c>
      <c r="C69" s="42">
        <f>COUNTIF($B$53:B69,B69)</f>
        <v>2</v>
      </c>
      <c r="D69" s="42" t="s">
        <v>484</v>
      </c>
      <c r="E69" s="42" t="str">
        <f t="shared" si="5"/>
        <v>4.2</v>
      </c>
      <c r="F69" s="51" t="str">
        <f t="shared" si="6"/>
        <v>Technology | Blockchain/ Web3</v>
      </c>
    </row>
    <row r="70" spans="1:6">
      <c r="A70" s="46">
        <f t="shared" si="4"/>
        <v>4</v>
      </c>
      <c r="B70" s="42" t="s">
        <v>451</v>
      </c>
      <c r="C70" s="42">
        <f>COUNTIF($B$53:B70,B70)</f>
        <v>3</v>
      </c>
      <c r="D70" s="42" t="s">
        <v>485</v>
      </c>
      <c r="E70" s="42" t="str">
        <f t="shared" si="5"/>
        <v>4.3</v>
      </c>
      <c r="F70" s="51" t="str">
        <f t="shared" si="6"/>
        <v>Technology | Open banking/ API</v>
      </c>
    </row>
    <row r="71" spans="1:6">
      <c r="A71" s="46">
        <f t="shared" si="4"/>
        <v>4</v>
      </c>
      <c r="B71" s="42" t="s">
        <v>451</v>
      </c>
      <c r="C71" s="42">
        <f>COUNTIF($B$53:B71,B71)</f>
        <v>4</v>
      </c>
      <c r="D71" s="42" t="s">
        <v>486</v>
      </c>
      <c r="E71" s="42" t="str">
        <f t="shared" si="5"/>
        <v>4.4</v>
      </c>
      <c r="F71" s="51" t="str">
        <f t="shared" si="6"/>
        <v>Technology | Cloud/ Infrastructure</v>
      </c>
    </row>
    <row r="72" spans="1:6">
      <c r="A72" s="46">
        <f t="shared" ref="A72:A77" si="7">_xlfn.XLOOKUP(B72,$D$38:$D$48,$C$38:$C$48)</f>
        <v>4</v>
      </c>
      <c r="B72" s="42" t="s">
        <v>451</v>
      </c>
      <c r="C72" s="42">
        <f>COUNTIF($B$53:B72,B72)</f>
        <v>5</v>
      </c>
      <c r="D72" s="42" t="s">
        <v>487</v>
      </c>
      <c r="E72" s="42" t="str">
        <f t="shared" ref="E72:E77" si="8">_xlfn.TEXTJOIN(".",TRUE,A72,C72)</f>
        <v>4.5</v>
      </c>
      <c r="F72" s="51" t="str">
        <f t="shared" ref="F72:F77" si="9">_xlfn.TEXTJOIN(" | ",TRUE,B72,D72)</f>
        <v>Technology | Cybersecurity</v>
      </c>
    </row>
    <row r="73" spans="1:6">
      <c r="A73" s="46">
        <f t="shared" si="7"/>
        <v>4</v>
      </c>
      <c r="B73" s="42" t="s">
        <v>451</v>
      </c>
      <c r="C73" s="42">
        <f>COUNTIF($B$53:B73,B73)</f>
        <v>6</v>
      </c>
      <c r="D73" s="42" t="s">
        <v>488</v>
      </c>
      <c r="E73" s="42" t="str">
        <f t="shared" si="8"/>
        <v>4.6</v>
      </c>
      <c r="F73" s="51" t="str">
        <f t="shared" si="9"/>
        <v>Technology | Platform policy</v>
      </c>
    </row>
    <row r="74" spans="1:6">
      <c r="A74" s="46">
        <f t="shared" si="7"/>
        <v>5</v>
      </c>
      <c r="B74" s="42" t="s">
        <v>453</v>
      </c>
      <c r="C74" s="42">
        <f>COUNTIF($B$53:B74,B74)</f>
        <v>1</v>
      </c>
      <c r="D74" s="42" t="s">
        <v>489</v>
      </c>
      <c r="E74" s="42" t="str">
        <f t="shared" si="8"/>
        <v>5.1</v>
      </c>
      <c r="F74" s="51" t="str">
        <f t="shared" si="9"/>
        <v>Legal | Fintech/ Wallet</v>
      </c>
    </row>
    <row r="75" spans="1:6">
      <c r="A75" s="46">
        <f t="shared" si="7"/>
        <v>5</v>
      </c>
      <c r="B75" s="42" t="s">
        <v>453</v>
      </c>
      <c r="C75" s="42">
        <f>COUNTIF($B$53:B75,B75)</f>
        <v>2</v>
      </c>
      <c r="D75" s="42" t="s">
        <v>86</v>
      </c>
      <c r="E75" s="42" t="str">
        <f t="shared" si="8"/>
        <v>5.2</v>
      </c>
      <c r="F75" s="51" t="str">
        <f t="shared" si="9"/>
        <v>Legal | AI</v>
      </c>
    </row>
    <row r="76" spans="1:6">
      <c r="A76" s="46">
        <f t="shared" si="7"/>
        <v>5</v>
      </c>
      <c r="B76" s="42" t="s">
        <v>453</v>
      </c>
      <c r="C76" s="42">
        <f>COUNTIF($B$53:B76,B76)</f>
        <v>3</v>
      </c>
      <c r="D76" s="42" t="s">
        <v>490</v>
      </c>
      <c r="E76" s="42" t="str">
        <f t="shared" si="8"/>
        <v>5.3</v>
      </c>
      <c r="F76" s="51" t="str">
        <f t="shared" si="9"/>
        <v>Legal | Payment</v>
      </c>
    </row>
    <row r="77" spans="1:6">
      <c r="A77" s="46">
        <f t="shared" si="7"/>
        <v>5</v>
      </c>
      <c r="B77" s="42" t="s">
        <v>453</v>
      </c>
      <c r="C77" s="42">
        <f>COUNTIF($B$53:B77,B77)</f>
        <v>4</v>
      </c>
      <c r="D77" s="42" t="s">
        <v>491</v>
      </c>
      <c r="E77" s="42" t="str">
        <f t="shared" si="8"/>
        <v>5.4</v>
      </c>
      <c r="F77" s="51" t="str">
        <f t="shared" si="9"/>
        <v>Legal | Digital money</v>
      </c>
    </row>
    <row r="78" spans="1:6">
      <c r="A78" s="46">
        <f t="shared" si="4"/>
        <v>5</v>
      </c>
      <c r="B78" s="42" t="s">
        <v>453</v>
      </c>
      <c r="C78" s="42">
        <f>COUNTIF($B$53:B78,B78)</f>
        <v>5</v>
      </c>
      <c r="D78" s="42" t="s">
        <v>492</v>
      </c>
      <c r="E78" s="42" t="str">
        <f t="shared" si="5"/>
        <v>5.5</v>
      </c>
      <c r="F78" s="51" t="str">
        <f t="shared" si="6"/>
        <v>Legal | Data privacy</v>
      </c>
    </row>
    <row r="79" spans="1:6">
      <c r="A79" s="46">
        <f>_xlfn.XLOOKUP(B79,$D$38:$D$48,$C$38:$C$48)</f>
        <v>5</v>
      </c>
      <c r="B79" s="42" t="s">
        <v>453</v>
      </c>
      <c r="C79" s="42">
        <f>COUNTIF($B$53:B79,B79)</f>
        <v>6</v>
      </c>
      <c r="D79" s="42" t="s">
        <v>493</v>
      </c>
      <c r="E79" s="42" t="str">
        <f>_xlfn.TEXTJOIN(".",TRUE,A79,C79)</f>
        <v>5.6</v>
      </c>
      <c r="F79" s="51" t="str">
        <f>_xlfn.TEXTJOIN(" | ",TRUE,B79,D79)</f>
        <v>Legal | eCommerce regulation</v>
      </c>
    </row>
    <row r="80" spans="1:6">
      <c r="A80" s="46">
        <f>_xlfn.XLOOKUP(B80,$D$38:$D$48,$C$38:$C$48)</f>
        <v>5</v>
      </c>
      <c r="B80" s="42" t="s">
        <v>453</v>
      </c>
      <c r="C80" s="42">
        <f>COUNTIF($B$53:B80,B80)</f>
        <v>7</v>
      </c>
      <c r="D80" s="42" t="s">
        <v>494</v>
      </c>
      <c r="E80" s="42" t="str">
        <f>_xlfn.TEXTJOIN(".",TRUE,A80,C80)</f>
        <v>5.7</v>
      </c>
      <c r="F80" s="51" t="str">
        <f>_xlfn.TEXTJOIN(" | ",TRUE,B80,D80)</f>
        <v>Legal | Social media regulation</v>
      </c>
    </row>
    <row r="81" spans="1:6">
      <c r="A81" s="46">
        <f t="shared" si="4"/>
        <v>1</v>
      </c>
      <c r="B81" s="42" t="s">
        <v>410</v>
      </c>
      <c r="C81" s="42">
        <f>COUNTIF($B$53:B81,B81)</f>
        <v>1</v>
      </c>
      <c r="D81" s="42" t="s">
        <v>495</v>
      </c>
      <c r="E81" s="42" t="str">
        <f t="shared" si="5"/>
        <v>1.1</v>
      </c>
      <c r="F81" s="51" t="str">
        <f t="shared" si="6"/>
        <v>Product | Product launch</v>
      </c>
    </row>
    <row r="82" spans="1:6">
      <c r="A82" s="46">
        <f t="shared" si="4"/>
        <v>1</v>
      </c>
      <c r="B82" s="42" t="s">
        <v>410</v>
      </c>
      <c r="C82" s="42">
        <f>COUNTIF($B$53:B82,B82)</f>
        <v>2</v>
      </c>
      <c r="D82" s="42" t="s">
        <v>496</v>
      </c>
      <c r="E82" s="42" t="str">
        <f t="shared" si="5"/>
        <v>1.2</v>
      </c>
      <c r="F82" s="51" t="str">
        <f t="shared" si="6"/>
        <v>Product | Product update</v>
      </c>
    </row>
    <row r="83" spans="1:6">
      <c r="A83" s="46">
        <f t="shared" si="4"/>
        <v>1</v>
      </c>
      <c r="B83" s="42" t="s">
        <v>410</v>
      </c>
      <c r="C83" s="42">
        <f>COUNTIF($B$53:B83,B83)</f>
        <v>3</v>
      </c>
      <c r="D83" s="42" t="s">
        <v>497</v>
      </c>
      <c r="E83" s="42" t="str">
        <f t="shared" si="5"/>
        <v>1.3</v>
      </c>
      <c r="F83" s="51" t="str">
        <f t="shared" si="6"/>
        <v>Product | Pricing change</v>
      </c>
    </row>
    <row r="84" spans="1:6">
      <c r="A84" s="46">
        <f t="shared" si="4"/>
        <v>1</v>
      </c>
      <c r="B84" s="42" t="s">
        <v>410</v>
      </c>
      <c r="C84" s="42">
        <f>COUNTIF($B$53:B84,B84)</f>
        <v>4</v>
      </c>
      <c r="D84" s="42" t="s">
        <v>498</v>
      </c>
      <c r="E84" s="42" t="str">
        <f t="shared" si="5"/>
        <v>1.4</v>
      </c>
      <c r="F84" s="51" t="str">
        <f t="shared" si="6"/>
        <v>Product | T&amp;C change</v>
      </c>
    </row>
    <row r="85" spans="1:6">
      <c r="A85" s="46">
        <f t="shared" si="4"/>
        <v>1</v>
      </c>
      <c r="B85" s="42" t="s">
        <v>410</v>
      </c>
      <c r="C85" s="42">
        <f>COUNTIF($B$53:B85,B85)</f>
        <v>5</v>
      </c>
      <c r="D85" s="42" t="s">
        <v>499</v>
      </c>
      <c r="E85" s="42" t="str">
        <f t="shared" si="5"/>
        <v>1.5</v>
      </c>
      <c r="F85" s="51" t="str">
        <f t="shared" si="6"/>
        <v>Product | Off product</v>
      </c>
    </row>
    <row r="86" spans="1:6">
      <c r="A86" s="46">
        <f t="shared" si="4"/>
        <v>2</v>
      </c>
      <c r="B86" s="42" t="s">
        <v>411</v>
      </c>
      <c r="C86" s="42">
        <f>COUNTIF($B$53:B86,B86)</f>
        <v>1</v>
      </c>
      <c r="D86" s="42" t="s">
        <v>500</v>
      </c>
      <c r="E86" s="42" t="str">
        <f t="shared" si="5"/>
        <v>2.1</v>
      </c>
      <c r="F86" s="51" t="str">
        <f t="shared" si="6"/>
        <v>Feature | Feature upgrade</v>
      </c>
    </row>
    <row r="87" spans="1:6">
      <c r="A87" s="46">
        <f t="shared" si="4"/>
        <v>2</v>
      </c>
      <c r="B87" s="42" t="s">
        <v>411</v>
      </c>
      <c r="C87" s="42">
        <f>COUNTIF($B$53:B87,B87)</f>
        <v>2</v>
      </c>
      <c r="D87" s="42" t="s">
        <v>501</v>
      </c>
      <c r="E87" s="42" t="str">
        <f t="shared" si="5"/>
        <v>2.2</v>
      </c>
      <c r="F87" s="51" t="str">
        <f t="shared" si="6"/>
        <v>Feature | New feature</v>
      </c>
    </row>
    <row r="88" spans="1:6">
      <c r="A88" s="46">
        <f t="shared" si="4"/>
        <v>2</v>
      </c>
      <c r="B88" s="42" t="s">
        <v>411</v>
      </c>
      <c r="C88" s="42">
        <f>COUNTIF($B$53:B88,B88)</f>
        <v>3</v>
      </c>
      <c r="D88" s="42" t="s">
        <v>502</v>
      </c>
      <c r="E88" s="42" t="str">
        <f t="shared" si="5"/>
        <v>2.3</v>
      </c>
      <c r="F88" s="51" t="str">
        <f t="shared" si="6"/>
        <v>Feature | Payment capability upgrade</v>
      </c>
    </row>
    <row r="89" spans="1:6">
      <c r="A89" s="46">
        <f t="shared" si="4"/>
        <v>2</v>
      </c>
      <c r="B89" s="42" t="s">
        <v>411</v>
      </c>
      <c r="C89" s="42">
        <f>COUNTIF($B$53:B89,B89)</f>
        <v>4</v>
      </c>
      <c r="D89" s="42" t="s">
        <v>503</v>
      </c>
      <c r="E89" s="42" t="str">
        <f t="shared" si="5"/>
        <v>2.4</v>
      </c>
      <c r="F89" s="51" t="str">
        <f t="shared" si="6"/>
        <v>Feature | UX / UI improvement</v>
      </c>
    </row>
    <row r="90" spans="1:6">
      <c r="A90" s="46">
        <f t="shared" si="4"/>
        <v>2</v>
      </c>
      <c r="B90" s="42" t="s">
        <v>411</v>
      </c>
      <c r="C90" s="42">
        <f>COUNTIF($B$53:B90,B90)</f>
        <v>5</v>
      </c>
      <c r="D90" s="42" t="s">
        <v>504</v>
      </c>
      <c r="E90" s="42" t="str">
        <f t="shared" si="5"/>
        <v>2.5</v>
      </c>
      <c r="F90" s="51" t="str">
        <f t="shared" si="6"/>
        <v>Feature | Security / Privacy</v>
      </c>
    </row>
    <row r="91" spans="1:6">
      <c r="A91" s="46">
        <f t="shared" si="4"/>
        <v>4</v>
      </c>
      <c r="B91" s="42" t="s">
        <v>459</v>
      </c>
      <c r="C91" s="42">
        <f>COUNTIF($B$53:B91,B91)</f>
        <v>1</v>
      </c>
      <c r="D91" s="42" t="s">
        <v>505</v>
      </c>
      <c r="E91" s="42" t="str">
        <f t="shared" si="5"/>
        <v>4.1</v>
      </c>
      <c r="F91" s="51" t="str">
        <f t="shared" si="6"/>
        <v>Partnership | Banking / Financial institution</v>
      </c>
    </row>
    <row r="92" spans="1:6">
      <c r="A92" s="46">
        <f t="shared" si="4"/>
        <v>4</v>
      </c>
      <c r="B92" s="42" t="s">
        <v>459</v>
      </c>
      <c r="C92" s="42">
        <f>COUNTIF($B$53:B92,B92)</f>
        <v>2</v>
      </c>
      <c r="D92" s="42" t="s">
        <v>506</v>
      </c>
      <c r="E92" s="42" t="str">
        <f t="shared" si="5"/>
        <v>4.2</v>
      </c>
      <c r="F92" s="51" t="str">
        <f t="shared" si="6"/>
        <v>Partnership | Merchant/ Retailer</v>
      </c>
    </row>
    <row r="93" spans="1:6">
      <c r="A93" s="46">
        <f t="shared" si="4"/>
        <v>4</v>
      </c>
      <c r="B93" s="42" t="s">
        <v>459</v>
      </c>
      <c r="C93" s="42">
        <f>COUNTIF($B$53:B93,B93)</f>
        <v>3</v>
      </c>
      <c r="D93" s="42" t="s">
        <v>507</v>
      </c>
      <c r="E93" s="42" t="str">
        <f t="shared" si="5"/>
        <v>4.3</v>
      </c>
      <c r="F93" s="51" t="str">
        <f t="shared" si="6"/>
        <v>Partnership | Ecommerce platform</v>
      </c>
    </row>
    <row r="94" spans="1:6">
      <c r="A94" s="46">
        <f t="shared" si="4"/>
        <v>4</v>
      </c>
      <c r="B94" s="42" t="s">
        <v>459</v>
      </c>
      <c r="C94" s="42">
        <f>COUNTIF($B$53:B94,B94)</f>
        <v>4</v>
      </c>
      <c r="D94" s="42" t="s">
        <v>508</v>
      </c>
      <c r="E94" s="42" t="str">
        <f t="shared" si="5"/>
        <v>4.4</v>
      </c>
      <c r="F94" s="51" t="str">
        <f t="shared" si="6"/>
        <v>Partnership | Telco/ Infrastructure</v>
      </c>
    </row>
    <row r="95" spans="1:6">
      <c r="A95" s="46">
        <f t="shared" si="4"/>
        <v>4</v>
      </c>
      <c r="B95" s="42" t="s">
        <v>459</v>
      </c>
      <c r="C95" s="42">
        <f>COUNTIF($B$53:B95,B95)</f>
        <v>5</v>
      </c>
      <c r="D95" s="42" t="s">
        <v>509</v>
      </c>
      <c r="E95" s="42" t="str">
        <f t="shared" si="5"/>
        <v>4.5</v>
      </c>
      <c r="F95" s="51" t="str">
        <f t="shared" si="6"/>
        <v>Partnership | Ecomerce partnership</v>
      </c>
    </row>
    <row r="96" spans="1:6">
      <c r="A96" s="46">
        <f>_xlfn.XLOOKUP(B96,$D$38:$D$48,$C$38:$C$48)</f>
        <v>4</v>
      </c>
      <c r="B96" s="42" t="s">
        <v>459</v>
      </c>
      <c r="C96" s="42">
        <f>COUNTIF($B$53:B96,B96)</f>
        <v>6</v>
      </c>
      <c r="D96" s="42" t="s">
        <v>510</v>
      </c>
      <c r="E96" s="42" t="str">
        <f>_xlfn.TEXTJOIN(".",TRUE,A96,C96)</f>
        <v>4.6</v>
      </c>
      <c r="F96" s="51" t="str">
        <f>_xlfn.TEXTJOIN(" | ",TRUE,B96,D96)</f>
        <v>Partnership | Technology provider</v>
      </c>
    </row>
    <row r="97" spans="1:7">
      <c r="A97" s="46">
        <f>_xlfn.XLOOKUP(B97,$D$38:$D$48,$C$38:$C$48)</f>
        <v>4</v>
      </c>
      <c r="B97" s="42" t="s">
        <v>459</v>
      </c>
      <c r="C97" s="42">
        <f>COUNTIF($B$53:B97,B97)</f>
        <v>7</v>
      </c>
      <c r="D97" s="42" t="s">
        <v>511</v>
      </c>
      <c r="E97" s="42" t="str">
        <f>_xlfn.TEXTJOIN(".",TRUE,A97,C97)</f>
        <v>4.7</v>
      </c>
      <c r="F97" s="51" t="str">
        <f>_xlfn.TEXTJOIN(" | ",TRUE,B97,D97)</f>
        <v>Partnership | Transport/ Mobility</v>
      </c>
    </row>
    <row r="98" spans="1:7">
      <c r="A98" s="46">
        <f>_xlfn.XLOOKUP(B98,$D$38:$D$48,$C$38:$C$48)</f>
        <v>4</v>
      </c>
      <c r="B98" s="42" t="s">
        <v>459</v>
      </c>
      <c r="C98" s="42">
        <f>COUNTIF($B$53:B98,B98)</f>
        <v>8</v>
      </c>
      <c r="D98" s="42" t="s">
        <v>512</v>
      </c>
      <c r="E98" s="42" t="str">
        <f>_xlfn.TEXTJOIN(".",TRUE,A98,C98)</f>
        <v>4.8</v>
      </c>
      <c r="F98" s="51" t="str">
        <f>_xlfn.TEXTJOIN(" | ",TRUE,B98,D98)</f>
        <v>Partnership | Utility</v>
      </c>
    </row>
    <row r="99" spans="1:7">
      <c r="A99" s="46">
        <f t="shared" si="4"/>
        <v>3</v>
      </c>
      <c r="B99" s="42" t="s">
        <v>457</v>
      </c>
      <c r="C99" s="42">
        <f>COUNTIF($B$53:B99,B99)</f>
        <v>1</v>
      </c>
      <c r="D99" s="42" t="s">
        <v>415</v>
      </c>
      <c r="E99" s="42" t="str">
        <f t="shared" si="5"/>
        <v>3.1</v>
      </c>
      <c r="F99" s="51" t="str">
        <f t="shared" si="6"/>
        <v>Marketing | User acquisition</v>
      </c>
    </row>
    <row r="100" spans="1:7">
      <c r="A100" s="46">
        <f t="shared" si="4"/>
        <v>3</v>
      </c>
      <c r="B100" s="42" t="s">
        <v>457</v>
      </c>
      <c r="C100" s="42">
        <f>COUNTIF($B$53:B100,B100)</f>
        <v>2</v>
      </c>
      <c r="D100" s="42" t="s">
        <v>413</v>
      </c>
      <c r="E100" s="42" t="str">
        <f t="shared" si="5"/>
        <v>3.2</v>
      </c>
      <c r="F100" s="51" t="str">
        <f t="shared" si="6"/>
        <v>Marketing | User activation</v>
      </c>
    </row>
    <row r="101" spans="1:7">
      <c r="A101" s="46">
        <f t="shared" si="4"/>
        <v>3</v>
      </c>
      <c r="B101" s="42" t="s">
        <v>457</v>
      </c>
      <c r="C101" s="42">
        <f>COUNTIF($B$53:B101,B101)</f>
        <v>3</v>
      </c>
      <c r="D101" s="42" t="s">
        <v>414</v>
      </c>
      <c r="E101" s="42" t="str">
        <f t="shared" si="5"/>
        <v>3.3</v>
      </c>
      <c r="F101" s="51" t="str">
        <f t="shared" si="6"/>
        <v>Marketing | User engagement</v>
      </c>
    </row>
    <row r="102" spans="1:7">
      <c r="A102" s="46">
        <f t="shared" si="4"/>
        <v>3</v>
      </c>
      <c r="B102" s="42" t="s">
        <v>457</v>
      </c>
      <c r="C102" s="42">
        <f>COUNTIF($B$53:B102,B102)</f>
        <v>4</v>
      </c>
      <c r="D102" s="42" t="s">
        <v>416</v>
      </c>
      <c r="E102" s="42" t="str">
        <f t="shared" si="5"/>
        <v>3.4</v>
      </c>
      <c r="F102" s="51" t="str">
        <f t="shared" si="6"/>
        <v>Marketing | Transaction growth</v>
      </c>
    </row>
    <row r="103" spans="1:7">
      <c r="A103" s="46">
        <f t="shared" si="4"/>
        <v>3</v>
      </c>
      <c r="B103" s="42" t="s">
        <v>457</v>
      </c>
      <c r="C103" s="42">
        <f>COUNTIF($B$53:B103,B103)</f>
        <v>5</v>
      </c>
      <c r="D103" s="42" t="s">
        <v>513</v>
      </c>
      <c r="E103" s="42" t="str">
        <f t="shared" si="5"/>
        <v>3.5</v>
      </c>
      <c r="F103" s="51" t="str">
        <f t="shared" si="6"/>
        <v>Marketing | Ecosystem expansion</v>
      </c>
    </row>
    <row r="104" spans="1:7">
      <c r="A104" s="46">
        <f>_xlfn.XLOOKUP(B104,$D$38:$D$48,$C$38:$C$48)</f>
        <v>3</v>
      </c>
      <c r="B104" s="42" t="s">
        <v>457</v>
      </c>
      <c r="C104" s="42">
        <f>COUNTIF($B$53:B104,B104)</f>
        <v>6</v>
      </c>
      <c r="D104" s="42" t="s">
        <v>461</v>
      </c>
      <c r="E104" s="42" t="str">
        <f>_xlfn.TEXTJOIN(".",TRUE,A104,C104)</f>
        <v>3.6</v>
      </c>
      <c r="F104" s="51" t="str">
        <f>_xlfn.TEXTJOIN(" | ",TRUE,B104,D104)</f>
        <v>Marketing | CSR/ Community</v>
      </c>
    </row>
    <row r="105" spans="1:7">
      <c r="A105" s="46">
        <f>_xlfn.XLOOKUP(B105,$D$38:$D$48,$C$38:$C$48)</f>
        <v>3</v>
      </c>
      <c r="B105" s="42" t="s">
        <v>457</v>
      </c>
      <c r="C105" s="42">
        <f>COUNTIF($B$53:B105,B105)</f>
        <v>7</v>
      </c>
      <c r="D105" s="42" t="s">
        <v>514</v>
      </c>
      <c r="E105" s="42" t="str">
        <f>_xlfn.TEXTJOIN(".",TRUE,A105,C105)</f>
        <v>3.7</v>
      </c>
      <c r="F105" s="51" t="str">
        <f>_xlfn.TEXTJOIN(" | ",TRUE,B105,D105)</f>
        <v>Marketing | Branding</v>
      </c>
      <c r="G105" s="214"/>
    </row>
    <row r="106" spans="1:7">
      <c r="A106" s="46">
        <f t="shared" si="4"/>
        <v>6</v>
      </c>
      <c r="B106" s="42" t="s">
        <v>409</v>
      </c>
      <c r="C106" s="42">
        <f>COUNTIF($B$53:B106,B106)</f>
        <v>1</v>
      </c>
      <c r="D106" s="42" t="s">
        <v>515</v>
      </c>
      <c r="E106" s="42" t="str">
        <f t="shared" si="5"/>
        <v>6.1</v>
      </c>
      <c r="F106" s="51" t="str">
        <f t="shared" si="6"/>
        <v>Strategy | Market expansion</v>
      </c>
    </row>
    <row r="107" spans="1:7">
      <c r="A107" s="46">
        <f t="shared" si="4"/>
        <v>6</v>
      </c>
      <c r="B107" s="42" t="s">
        <v>409</v>
      </c>
      <c r="C107" s="42">
        <f>COUNTIF($B$53:B107,B107)</f>
        <v>2</v>
      </c>
      <c r="D107" s="42" t="s">
        <v>513</v>
      </c>
      <c r="E107" s="42" t="str">
        <f t="shared" si="5"/>
        <v>6.2</v>
      </c>
      <c r="F107" s="51" t="str">
        <f t="shared" si="6"/>
        <v>Strategy | Ecosystem expansion</v>
      </c>
    </row>
    <row r="108" spans="1:7">
      <c r="A108" s="46">
        <f t="shared" si="4"/>
        <v>6</v>
      </c>
      <c r="B108" s="42" t="s">
        <v>409</v>
      </c>
      <c r="C108" s="42">
        <f>COUNTIF($B$53:B108,B108)</f>
        <v>3</v>
      </c>
      <c r="D108" s="42" t="s">
        <v>516</v>
      </c>
      <c r="E108" s="42" t="str">
        <f t="shared" si="5"/>
        <v>6.3</v>
      </c>
      <c r="F108" s="51" t="str">
        <f t="shared" si="6"/>
        <v>Strategy | Corporate investment</v>
      </c>
    </row>
    <row r="109" spans="1:7">
      <c r="A109" s="46">
        <f t="shared" si="4"/>
        <v>6</v>
      </c>
      <c r="B109" s="42" t="s">
        <v>409</v>
      </c>
      <c r="C109" s="42">
        <f>COUNTIF($B$53:B109,B109)</f>
        <v>4</v>
      </c>
      <c r="D109" s="42" t="s">
        <v>517</v>
      </c>
      <c r="E109" s="42" t="str">
        <f t="shared" si="5"/>
        <v>6.4</v>
      </c>
      <c r="F109" s="51" t="str">
        <f t="shared" si="6"/>
        <v>Strategy | Startup acquisition</v>
      </c>
    </row>
    <row r="110" spans="1:7">
      <c r="A110" s="47">
        <f t="shared" si="4"/>
        <v>6</v>
      </c>
      <c r="B110" s="48" t="s">
        <v>409</v>
      </c>
      <c r="C110" s="48">
        <f>COUNTIF($B$53:B110,B110)</f>
        <v>5</v>
      </c>
      <c r="D110" s="48" t="s">
        <v>518</v>
      </c>
      <c r="E110" s="48" t="str">
        <f t="shared" si="5"/>
        <v>6.5</v>
      </c>
      <c r="F110" s="53" t="str">
        <f t="shared" si="6"/>
        <v>Strategy | Platform / AI strategy</v>
      </c>
    </row>
    <row r="112" spans="1:7" ht="50.1" customHeight="1">
      <c r="A112" s="283" t="s">
        <v>519</v>
      </c>
      <c r="B112" s="284"/>
      <c r="C112" s="284"/>
      <c r="D112" s="284"/>
      <c r="E112" s="284"/>
      <c r="F112" s="285"/>
    </row>
    <row r="113" spans="1:6">
      <c r="A113" s="54" t="s">
        <v>520</v>
      </c>
      <c r="B113" s="56"/>
      <c r="C113" s="56"/>
      <c r="D113" s="56"/>
      <c r="E113" s="56"/>
      <c r="F113" s="55"/>
    </row>
    <row r="114" spans="1:6">
      <c r="A114" s="44" t="s">
        <v>71</v>
      </c>
      <c r="B114" s="59" t="s">
        <v>521</v>
      </c>
      <c r="F114" s="51"/>
    </row>
    <row r="115" spans="1:6">
      <c r="A115" s="46">
        <v>1</v>
      </c>
      <c r="B115" s="42" t="s">
        <v>86</v>
      </c>
      <c r="F115" s="51"/>
    </row>
    <row r="116" spans="1:6">
      <c r="A116" s="46">
        <v>2</v>
      </c>
      <c r="B116" s="42" t="s">
        <v>522</v>
      </c>
      <c r="F116" s="51"/>
    </row>
    <row r="117" spans="1:6">
      <c r="A117" s="46">
        <v>3</v>
      </c>
      <c r="B117" s="42" t="s">
        <v>523</v>
      </c>
      <c r="F117" s="51"/>
    </row>
    <row r="118" spans="1:6">
      <c r="A118" s="46">
        <v>4</v>
      </c>
      <c r="B118" s="42" t="s">
        <v>524</v>
      </c>
      <c r="F118" s="51"/>
    </row>
    <row r="119" spans="1:6">
      <c r="A119" s="46">
        <v>5</v>
      </c>
      <c r="B119" s="42" t="s">
        <v>525</v>
      </c>
      <c r="F119" s="51"/>
    </row>
    <row r="120" spans="1:6">
      <c r="A120" s="46">
        <v>6</v>
      </c>
      <c r="B120" s="42" t="s">
        <v>526</v>
      </c>
      <c r="F120" s="51"/>
    </row>
    <row r="121" spans="1:6">
      <c r="A121" s="47">
        <v>7</v>
      </c>
      <c r="B121" s="48" t="s">
        <v>527</v>
      </c>
      <c r="C121" s="257"/>
      <c r="D121" s="48"/>
      <c r="E121" s="48"/>
      <c r="F121" s="53"/>
    </row>
  </sheetData>
  <mergeCells count="3">
    <mergeCell ref="A112:F112"/>
    <mergeCell ref="A16:F16"/>
    <mergeCell ref="A34:J34"/>
  </mergeCells>
  <phoneticPr fontId="2" type="noConversion"/>
  <pageMargins left="0.7" right="0.7" top="0.75" bottom="0.75" header="0.3" footer="0.3"/>
  <pageSetup orientation="portrait" r:id="rId1"/>
  <ignoredErrors>
    <ignoredError sqref="C53" calculatedColumn="1"/>
  </ignoredErrors>
  <tableParts count="4">
    <tablePart r:id="rId2"/>
    <tablePart r:id="rId3"/>
    <tablePart r:id="rId4"/>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ECF99-D640-4636-B3D0-C4B0042CBA43}">
  <sheetPr codeName="Sheet10"/>
  <dimension ref="A1:Z534"/>
  <sheetViews>
    <sheetView topLeftCell="Q1" zoomScaleNormal="100" workbookViewId="0">
      <pane ySplit="3" topLeftCell="A467" activePane="bottomLeft" state="frozen"/>
      <selection pane="bottomLeft" activeCell="A3" sqref="A3:Z482"/>
      <selection activeCell="G1" sqref="G1"/>
    </sheetView>
  </sheetViews>
  <sheetFormatPr defaultRowHeight="14.45"/>
  <cols>
    <col min="1" max="1" width="8.140625" customWidth="1"/>
    <col min="2" max="2" width="28.5703125" customWidth="1"/>
    <col min="3" max="3" width="34.5703125" customWidth="1"/>
    <col min="4" max="4" width="13.5703125" customWidth="1"/>
    <col min="5" max="5" width="18.7109375" style="104" customWidth="1"/>
    <col min="6" max="6" width="7.5703125" customWidth="1"/>
    <col min="7" max="7" width="11.7109375" style="34" customWidth="1"/>
    <col min="8" max="8" width="37.140625" customWidth="1"/>
    <col min="9" max="9" width="13" style="34" customWidth="1"/>
    <col min="10" max="10" width="17.140625" customWidth="1"/>
    <col min="11" max="11" width="15.85546875" customWidth="1"/>
    <col min="12" max="12" width="19.5703125" customWidth="1"/>
    <col min="13" max="13" width="24.140625" customWidth="1"/>
    <col min="14" max="14" width="30.42578125" customWidth="1"/>
    <col min="15" max="15" width="25.42578125" customWidth="1"/>
    <col min="16" max="16" width="47.140625" customWidth="1"/>
    <col min="17" max="18" width="15.140625" style="37" customWidth="1"/>
    <col min="19" max="19" width="24.7109375" hidden="1" customWidth="1"/>
    <col min="20" max="20" width="18.5703125" bestFit="1" customWidth="1"/>
    <col min="21" max="21" width="23.85546875" bestFit="1" customWidth="1"/>
    <col min="22" max="22" width="21.5703125" bestFit="1" customWidth="1"/>
    <col min="23" max="23" width="23.85546875" bestFit="1" customWidth="1"/>
    <col min="24" max="24" width="12.85546875" style="104" customWidth="1"/>
    <col min="25" max="25" width="18.7109375" customWidth="1"/>
    <col min="26" max="26" width="17.42578125" customWidth="1"/>
  </cols>
  <sheetData>
    <row r="1" spans="1:26" s="172" customFormat="1" ht="15.95" customHeight="1">
      <c r="A1" s="165" t="s">
        <v>528</v>
      </c>
      <c r="B1" s="166" t="s">
        <v>529</v>
      </c>
      <c r="C1" s="166"/>
      <c r="D1" s="167" t="s">
        <v>530</v>
      </c>
      <c r="E1" s="180" t="s">
        <v>528</v>
      </c>
      <c r="F1" s="180" t="s">
        <v>528</v>
      </c>
      <c r="G1" s="181" t="s">
        <v>529</v>
      </c>
      <c r="H1" s="166" t="s">
        <v>529</v>
      </c>
      <c r="I1" s="168" t="s">
        <v>529</v>
      </c>
      <c r="J1" s="167" t="s">
        <v>530</v>
      </c>
      <c r="K1" s="167" t="s">
        <v>530</v>
      </c>
      <c r="L1" s="167" t="s">
        <v>530</v>
      </c>
      <c r="M1" s="167" t="s">
        <v>530</v>
      </c>
      <c r="N1" s="167"/>
      <c r="O1" s="166" t="s">
        <v>529</v>
      </c>
      <c r="P1" s="169" t="s">
        <v>529</v>
      </c>
      <c r="Q1" s="170" t="s">
        <v>529</v>
      </c>
      <c r="R1" s="170" t="s">
        <v>529</v>
      </c>
      <c r="S1" s="166" t="s">
        <v>529</v>
      </c>
      <c r="T1" s="171">
        <v>0.4</v>
      </c>
      <c r="U1" s="171">
        <v>0.25</v>
      </c>
      <c r="V1" s="171">
        <v>0.2</v>
      </c>
      <c r="W1" s="171">
        <v>0.15</v>
      </c>
      <c r="X1" s="173" t="s">
        <v>531</v>
      </c>
      <c r="Y1" s="167"/>
      <c r="Z1" s="167"/>
    </row>
    <row r="2" spans="1:26" s="172" customFormat="1" ht="100.5" customHeight="1">
      <c r="A2" s="174"/>
      <c r="B2" s="166"/>
      <c r="C2" s="166"/>
      <c r="D2" s="167"/>
      <c r="E2" s="180"/>
      <c r="F2" s="180"/>
      <c r="G2" s="181"/>
      <c r="H2" s="166"/>
      <c r="I2" s="168"/>
      <c r="J2" s="167"/>
      <c r="K2" s="167"/>
      <c r="L2" s="167"/>
      <c r="M2" s="167"/>
      <c r="N2" s="167"/>
      <c r="O2" s="166"/>
      <c r="P2" s="169"/>
      <c r="Q2" s="170"/>
      <c r="R2" s="170"/>
      <c r="S2" s="166"/>
      <c r="T2" s="171">
        <v>0.6</v>
      </c>
      <c r="U2" s="171">
        <v>0.4</v>
      </c>
      <c r="V2" s="171"/>
      <c r="W2" s="171"/>
      <c r="X2" s="173"/>
      <c r="Y2" s="167"/>
      <c r="Z2" s="167"/>
    </row>
    <row r="3" spans="1:26" s="179" customFormat="1">
      <c r="A3" s="175" t="s">
        <v>532</v>
      </c>
      <c r="B3" s="175" t="s">
        <v>29</v>
      </c>
      <c r="C3" s="175" t="s">
        <v>533</v>
      </c>
      <c r="D3" s="175" t="s">
        <v>37</v>
      </c>
      <c r="E3" s="175" t="s">
        <v>534</v>
      </c>
      <c r="F3" s="175" t="s">
        <v>41</v>
      </c>
      <c r="G3" s="176" t="s">
        <v>61</v>
      </c>
      <c r="H3" s="175" t="s">
        <v>63</v>
      </c>
      <c r="I3" s="176" t="s">
        <v>43</v>
      </c>
      <c r="J3" s="175" t="s">
        <v>44</v>
      </c>
      <c r="K3" s="176" t="s">
        <v>46</v>
      </c>
      <c r="L3" s="175" t="s">
        <v>47</v>
      </c>
      <c r="M3" s="175" t="s">
        <v>49</v>
      </c>
      <c r="N3" s="175" t="s">
        <v>535</v>
      </c>
      <c r="O3" s="177" t="s">
        <v>53</v>
      </c>
      <c r="P3" s="177" t="s">
        <v>55</v>
      </c>
      <c r="Q3" s="178" t="s">
        <v>536</v>
      </c>
      <c r="R3" s="178" t="s">
        <v>537</v>
      </c>
      <c r="S3" s="175" t="s">
        <v>538</v>
      </c>
      <c r="T3" s="179" t="s">
        <v>539</v>
      </c>
      <c r="U3" s="179" t="s">
        <v>540</v>
      </c>
      <c r="V3" s="179" t="s">
        <v>541</v>
      </c>
      <c r="W3" s="179" t="s">
        <v>542</v>
      </c>
      <c r="X3" s="175" t="s">
        <v>543</v>
      </c>
      <c r="Y3" s="175" t="s">
        <v>51</v>
      </c>
      <c r="Z3" s="175" t="s">
        <v>544</v>
      </c>
    </row>
    <row r="4" spans="1:26" hidden="1">
      <c r="A4" s="41">
        <f>ROW()-3</f>
        <v>1</v>
      </c>
      <c r="B4" s="35" t="s">
        <v>545</v>
      </c>
      <c r="C4" s="35" t="str">
        <f t="shared" ref="C4:C67" si="0">HYPERLINK(B4,O4)</f>
        <v>Thông tư 77/2025/TT-NHNN ngày 31/12/2025 có hiệu lực từ 1/3/2026</v>
      </c>
      <c r="D4" t="s">
        <v>153</v>
      </c>
      <c r="E4" s="105" t="str">
        <f>VLOOKUP(X4,'Updating-Scoring'!$C$2:$D$7,2,TRUE)</f>
        <v>5 - Industry disruption</v>
      </c>
      <c r="F4">
        <f t="shared" ref="F4:F67" si="1">WEEKNUM(G4,2)</f>
        <v>9</v>
      </c>
      <c r="G4" s="110">
        <v>46082</v>
      </c>
      <c r="H4" t="s">
        <v>546</v>
      </c>
      <c r="I4" s="34">
        <v>46022</v>
      </c>
      <c r="J4" t="s">
        <v>284</v>
      </c>
      <c r="K4" s="34" t="s">
        <v>431</v>
      </c>
      <c r="L4" s="34" t="s">
        <v>453</v>
      </c>
      <c r="M4" s="34" t="s">
        <v>547</v>
      </c>
      <c r="N4" s="34" t="str">
        <f t="shared" ref="N4:N67" si="2">L4&amp;" | "&amp;M4</f>
        <v>Legal | Banking / Fintech</v>
      </c>
      <c r="O4" t="s">
        <v>548</v>
      </c>
      <c r="P4" t="s">
        <v>549</v>
      </c>
      <c r="Q4" s="38">
        <v>46082</v>
      </c>
      <c r="R4" s="38"/>
      <c r="S4" s="34" t="s">
        <v>550</v>
      </c>
      <c r="T4">
        <v>5</v>
      </c>
      <c r="U4">
        <v>5</v>
      </c>
      <c r="V4">
        <v>5</v>
      </c>
      <c r="W4">
        <v>5</v>
      </c>
      <c r="X4" s="106">
        <f>IF(G4&lt;DATE(2026,4,30),T4*$T$1+U4*$U$1+V4*$V$1+W4*$W$1,T4*$T$2+U4*$U$2)</f>
        <v>5</v>
      </c>
      <c r="Y4" s="34"/>
      <c r="Z4" s="34"/>
    </row>
    <row r="5" spans="1:26" hidden="1">
      <c r="A5" s="41">
        <f t="shared" ref="A5:A68" si="3">ROW()-3</f>
        <v>2</v>
      </c>
      <c r="B5" s="35" t="s">
        <v>551</v>
      </c>
      <c r="C5" s="35" t="str">
        <f t="shared" si="0"/>
        <v>Luật Trí tuệ nhân tạo số 134/2025/QH15 do Quốc hội ban hành chính thức áp dụng từ 1/3/2026</v>
      </c>
      <c r="D5" t="s">
        <v>153</v>
      </c>
      <c r="E5" s="105" t="str">
        <f>VLOOKUP(X5,'Updating-Scoring'!$C$2:$D$7,2,TRUE)</f>
        <v>5 - Industry disruption</v>
      </c>
      <c r="F5">
        <f t="shared" si="1"/>
        <v>9</v>
      </c>
      <c r="G5" s="110">
        <v>46082</v>
      </c>
      <c r="H5" t="s">
        <v>552</v>
      </c>
      <c r="I5" s="34">
        <v>45942</v>
      </c>
      <c r="J5" t="s">
        <v>284</v>
      </c>
      <c r="K5" s="34" t="s">
        <v>431</v>
      </c>
      <c r="L5" s="34" t="s">
        <v>453</v>
      </c>
      <c r="M5" s="34" t="s">
        <v>86</v>
      </c>
      <c r="N5" s="34" t="str">
        <f t="shared" si="2"/>
        <v>Legal | AI</v>
      </c>
      <c r="O5" t="s">
        <v>553</v>
      </c>
      <c r="P5" t="s">
        <v>554</v>
      </c>
      <c r="Q5" s="38">
        <v>46082</v>
      </c>
      <c r="R5" s="38"/>
      <c r="S5" s="34" t="s">
        <v>555</v>
      </c>
      <c r="T5">
        <v>5</v>
      </c>
      <c r="U5">
        <v>5</v>
      </c>
      <c r="V5">
        <v>5</v>
      </c>
      <c r="W5">
        <v>5</v>
      </c>
      <c r="X5" s="106">
        <f t="shared" ref="X5:X15" si="4">IF(G5&lt;DATE(2026,4,30),T5*$T$1+U5*$U$1+V5*$V$1+W5*$W$1,T5*$T$2+U5*$U$2)</f>
        <v>5</v>
      </c>
      <c r="Y5" s="34"/>
      <c r="Z5" s="34"/>
    </row>
    <row r="6" spans="1:26" hidden="1">
      <c r="A6" s="41">
        <f t="shared" si="3"/>
        <v>3</v>
      </c>
      <c r="B6" s="35" t="s">
        <v>556</v>
      </c>
      <c r="C6" s="35" t="str">
        <f t="shared" si="0"/>
        <v>Nghiên cứu tích hợp mạng xã hội vào VNeID để định danh người dùng ngay trong Quý III/2026</v>
      </c>
      <c r="D6" t="s">
        <v>85</v>
      </c>
      <c r="E6" s="105" t="str">
        <f>VLOOKUP(X6,'Updating-Scoring'!$C$2:$D$7,2,TRUE)</f>
        <v>5 - Industry disruption</v>
      </c>
      <c r="F6">
        <f t="shared" si="1"/>
        <v>9</v>
      </c>
      <c r="G6" s="110">
        <v>46082</v>
      </c>
      <c r="H6" t="s">
        <v>557</v>
      </c>
      <c r="I6" s="34">
        <v>46075</v>
      </c>
      <c r="J6" t="s">
        <v>284</v>
      </c>
      <c r="K6" s="34" t="s">
        <v>431</v>
      </c>
      <c r="L6" s="34" t="s">
        <v>445</v>
      </c>
      <c r="M6" s="34" t="s">
        <v>558</v>
      </c>
      <c r="N6" s="34" t="str">
        <f t="shared" si="2"/>
        <v>Political | Natinal digital strategy</v>
      </c>
      <c r="O6" t="s">
        <v>559</v>
      </c>
      <c r="P6" t="s">
        <v>560</v>
      </c>
      <c r="Q6" s="38">
        <v>46081</v>
      </c>
      <c r="R6" s="38">
        <v>46296</v>
      </c>
      <c r="S6" t="s">
        <v>561</v>
      </c>
      <c r="T6">
        <v>5</v>
      </c>
      <c r="U6">
        <v>5</v>
      </c>
      <c r="V6">
        <v>5</v>
      </c>
      <c r="W6">
        <v>5</v>
      </c>
      <c r="X6" s="106">
        <f t="shared" si="4"/>
        <v>5</v>
      </c>
      <c r="Y6" s="34"/>
      <c r="Z6" s="34"/>
    </row>
    <row r="7" spans="1:26" hidden="1">
      <c r="A7" s="41">
        <f t="shared" si="3"/>
        <v>4</v>
      </c>
      <c r="B7" s="36" t="s">
        <v>562</v>
      </c>
      <c r="C7" s="35" t="str">
        <f t="shared" si="0"/>
        <v>Thị trường giao dịch tài sản mã hóa sẽ được đưa vào vận hành thí điểm trước ngày 28/2/2026</v>
      </c>
      <c r="D7" t="s">
        <v>97</v>
      </c>
      <c r="E7" s="105" t="str">
        <f>VLOOKUP(X7,'Updating-Scoring'!$C$2:$D$7,2,TRUE)</f>
        <v>5 - Industry disruption</v>
      </c>
      <c r="F7">
        <f t="shared" si="1"/>
        <v>9</v>
      </c>
      <c r="G7" s="110">
        <v>46082</v>
      </c>
      <c r="H7" t="s">
        <v>563</v>
      </c>
      <c r="I7" s="34">
        <v>46079</v>
      </c>
      <c r="J7" t="s">
        <v>284</v>
      </c>
      <c r="K7" s="34" t="s">
        <v>431</v>
      </c>
      <c r="L7" s="34" t="s">
        <v>453</v>
      </c>
      <c r="M7" s="34" t="s">
        <v>491</v>
      </c>
      <c r="N7" s="34" t="str">
        <f t="shared" si="2"/>
        <v>Legal | Digital money</v>
      </c>
      <c r="O7" t="s">
        <v>564</v>
      </c>
      <c r="P7" t="s">
        <v>565</v>
      </c>
      <c r="Q7" s="38">
        <v>46023</v>
      </c>
      <c r="R7" s="38">
        <v>46080</v>
      </c>
      <c r="S7" s="34" t="s">
        <v>566</v>
      </c>
      <c r="T7">
        <v>5</v>
      </c>
      <c r="U7">
        <v>5</v>
      </c>
      <c r="V7">
        <v>5</v>
      </c>
      <c r="W7">
        <v>5</v>
      </c>
      <c r="X7" s="106">
        <f t="shared" si="4"/>
        <v>5</v>
      </c>
      <c r="Y7" s="34"/>
      <c r="Z7" s="34"/>
    </row>
    <row r="8" spans="1:26" hidden="1">
      <c r="A8" s="41">
        <f t="shared" si="3"/>
        <v>5</v>
      </c>
      <c r="B8" s="36" t="s">
        <v>567</v>
      </c>
      <c r="C8" s="35" t="str">
        <f t="shared" si="0"/>
        <v>Google ra mắt mô hình tạo ảnh mới Nano Banana 2, tham vọng phủ sóng toàn hệ sinh thái AI</v>
      </c>
      <c r="D8" t="s">
        <v>568</v>
      </c>
      <c r="E8" s="105" t="str">
        <f>VLOOKUP(X8,'Updating-Scoring'!$C$2:$D$7,2,TRUE)</f>
        <v>5 - Industry disruption</v>
      </c>
      <c r="F8">
        <f t="shared" si="1"/>
        <v>9</v>
      </c>
      <c r="G8" s="110">
        <v>46082</v>
      </c>
      <c r="H8" t="s">
        <v>569</v>
      </c>
      <c r="I8" s="34">
        <v>46080</v>
      </c>
      <c r="J8" t="s">
        <v>284</v>
      </c>
      <c r="K8" s="34" t="s">
        <v>428</v>
      </c>
      <c r="L8" s="34" t="s">
        <v>451</v>
      </c>
      <c r="M8" s="34" t="s">
        <v>483</v>
      </c>
      <c r="N8" s="34" t="str">
        <f t="shared" si="2"/>
        <v>Technology | AI/ Gen AI</v>
      </c>
      <c r="O8" t="s">
        <v>569</v>
      </c>
      <c r="P8" t="s">
        <v>570</v>
      </c>
      <c r="Q8" s="38"/>
      <c r="R8" s="38"/>
      <c r="S8" s="34" t="s">
        <v>571</v>
      </c>
      <c r="T8">
        <v>5</v>
      </c>
      <c r="U8">
        <v>5</v>
      </c>
      <c r="V8">
        <v>5</v>
      </c>
      <c r="W8">
        <v>5</v>
      </c>
      <c r="X8" s="106">
        <f t="shared" si="4"/>
        <v>5</v>
      </c>
      <c r="Y8" s="34"/>
      <c r="Z8" s="34"/>
    </row>
    <row r="9" spans="1:26" hidden="1">
      <c r="A9" s="41">
        <f t="shared" si="3"/>
        <v>6</v>
      </c>
      <c r="B9" s="35" t="s">
        <v>572</v>
      </c>
      <c r="C9" s="35" t="str">
        <f t="shared" si="0"/>
        <v>Sự tăng tốc của các hệ sinh thái super-app “AI-FIRST”</v>
      </c>
      <c r="D9" t="s">
        <v>568</v>
      </c>
      <c r="E9" s="105" t="str">
        <f>VLOOKUP(X9,'Updating-Scoring'!$C$2:$D$7,2,TRUE)</f>
        <v>5 - Industry disruption</v>
      </c>
      <c r="F9">
        <f t="shared" si="1"/>
        <v>9</v>
      </c>
      <c r="G9" s="110">
        <v>46082</v>
      </c>
      <c r="H9" t="s">
        <v>573</v>
      </c>
      <c r="I9" s="34">
        <v>46077</v>
      </c>
      <c r="J9" t="s">
        <v>284</v>
      </c>
      <c r="K9" s="34" t="s">
        <v>428</v>
      </c>
      <c r="L9" s="34" t="s">
        <v>451</v>
      </c>
      <c r="M9" s="34" t="s">
        <v>483</v>
      </c>
      <c r="N9" s="34" t="str">
        <f t="shared" si="2"/>
        <v>Technology | AI/ Gen AI</v>
      </c>
      <c r="O9" t="s">
        <v>574</v>
      </c>
      <c r="P9" t="s">
        <v>575</v>
      </c>
      <c r="Q9" s="38"/>
      <c r="R9" s="38"/>
      <c r="S9" s="34" t="s">
        <v>576</v>
      </c>
      <c r="T9">
        <v>5</v>
      </c>
      <c r="U9">
        <v>5</v>
      </c>
      <c r="V9">
        <v>5</v>
      </c>
      <c r="W9">
        <v>5</v>
      </c>
      <c r="X9" s="106">
        <f t="shared" si="4"/>
        <v>5</v>
      </c>
      <c r="Y9" s="34"/>
      <c r="Z9" s="34"/>
    </row>
    <row r="10" spans="1:26" hidden="1">
      <c r="A10" s="41">
        <f t="shared" si="3"/>
        <v>7</v>
      </c>
      <c r="B10" s="35" t="s">
        <v>577</v>
      </c>
      <c r="C10" s="35" t="str">
        <f t="shared" si="0"/>
        <v>Alibaba, Baidu, ByteDance và Tencent đang chạy đua biến chatbot thành công cụ mua sắm</v>
      </c>
      <c r="D10" t="s">
        <v>104</v>
      </c>
      <c r="E10" s="105" t="str">
        <f>VLOOKUP(X10,'Updating-Scoring'!$C$2:$D$7,2,TRUE)</f>
        <v>5 - Industry disruption</v>
      </c>
      <c r="F10">
        <f t="shared" si="1"/>
        <v>9</v>
      </c>
      <c r="G10" s="110">
        <v>46082</v>
      </c>
      <c r="H10" t="s">
        <v>578</v>
      </c>
      <c r="I10" s="34">
        <v>46045</v>
      </c>
      <c r="J10" t="s">
        <v>284</v>
      </c>
      <c r="K10" s="34" t="s">
        <v>429</v>
      </c>
      <c r="L10" s="34" t="s">
        <v>451</v>
      </c>
      <c r="M10" s="34" t="s">
        <v>483</v>
      </c>
      <c r="N10" s="34" t="str">
        <f t="shared" si="2"/>
        <v>Technology | AI/ Gen AI</v>
      </c>
      <c r="O10" t="s">
        <v>579</v>
      </c>
      <c r="P10" t="s">
        <v>580</v>
      </c>
      <c r="Q10" s="38"/>
      <c r="R10" s="38"/>
      <c r="S10" s="34" t="s">
        <v>581</v>
      </c>
      <c r="T10">
        <v>5</v>
      </c>
      <c r="U10">
        <v>5</v>
      </c>
      <c r="V10">
        <v>5</v>
      </c>
      <c r="W10">
        <v>5</v>
      </c>
      <c r="X10" s="106">
        <f t="shared" si="4"/>
        <v>5</v>
      </c>
      <c r="Y10" s="34"/>
      <c r="Z10" s="34"/>
    </row>
    <row r="11" spans="1:26" hidden="1">
      <c r="A11" s="41">
        <f t="shared" si="3"/>
        <v>8</v>
      </c>
      <c r="B11" s="36" t="s">
        <v>582</v>
      </c>
      <c r="C11" s="35" t="str">
        <f t="shared" si="0"/>
        <v>Galaxy S26 series sẽ mang đến 7 nâng cấp AI mới, tập trung vào tự động hóa tác vụ đa bước,..triển khai trước tại Mỹ và Hàn Quốc</v>
      </c>
      <c r="D11" t="s">
        <v>85</v>
      </c>
      <c r="E11" s="105" t="str">
        <f>VLOOKUP(X11,'Updating-Scoring'!$C$2:$D$7,2,TRUE)</f>
        <v>5 - Industry disruption</v>
      </c>
      <c r="F11">
        <f t="shared" si="1"/>
        <v>9</v>
      </c>
      <c r="G11" s="110">
        <v>46082</v>
      </c>
      <c r="H11" t="s">
        <v>583</v>
      </c>
      <c r="I11" s="34">
        <v>46079</v>
      </c>
      <c r="J11" t="s">
        <v>284</v>
      </c>
      <c r="K11" s="34" t="s">
        <v>428</v>
      </c>
      <c r="L11" s="34" t="s">
        <v>451</v>
      </c>
      <c r="M11" s="34" t="s">
        <v>483</v>
      </c>
      <c r="N11" s="34" t="str">
        <f t="shared" si="2"/>
        <v>Technology | AI/ Gen AI</v>
      </c>
      <c r="O11" t="s">
        <v>584</v>
      </c>
      <c r="P11" t="s">
        <v>585</v>
      </c>
      <c r="Q11" s="38"/>
      <c r="R11" s="38"/>
      <c r="S11" s="34" t="s">
        <v>586</v>
      </c>
      <c r="T11">
        <v>5</v>
      </c>
      <c r="U11">
        <v>5</v>
      </c>
      <c r="V11">
        <v>5</v>
      </c>
      <c r="W11">
        <v>5</v>
      </c>
      <c r="X11" s="106">
        <f t="shared" si="4"/>
        <v>5</v>
      </c>
      <c r="Y11" s="34"/>
      <c r="Z11" s="34"/>
    </row>
    <row r="12" spans="1:26" hidden="1">
      <c r="A12" s="41">
        <f t="shared" si="3"/>
        <v>9</v>
      </c>
      <c r="B12" s="35" t="s">
        <v>587</v>
      </c>
      <c r="C12" s="35" t="str">
        <f t="shared" si="0"/>
        <v>Zalopay nâng cấp bảo mật theo Thông tư 77/2025/TT-NHNN, tăng cường an toàn giao dịch cho người dùng</v>
      </c>
      <c r="D12" t="s">
        <v>588</v>
      </c>
      <c r="E12" s="105" t="str">
        <f>VLOOKUP(X12,'Updating-Scoring'!$C$2:$D$7,2,TRUE)</f>
        <v>5 - Industry disruption</v>
      </c>
      <c r="F12">
        <f t="shared" si="1"/>
        <v>9</v>
      </c>
      <c r="G12" s="110">
        <v>46082</v>
      </c>
      <c r="H12" t="s">
        <v>589</v>
      </c>
      <c r="I12" s="34">
        <v>46080</v>
      </c>
      <c r="J12" t="s">
        <v>170</v>
      </c>
      <c r="K12" s="34" t="s">
        <v>434</v>
      </c>
      <c r="L12" s="34" t="s">
        <v>411</v>
      </c>
      <c r="M12" s="34" t="s">
        <v>590</v>
      </c>
      <c r="N12" s="34" t="str">
        <f t="shared" si="2"/>
        <v>Feature | Security /  Privacy</v>
      </c>
      <c r="O12" t="s">
        <v>589</v>
      </c>
      <c r="P12" t="s">
        <v>591</v>
      </c>
      <c r="Q12" s="38">
        <v>46082</v>
      </c>
      <c r="R12" s="38"/>
      <c r="S12" s="34" t="s">
        <v>592</v>
      </c>
      <c r="T12">
        <v>5</v>
      </c>
      <c r="U12">
        <v>5</v>
      </c>
      <c r="V12">
        <v>5</v>
      </c>
      <c r="W12">
        <v>5</v>
      </c>
      <c r="X12" s="106">
        <f t="shared" si="4"/>
        <v>5</v>
      </c>
      <c r="Y12" s="34"/>
      <c r="Z12" s="34"/>
    </row>
    <row r="13" spans="1:26" hidden="1">
      <c r="A13" s="41">
        <f t="shared" si="3"/>
        <v>10</v>
      </c>
      <c r="B13" s="35" t="s">
        <v>593</v>
      </c>
      <c r="C13" s="35" t="str">
        <f t="shared" si="0"/>
        <v>Giảm đến 50.000đ khi thanh toán Home Credit trên Zalopay</v>
      </c>
      <c r="D13" t="s">
        <v>588</v>
      </c>
      <c r="E13" s="105" t="str">
        <f>VLOOKUP(X13,'Updating-Scoring'!$C$2:$D$7,2,TRUE)</f>
        <v>5 - Industry disruption</v>
      </c>
      <c r="F13">
        <f t="shared" si="1"/>
        <v>9</v>
      </c>
      <c r="G13" s="110">
        <v>46082</v>
      </c>
      <c r="H13" t="s">
        <v>594</v>
      </c>
      <c r="I13" s="34">
        <v>46081</v>
      </c>
      <c r="J13" t="s">
        <v>170</v>
      </c>
      <c r="K13" s="34" t="s">
        <v>434</v>
      </c>
      <c r="L13" s="34" t="s">
        <v>457</v>
      </c>
      <c r="M13" s="34" t="s">
        <v>513</v>
      </c>
      <c r="N13" s="34" t="str">
        <f t="shared" si="2"/>
        <v>Marketing | Ecosystem expansion</v>
      </c>
      <c r="O13" t="s">
        <v>594</v>
      </c>
      <c r="P13" t="s">
        <v>595</v>
      </c>
      <c r="Q13" s="38">
        <v>46054</v>
      </c>
      <c r="R13" s="38">
        <v>46112</v>
      </c>
      <c r="S13" s="34" t="s">
        <v>596</v>
      </c>
      <c r="T13">
        <v>5</v>
      </c>
      <c r="U13">
        <v>5</v>
      </c>
      <c r="V13">
        <v>5</v>
      </c>
      <c r="W13">
        <v>5</v>
      </c>
      <c r="X13" s="106">
        <f t="shared" si="4"/>
        <v>5</v>
      </c>
      <c r="Y13" s="34" t="s">
        <v>597</v>
      </c>
      <c r="Z13" s="34" t="s">
        <v>598</v>
      </c>
    </row>
    <row r="14" spans="1:26" hidden="1">
      <c r="A14" s="41">
        <f t="shared" si="3"/>
        <v>11</v>
      </c>
      <c r="B14" s="35" t="s">
        <v>599</v>
      </c>
      <c r="C14" s="35" t="str">
        <f t="shared" si="0"/>
        <v>Giảm đến 50.000đ khi thanh toán FE Credit trên Zalopay</v>
      </c>
      <c r="D14" t="s">
        <v>588</v>
      </c>
      <c r="E14" s="105" t="str">
        <f>VLOOKUP(X14,'Updating-Scoring'!$C$2:$D$7,2,TRUE)</f>
        <v>5 - Industry disruption</v>
      </c>
      <c r="F14">
        <f t="shared" si="1"/>
        <v>9</v>
      </c>
      <c r="G14" s="110">
        <v>46082</v>
      </c>
      <c r="H14" t="s">
        <v>600</v>
      </c>
      <c r="I14" s="34">
        <v>46081</v>
      </c>
      <c r="J14" t="s">
        <v>170</v>
      </c>
      <c r="K14" s="34" t="s">
        <v>434</v>
      </c>
      <c r="L14" s="34" t="s">
        <v>457</v>
      </c>
      <c r="M14" s="34" t="s">
        <v>513</v>
      </c>
      <c r="N14" s="34" t="str">
        <f t="shared" si="2"/>
        <v>Marketing | Ecosystem expansion</v>
      </c>
      <c r="O14" t="s">
        <v>600</v>
      </c>
      <c r="Q14" s="38">
        <v>46054</v>
      </c>
      <c r="R14" s="38">
        <v>46112</v>
      </c>
      <c r="S14" s="34" t="s">
        <v>596</v>
      </c>
      <c r="T14">
        <v>5</v>
      </c>
      <c r="U14">
        <v>5</v>
      </c>
      <c r="V14">
        <v>5</v>
      </c>
      <c r="W14">
        <v>5</v>
      </c>
      <c r="X14" s="106">
        <f t="shared" si="4"/>
        <v>5</v>
      </c>
      <c r="Y14" s="34" t="s">
        <v>597</v>
      </c>
      <c r="Z14" s="34" t="s">
        <v>601</v>
      </c>
    </row>
    <row r="15" spans="1:26" hidden="1">
      <c r="A15" s="41">
        <f t="shared" si="3"/>
        <v>12</v>
      </c>
      <c r="B15" s="35" t="s">
        <v>602</v>
      </c>
      <c r="C15" s="35" t="str">
        <f t="shared" si="0"/>
        <v>Đặt dịch vụ giao hàng SPX Express trên ZaloPay</v>
      </c>
      <c r="D15" t="s">
        <v>603</v>
      </c>
      <c r="E15" s="105" t="str">
        <f>VLOOKUP(X15,'Updating-Scoring'!$C$2:$D$7,2,TRUE)</f>
        <v>5 - Industry disruption</v>
      </c>
      <c r="F15">
        <f t="shared" si="1"/>
        <v>9</v>
      </c>
      <c r="G15" s="110">
        <v>46082</v>
      </c>
      <c r="H15" t="s">
        <v>604</v>
      </c>
      <c r="I15" s="34">
        <v>46078</v>
      </c>
      <c r="J15" t="s">
        <v>170</v>
      </c>
      <c r="K15" s="34" t="s">
        <v>434</v>
      </c>
      <c r="L15" s="34" t="s">
        <v>457</v>
      </c>
      <c r="M15" s="34" t="s">
        <v>513</v>
      </c>
      <c r="N15" s="34" t="str">
        <f t="shared" si="2"/>
        <v>Marketing | Ecosystem expansion</v>
      </c>
      <c r="O15" t="s">
        <v>604</v>
      </c>
      <c r="P15" t="s">
        <v>605</v>
      </c>
      <c r="Q15" s="38">
        <v>46078</v>
      </c>
      <c r="R15" s="38">
        <v>46095</v>
      </c>
      <c r="S15" s="34" t="s">
        <v>606</v>
      </c>
      <c r="T15">
        <v>5</v>
      </c>
      <c r="U15">
        <v>5</v>
      </c>
      <c r="V15">
        <v>5</v>
      </c>
      <c r="W15">
        <v>5</v>
      </c>
      <c r="X15" s="106">
        <f t="shared" si="4"/>
        <v>5</v>
      </c>
      <c r="Y15" s="34" t="s">
        <v>607</v>
      </c>
      <c r="Z15" s="34" t="s">
        <v>608</v>
      </c>
    </row>
    <row r="16" spans="1:26" hidden="1">
      <c r="A16" s="41">
        <f t="shared" si="3"/>
        <v>13</v>
      </c>
      <c r="B16" s="35" t="s">
        <v>609</v>
      </c>
      <c r="C16" s="35" t="str">
        <f t="shared" si="0"/>
        <v>Giật Lì Xì Mùng 7: 115.000 bao lì xì đến 28k - 68k - 888k!</v>
      </c>
      <c r="D16" t="s">
        <v>610</v>
      </c>
      <c r="E16" s="105" t="str">
        <f>VLOOKUP(X16,'Updating-Scoring'!$C$2:$D$7,2,TRUE)</f>
        <v>5 - Industry disruption</v>
      </c>
      <c r="F16">
        <f t="shared" si="1"/>
        <v>9</v>
      </c>
      <c r="G16" s="110">
        <v>46082</v>
      </c>
      <c r="H16" t="s">
        <v>611</v>
      </c>
      <c r="I16" s="34">
        <v>46066</v>
      </c>
      <c r="J16" t="s">
        <v>170</v>
      </c>
      <c r="K16" s="34" t="s">
        <v>432</v>
      </c>
      <c r="L16" s="34" t="s">
        <v>457</v>
      </c>
      <c r="M16" s="34" t="s">
        <v>414</v>
      </c>
      <c r="N16" s="34" t="str">
        <f t="shared" si="2"/>
        <v>Marketing | User engagement</v>
      </c>
      <c r="O16" t="s">
        <v>611</v>
      </c>
      <c r="P16" t="s">
        <v>612</v>
      </c>
      <c r="Q16" s="38">
        <v>46076.625</v>
      </c>
      <c r="R16" s="38">
        <v>46076.749305555553</v>
      </c>
      <c r="S16" s="34" t="s">
        <v>613</v>
      </c>
      <c r="T16">
        <v>5</v>
      </c>
      <c r="U16">
        <v>5</v>
      </c>
      <c r="V16">
        <v>5</v>
      </c>
      <c r="W16">
        <v>5</v>
      </c>
      <c r="X16" s="106">
        <f>IF(G16&lt;DATE(2026,4,30),T16*$T$1+U16*$U$1+V16*$V$1+W16*$W$1,T16*$T$2+U16*$U$2)</f>
        <v>5</v>
      </c>
      <c r="Y16" s="34" t="s">
        <v>607</v>
      </c>
      <c r="Z16" s="34" t="s">
        <v>614</v>
      </c>
    </row>
    <row r="17" spans="1:26" hidden="1">
      <c r="A17" s="41">
        <f t="shared" si="3"/>
        <v>14</v>
      </c>
      <c r="B17" s="35" t="s">
        <v>615</v>
      </c>
      <c r="C17" s="35" t="str">
        <f t="shared" si="0"/>
        <v>Giật Lì Xì Ngày Thần Tài: Tổng hơn 879.000 bao lì xì đến 39k - 79k - 797k</v>
      </c>
      <c r="D17" t="s">
        <v>610</v>
      </c>
      <c r="E17" s="105" t="str">
        <f>VLOOKUP(X17,'Updating-Scoring'!$C$2:$D$7,2,TRUE)</f>
        <v>5 - Industry disruption</v>
      </c>
      <c r="F17">
        <f t="shared" si="1"/>
        <v>9</v>
      </c>
      <c r="G17" s="110">
        <v>46082</v>
      </c>
      <c r="H17" t="s">
        <v>616</v>
      </c>
      <c r="I17" s="34">
        <v>46066</v>
      </c>
      <c r="J17" t="s">
        <v>170</v>
      </c>
      <c r="K17" s="34" t="s">
        <v>432</v>
      </c>
      <c r="L17" s="34" t="s">
        <v>457</v>
      </c>
      <c r="M17" s="34" t="s">
        <v>414</v>
      </c>
      <c r="N17" s="34" t="str">
        <f t="shared" si="2"/>
        <v>Marketing | User engagement</v>
      </c>
      <c r="O17" t="s">
        <v>616</v>
      </c>
      <c r="P17" t="s">
        <v>617</v>
      </c>
      <c r="Q17" s="38">
        <v>46079.625</v>
      </c>
      <c r="R17" s="38">
        <v>46079.874305555553</v>
      </c>
      <c r="S17" s="34" t="s">
        <v>618</v>
      </c>
      <c r="T17">
        <v>5</v>
      </c>
      <c r="U17">
        <v>5</v>
      </c>
      <c r="V17">
        <v>5</v>
      </c>
      <c r="W17">
        <v>5</v>
      </c>
      <c r="X17" s="106">
        <f t="shared" ref="X17:X80" si="5">IF(G17&lt;DATE(2026,4,30),T17*$T$1+U17*$U$1+V17*$V$1+W17*$W$1,T17*$T$2+U17*$U$2)</f>
        <v>5</v>
      </c>
      <c r="Y17" s="34" t="s">
        <v>597</v>
      </c>
      <c r="Z17" s="34" t="s">
        <v>619</v>
      </c>
    </row>
    <row r="18" spans="1:26" hidden="1">
      <c r="A18" s="41">
        <f t="shared" si="3"/>
        <v>15</v>
      </c>
      <c r="B18" s="35" t="s">
        <v>620</v>
      </c>
      <c r="C18" s="35" t="str">
        <f t="shared" si="0"/>
        <v>Thần Tài lì xì đến 797.979đ cùng hàng chục miếng vàng đến nửa chỉ tại Lắc Xì cùng quà Samsung tại FPTShop</v>
      </c>
      <c r="D18" t="s">
        <v>610</v>
      </c>
      <c r="E18" s="105" t="str">
        <f>VLOOKUP(X18,'Updating-Scoring'!$C$2:$D$7,2,TRUE)</f>
        <v>5 - Industry disruption</v>
      </c>
      <c r="F18">
        <f t="shared" si="1"/>
        <v>9</v>
      </c>
      <c r="G18" s="110">
        <v>46082</v>
      </c>
      <c r="H18" t="s">
        <v>621</v>
      </c>
      <c r="I18" s="34">
        <v>46078</v>
      </c>
      <c r="J18" t="s">
        <v>170</v>
      </c>
      <c r="K18" s="34" t="s">
        <v>432</v>
      </c>
      <c r="L18" s="34" t="s">
        <v>457</v>
      </c>
      <c r="M18" s="34" t="s">
        <v>414</v>
      </c>
      <c r="N18" s="34" t="str">
        <f t="shared" si="2"/>
        <v>Marketing | User engagement</v>
      </c>
      <c r="O18" t="s">
        <v>622</v>
      </c>
      <c r="P18" t="s">
        <v>623</v>
      </c>
      <c r="Q18" s="38">
        <v>46078.458333333336</v>
      </c>
      <c r="R18" s="38">
        <v>46080.625</v>
      </c>
      <c r="S18" s="34" t="s">
        <v>624</v>
      </c>
      <c r="T18">
        <v>5</v>
      </c>
      <c r="U18">
        <v>5</v>
      </c>
      <c r="V18">
        <v>5</v>
      </c>
      <c r="W18">
        <v>5</v>
      </c>
      <c r="X18" s="106">
        <f t="shared" si="5"/>
        <v>5</v>
      </c>
      <c r="Y18" s="34"/>
      <c r="Z18" s="34"/>
    </row>
    <row r="19" spans="1:26" hidden="1">
      <c r="A19" s="41">
        <f t="shared" si="3"/>
        <v>16</v>
      </c>
      <c r="B19" s="35" t="s">
        <v>625</v>
      </c>
      <c r="C19" s="35" t="str">
        <f t="shared" si="0"/>
        <v>Lắc Xì: Lấy 10 miếng vàng 0,1 chỉ, 2 iPad Mini, quà sức khỏe từ Chubb (Hoàn 150k)</v>
      </c>
      <c r="D19" t="s">
        <v>610</v>
      </c>
      <c r="E19" s="105" t="str">
        <f>VLOOKUP(X19,'Updating-Scoring'!$C$2:$D$7,2,TRUE)</f>
        <v>5 - Industry disruption</v>
      </c>
      <c r="F19">
        <f t="shared" si="1"/>
        <v>9</v>
      </c>
      <c r="G19" s="110">
        <v>46082</v>
      </c>
      <c r="H19" t="s">
        <v>626</v>
      </c>
      <c r="I19" s="34">
        <v>46066</v>
      </c>
      <c r="J19" t="s">
        <v>170</v>
      </c>
      <c r="K19" s="34" t="s">
        <v>432</v>
      </c>
      <c r="L19" s="34" t="s">
        <v>457</v>
      </c>
      <c r="M19" s="34" t="s">
        <v>414</v>
      </c>
      <c r="N19" s="34" t="str">
        <f t="shared" si="2"/>
        <v>Marketing | User engagement</v>
      </c>
      <c r="O19" t="s">
        <v>627</v>
      </c>
      <c r="P19" t="s">
        <v>623</v>
      </c>
      <c r="Q19" s="38">
        <v>46076.458333333336</v>
      </c>
      <c r="R19" s="38">
        <v>46077.625</v>
      </c>
      <c r="S19" s="34" t="s">
        <v>624</v>
      </c>
      <c r="T19">
        <v>5</v>
      </c>
      <c r="U19">
        <v>5</v>
      </c>
      <c r="V19">
        <v>5</v>
      </c>
      <c r="W19">
        <v>5</v>
      </c>
      <c r="X19" s="106">
        <f t="shared" si="5"/>
        <v>5</v>
      </c>
      <c r="Y19" s="34"/>
      <c r="Z19" s="34"/>
    </row>
    <row r="20" spans="1:26" hidden="1">
      <c r="A20" s="41">
        <f t="shared" si="3"/>
        <v>17</v>
      </c>
      <c r="B20" s="35" t="s">
        <v>628</v>
      </c>
      <c r="C20" s="35" t="str">
        <f t="shared" si="0"/>
        <v>Ngày Vàng Mời Bạn trở lại: 100% nhận thưởng 100K hoặc 999K tiền mặt khi giới thiệu MoMo</v>
      </c>
      <c r="D20" t="s">
        <v>610</v>
      </c>
      <c r="E20" s="105" t="str">
        <f>VLOOKUP(X20,'Updating-Scoring'!$C$2:$D$7,2,TRUE)</f>
        <v>5 - Industry disruption</v>
      </c>
      <c r="F20">
        <f t="shared" si="1"/>
        <v>9</v>
      </c>
      <c r="G20" s="110">
        <v>46082</v>
      </c>
      <c r="H20" t="s">
        <v>629</v>
      </c>
      <c r="I20" s="34">
        <v>46073</v>
      </c>
      <c r="J20" t="s">
        <v>170</v>
      </c>
      <c r="K20" s="34" t="s">
        <v>432</v>
      </c>
      <c r="L20" s="34" t="s">
        <v>457</v>
      </c>
      <c r="M20" s="34" t="s">
        <v>415</v>
      </c>
      <c r="N20" s="34" t="str">
        <f t="shared" si="2"/>
        <v>Marketing | User acquisition</v>
      </c>
      <c r="O20" t="s">
        <v>629</v>
      </c>
      <c r="P20" t="s">
        <v>630</v>
      </c>
      <c r="Q20" s="38">
        <v>46078.458333333336</v>
      </c>
      <c r="R20" s="38">
        <v>46080.75</v>
      </c>
      <c r="S20" s="34" t="s">
        <v>631</v>
      </c>
      <c r="T20">
        <v>5</v>
      </c>
      <c r="U20">
        <v>5</v>
      </c>
      <c r="V20">
        <v>5</v>
      </c>
      <c r="W20">
        <v>5</v>
      </c>
      <c r="X20" s="106">
        <f t="shared" si="5"/>
        <v>5</v>
      </c>
      <c r="Y20" s="34"/>
      <c r="Z20" s="34"/>
    </row>
    <row r="21" spans="1:26" hidden="1">
      <c r="A21" s="41">
        <f t="shared" si="3"/>
        <v>18</v>
      </c>
      <c r="B21" s="35" t="s">
        <v>632</v>
      </c>
      <c r="C21" s="35" t="str">
        <f t="shared" si="0"/>
        <v>MoMo x VPBank: Đặc quyền khi thanh toán bằng nguồn tiền VPBank trên MoMo: Giảm thẳng 10K mọi dịch vụ</v>
      </c>
      <c r="D21" t="s">
        <v>610</v>
      </c>
      <c r="E21" s="105" t="str">
        <f>VLOOKUP(X21,'Updating-Scoring'!$C$2:$D$7,2,TRUE)</f>
        <v>5 - Industry disruption</v>
      </c>
      <c r="F21">
        <f t="shared" si="1"/>
        <v>9</v>
      </c>
      <c r="G21" s="110">
        <v>46082</v>
      </c>
      <c r="H21" t="s">
        <v>633</v>
      </c>
      <c r="I21" s="34">
        <v>46077</v>
      </c>
      <c r="J21" t="s">
        <v>170</v>
      </c>
      <c r="K21" s="34" t="s">
        <v>432</v>
      </c>
      <c r="L21" s="34" t="s">
        <v>457</v>
      </c>
      <c r="M21" s="34" t="s">
        <v>513</v>
      </c>
      <c r="N21" s="34" t="str">
        <f t="shared" si="2"/>
        <v>Marketing | Ecosystem expansion</v>
      </c>
      <c r="O21" t="s">
        <v>634</v>
      </c>
      <c r="P21" t="s">
        <v>635</v>
      </c>
      <c r="Q21" s="38">
        <v>46054</v>
      </c>
      <c r="R21" s="38">
        <v>46081</v>
      </c>
      <c r="S21" s="34" t="s">
        <v>636</v>
      </c>
      <c r="T21">
        <v>5</v>
      </c>
      <c r="U21">
        <v>5</v>
      </c>
      <c r="V21">
        <v>5</v>
      </c>
      <c r="W21">
        <v>5</v>
      </c>
      <c r="X21" s="106">
        <f t="shared" si="5"/>
        <v>5</v>
      </c>
      <c r="Y21" s="34" t="s">
        <v>607</v>
      </c>
      <c r="Z21" s="34" t="s">
        <v>637</v>
      </c>
    </row>
    <row r="22" spans="1:26" hidden="1">
      <c r="A22" s="41">
        <f t="shared" si="3"/>
        <v>19</v>
      </c>
      <c r="B22" s="35" t="s">
        <v>638</v>
      </c>
      <c r="C22" s="35" t="str">
        <f t="shared" si="0"/>
        <v>MoMo x Mbank: Đặc quyền khi thanh toán bằng nguồn tiền MBAnk trên MoMo: Giảm thẳng 10K mọi dịch vụ</v>
      </c>
      <c r="D22" t="s">
        <v>610</v>
      </c>
      <c r="E22" s="105" t="str">
        <f>VLOOKUP(X22,'Updating-Scoring'!$C$2:$D$7,2,TRUE)</f>
        <v>5 - Industry disruption</v>
      </c>
      <c r="F22">
        <f t="shared" si="1"/>
        <v>9</v>
      </c>
      <c r="G22" s="110">
        <v>46082</v>
      </c>
      <c r="H22" t="s">
        <v>639</v>
      </c>
      <c r="I22" s="34">
        <v>46077</v>
      </c>
      <c r="J22" t="s">
        <v>170</v>
      </c>
      <c r="K22" s="34" t="s">
        <v>432</v>
      </c>
      <c r="L22" s="34" t="s">
        <v>457</v>
      </c>
      <c r="M22" s="34" t="s">
        <v>513</v>
      </c>
      <c r="N22" s="34" t="str">
        <f t="shared" si="2"/>
        <v>Marketing | Ecosystem expansion</v>
      </c>
      <c r="O22" t="s">
        <v>640</v>
      </c>
      <c r="P22" t="s">
        <v>635</v>
      </c>
      <c r="Q22" s="38">
        <v>46054</v>
      </c>
      <c r="R22" s="38">
        <v>46081</v>
      </c>
      <c r="S22" s="34" t="s">
        <v>636</v>
      </c>
      <c r="T22">
        <v>5</v>
      </c>
      <c r="U22">
        <v>5</v>
      </c>
      <c r="V22">
        <v>5</v>
      </c>
      <c r="W22">
        <v>5</v>
      </c>
      <c r="X22" s="106">
        <f t="shared" si="5"/>
        <v>5</v>
      </c>
      <c r="Y22" s="34" t="s">
        <v>607</v>
      </c>
      <c r="Z22" s="34" t="s">
        <v>641</v>
      </c>
    </row>
    <row r="23" spans="1:26" hidden="1">
      <c r="A23" s="41">
        <f t="shared" si="3"/>
        <v>20</v>
      </c>
      <c r="B23" t="s">
        <v>642</v>
      </c>
      <c r="C23" s="35" t="str">
        <f t="shared" si="0"/>
        <v>AI Agent 'vô hình hóa' App &amp; Brand — Kỷ nguyên Post-App bắt đầu</v>
      </c>
      <c r="D23" t="s">
        <v>85</v>
      </c>
      <c r="E23" s="105" t="str">
        <f>VLOOKUP(X23,'Updating-Scoring'!$C$2:$D$7,2,TRUE)</f>
        <v>5 - Industry disruption</v>
      </c>
      <c r="F23">
        <f t="shared" si="1"/>
        <v>14</v>
      </c>
      <c r="G23" s="110">
        <v>46111</v>
      </c>
      <c r="H23" t="s">
        <v>643</v>
      </c>
      <c r="I23" s="34">
        <v>46104</v>
      </c>
      <c r="J23" t="s">
        <v>284</v>
      </c>
      <c r="K23" s="34" t="s">
        <v>428</v>
      </c>
      <c r="L23" s="34" t="s">
        <v>451</v>
      </c>
      <c r="M23" s="34" t="s">
        <v>483</v>
      </c>
      <c r="N23" s="34" t="str">
        <f t="shared" si="2"/>
        <v>Technology | AI/ Gen AI</v>
      </c>
      <c r="O23" t="s">
        <v>644</v>
      </c>
      <c r="P23" t="s">
        <v>645</v>
      </c>
      <c r="S23" t="s">
        <v>646</v>
      </c>
      <c r="T23">
        <v>5</v>
      </c>
      <c r="U23">
        <v>4</v>
      </c>
      <c r="V23">
        <v>3</v>
      </c>
      <c r="W23">
        <v>5</v>
      </c>
      <c r="X23" s="106">
        <f t="shared" si="5"/>
        <v>4.3499999999999996</v>
      </c>
      <c r="Y23" s="34"/>
      <c r="Z23" s="34"/>
    </row>
    <row r="24" spans="1:26" hidden="1">
      <c r="A24" s="41">
        <f t="shared" si="3"/>
        <v>21</v>
      </c>
      <c r="B24" t="s">
        <v>647</v>
      </c>
      <c r="C24" s="35" t="str">
        <f t="shared" si="0"/>
        <v>WhatsApp ra mắt trả lời gợi ý bằng AI – Xu hướng AI hóa nhắn tin cá nhân</v>
      </c>
      <c r="D24" t="s">
        <v>148</v>
      </c>
      <c r="E24" s="105" t="str">
        <f>VLOOKUP(X24,'Updating-Scoring'!$C$2:$D$7,2,TRUE)</f>
        <v>5 - Industry disruption</v>
      </c>
      <c r="F24">
        <f t="shared" si="1"/>
        <v>14</v>
      </c>
      <c r="G24" s="110">
        <v>46111</v>
      </c>
      <c r="H24" t="s">
        <v>648</v>
      </c>
      <c r="I24" s="34">
        <v>46107</v>
      </c>
      <c r="J24" t="s">
        <v>284</v>
      </c>
      <c r="K24" s="34" t="s">
        <v>428</v>
      </c>
      <c r="L24" s="34" t="s">
        <v>451</v>
      </c>
      <c r="M24" s="34" t="s">
        <v>483</v>
      </c>
      <c r="N24" s="34" t="str">
        <f t="shared" si="2"/>
        <v>Technology | AI/ Gen AI</v>
      </c>
      <c r="O24" t="s">
        <v>649</v>
      </c>
      <c r="P24" t="s">
        <v>650</v>
      </c>
      <c r="S24" t="s">
        <v>651</v>
      </c>
      <c r="T24">
        <v>5</v>
      </c>
      <c r="U24">
        <v>3</v>
      </c>
      <c r="V24">
        <v>5</v>
      </c>
      <c r="W24">
        <v>4</v>
      </c>
      <c r="X24" s="106">
        <f t="shared" si="5"/>
        <v>4.3499999999999996</v>
      </c>
      <c r="Y24" s="34"/>
      <c r="Z24" s="34"/>
    </row>
    <row r="25" spans="1:26" hidden="1">
      <c r="A25" s="41">
        <f t="shared" si="3"/>
        <v>22</v>
      </c>
      <c r="B25" t="s">
        <v>652</v>
      </c>
      <c r="C25" s="35" t="str">
        <f t="shared" si="0"/>
        <v>Lừa đảo chiếm đoạt tài khoản Telegram tái bùng phát tại Việt Nam</v>
      </c>
      <c r="D25" t="s">
        <v>119</v>
      </c>
      <c r="E25" s="105" t="str">
        <f>VLOOKUP(X25,'Updating-Scoring'!$C$2:$D$7,2,TRUE)</f>
        <v>3 - Market signal</v>
      </c>
      <c r="F25">
        <f t="shared" si="1"/>
        <v>14</v>
      </c>
      <c r="G25" s="110">
        <v>46111</v>
      </c>
      <c r="H25" t="s">
        <v>653</v>
      </c>
      <c r="I25" s="34">
        <v>46105</v>
      </c>
      <c r="J25" t="s">
        <v>284</v>
      </c>
      <c r="K25" s="34" t="s">
        <v>431</v>
      </c>
      <c r="L25" s="34" t="s">
        <v>449</v>
      </c>
      <c r="M25" s="34" t="s">
        <v>479</v>
      </c>
      <c r="N25" s="34" t="str">
        <f t="shared" si="2"/>
        <v>Social | Digital adoption</v>
      </c>
      <c r="O25" t="s">
        <v>654</v>
      </c>
      <c r="P25" t="s">
        <v>655</v>
      </c>
      <c r="S25" t="s">
        <v>656</v>
      </c>
      <c r="T25">
        <v>4</v>
      </c>
      <c r="U25">
        <v>3</v>
      </c>
      <c r="V25">
        <v>4</v>
      </c>
      <c r="W25">
        <v>1</v>
      </c>
      <c r="X25" s="106">
        <f t="shared" si="5"/>
        <v>3.3000000000000003</v>
      </c>
      <c r="Y25" s="34"/>
      <c r="Z25" s="34"/>
    </row>
    <row r="26" spans="1:26" hidden="1">
      <c r="A26" s="41">
        <f t="shared" si="3"/>
        <v>23</v>
      </c>
      <c r="B26" t="s">
        <v>657</v>
      </c>
      <c r="C26" s="35" t="str">
        <f t="shared" si="0"/>
        <v>ChatGPT thêm nội dung nhạy cảm: Rủi ro dữ liệu cá nhân trong AI tiêu dùng</v>
      </c>
      <c r="D26" t="s">
        <v>85</v>
      </c>
      <c r="E26" s="105" t="str">
        <f>VLOOKUP(X26,'Updating-Scoring'!$C$2:$D$7,2,TRUE)</f>
        <v>2 - Minor signal</v>
      </c>
      <c r="F26">
        <f t="shared" si="1"/>
        <v>14</v>
      </c>
      <c r="G26" s="34">
        <v>46111</v>
      </c>
      <c r="H26" t="s">
        <v>658</v>
      </c>
      <c r="I26" s="34">
        <v>46103</v>
      </c>
      <c r="J26" t="s">
        <v>284</v>
      </c>
      <c r="K26" s="34" t="s">
        <v>428</v>
      </c>
      <c r="L26" s="34" t="s">
        <v>453</v>
      </c>
      <c r="M26" s="34" t="s">
        <v>492</v>
      </c>
      <c r="N26" s="34" t="str">
        <f t="shared" si="2"/>
        <v>Legal | Data privacy</v>
      </c>
      <c r="O26" t="s">
        <v>659</v>
      </c>
      <c r="P26" t="s">
        <v>660</v>
      </c>
      <c r="S26" t="s">
        <v>661</v>
      </c>
      <c r="T26">
        <v>3</v>
      </c>
      <c r="U26">
        <v>3</v>
      </c>
      <c r="V26">
        <v>3</v>
      </c>
      <c r="W26">
        <v>2</v>
      </c>
      <c r="X26" s="106">
        <f t="shared" si="5"/>
        <v>2.85</v>
      </c>
      <c r="Y26" s="34"/>
      <c r="Z26" s="34"/>
    </row>
    <row r="27" spans="1:26" hidden="1">
      <c r="A27" s="41">
        <f t="shared" si="3"/>
        <v>24</v>
      </c>
      <c r="B27" t="s">
        <v>662</v>
      </c>
      <c r="C27" s="35" t="str">
        <f t="shared" si="0"/>
        <v>OpenAI hợp nhất thành Super-App PC: ChatGPT + Codex + Browser — AI-first hội tụ</v>
      </c>
      <c r="D27" t="s">
        <v>85</v>
      </c>
      <c r="E27" s="105" t="str">
        <f>VLOOKUP(X27,'Updating-Scoring'!$C$2:$D$7,2,TRUE)</f>
        <v>2 - Minor signal</v>
      </c>
      <c r="F27">
        <f t="shared" si="1"/>
        <v>14</v>
      </c>
      <c r="G27" s="34">
        <v>46111</v>
      </c>
      <c r="H27" t="s">
        <v>663</v>
      </c>
      <c r="I27" s="34">
        <v>46103</v>
      </c>
      <c r="J27" t="s">
        <v>284</v>
      </c>
      <c r="K27" s="34" t="s">
        <v>428</v>
      </c>
      <c r="L27" s="34" t="s">
        <v>451</v>
      </c>
      <c r="M27" s="34" t="s">
        <v>483</v>
      </c>
      <c r="N27" s="34" t="str">
        <f t="shared" si="2"/>
        <v>Technology | AI/ Gen AI</v>
      </c>
      <c r="O27" t="s">
        <v>664</v>
      </c>
      <c r="P27" t="s">
        <v>665</v>
      </c>
      <c r="S27" t="s">
        <v>666</v>
      </c>
      <c r="T27">
        <v>2</v>
      </c>
      <c r="U27">
        <v>4</v>
      </c>
      <c r="V27">
        <v>2</v>
      </c>
      <c r="W27">
        <v>5</v>
      </c>
      <c r="X27" s="106">
        <f t="shared" si="5"/>
        <v>2.95</v>
      </c>
      <c r="Y27" s="34"/>
      <c r="Z27" s="34"/>
    </row>
    <row r="28" spans="1:26" hidden="1">
      <c r="A28" s="41">
        <f t="shared" si="3"/>
        <v>25</v>
      </c>
      <c r="B28" t="s">
        <v>667</v>
      </c>
      <c r="C28" s="35" t="str">
        <f t="shared" si="0"/>
        <v>Meta tung AI Shopping Pop-up – Tăng chuyển đổi ngay trong Facebook &amp; Instagram</v>
      </c>
      <c r="D28" t="s">
        <v>148</v>
      </c>
      <c r="E28" s="105" t="str">
        <f>VLOOKUP(X28,'Updating-Scoring'!$C$2:$D$7,2,TRUE)</f>
        <v>5 - Industry disruption</v>
      </c>
      <c r="F28">
        <f t="shared" si="1"/>
        <v>14</v>
      </c>
      <c r="G28" s="110">
        <v>46111</v>
      </c>
      <c r="H28" t="s">
        <v>668</v>
      </c>
      <c r="I28" s="34">
        <v>46106</v>
      </c>
      <c r="J28" t="s">
        <v>284</v>
      </c>
      <c r="K28" s="34" t="s">
        <v>428</v>
      </c>
      <c r="L28" s="34" t="s">
        <v>451</v>
      </c>
      <c r="M28" s="34" t="s">
        <v>483</v>
      </c>
      <c r="N28" s="34" t="str">
        <f t="shared" si="2"/>
        <v>Technology | AI/ Gen AI</v>
      </c>
      <c r="O28" t="s">
        <v>669</v>
      </c>
      <c r="P28" t="s">
        <v>670</v>
      </c>
      <c r="S28" t="s">
        <v>671</v>
      </c>
      <c r="T28">
        <v>5</v>
      </c>
      <c r="U28">
        <v>4</v>
      </c>
      <c r="V28">
        <v>4</v>
      </c>
      <c r="W28">
        <v>4</v>
      </c>
      <c r="X28" s="106">
        <f t="shared" si="5"/>
        <v>4.3999999999999995</v>
      </c>
      <c r="Y28" s="34"/>
      <c r="Z28" s="34"/>
    </row>
    <row r="29" spans="1:26" hidden="1">
      <c r="A29" s="41">
        <f t="shared" si="3"/>
        <v>26</v>
      </c>
      <c r="B29" t="s">
        <v>672</v>
      </c>
      <c r="C29" s="35" t="str">
        <f t="shared" si="0"/>
        <v>AI Agent thay thế kỹ năng văn phòng — 'AI Delegation' là năng lực cốt lõi mới</v>
      </c>
      <c r="D29" t="s">
        <v>85</v>
      </c>
      <c r="E29" s="105" t="str">
        <f>VLOOKUP(X29,'Updating-Scoring'!$C$2:$D$7,2,TRUE)</f>
        <v>2 - Minor signal</v>
      </c>
      <c r="F29">
        <f t="shared" si="1"/>
        <v>14</v>
      </c>
      <c r="G29" s="34">
        <v>46111</v>
      </c>
      <c r="H29" t="s">
        <v>673</v>
      </c>
      <c r="I29" s="34">
        <v>46104</v>
      </c>
      <c r="J29" t="s">
        <v>284</v>
      </c>
      <c r="K29" s="34" t="s">
        <v>428</v>
      </c>
      <c r="L29" s="34" t="s">
        <v>451</v>
      </c>
      <c r="M29" s="34" t="s">
        <v>483</v>
      </c>
      <c r="N29" s="34" t="str">
        <f t="shared" si="2"/>
        <v>Technology | AI/ Gen AI</v>
      </c>
      <c r="O29" t="s">
        <v>674</v>
      </c>
      <c r="P29" t="s">
        <v>675</v>
      </c>
      <c r="S29" t="s">
        <v>676</v>
      </c>
      <c r="T29">
        <v>1</v>
      </c>
      <c r="U29">
        <v>3</v>
      </c>
      <c r="V29">
        <v>1</v>
      </c>
      <c r="W29">
        <v>4</v>
      </c>
      <c r="X29" s="106">
        <f t="shared" si="5"/>
        <v>1.9499999999999997</v>
      </c>
      <c r="Y29" s="34"/>
      <c r="Z29" s="34"/>
    </row>
    <row r="30" spans="1:26" hidden="1">
      <c r="A30" s="41">
        <f t="shared" si="3"/>
        <v>27</v>
      </c>
      <c r="B30" t="s">
        <v>677</v>
      </c>
      <c r="C30" s="35" t="str">
        <f t="shared" si="0"/>
        <v>FPT lọt Top 35 AI App Development toàn cầu — Đối tác AI nội địa tiềm năng</v>
      </c>
      <c r="D30" t="s">
        <v>85</v>
      </c>
      <c r="E30" s="105" t="str">
        <f>VLOOKUP(X30,'Updating-Scoring'!$C$2:$D$7,2,TRUE)</f>
        <v>2 - Minor signal</v>
      </c>
      <c r="F30">
        <f t="shared" si="1"/>
        <v>14</v>
      </c>
      <c r="G30" s="34">
        <v>46111</v>
      </c>
      <c r="H30" t="s">
        <v>678</v>
      </c>
      <c r="I30" s="34">
        <v>46105</v>
      </c>
      <c r="J30" t="s">
        <v>284</v>
      </c>
      <c r="K30" s="34" t="s">
        <v>431</v>
      </c>
      <c r="L30" s="34" t="s">
        <v>451</v>
      </c>
      <c r="M30" s="34" t="s">
        <v>483</v>
      </c>
      <c r="N30" s="34" t="str">
        <f t="shared" si="2"/>
        <v>Technology | AI/ Gen AI</v>
      </c>
      <c r="O30" t="s">
        <v>679</v>
      </c>
      <c r="P30" t="s">
        <v>680</v>
      </c>
      <c r="S30" t="s">
        <v>681</v>
      </c>
      <c r="T30">
        <v>4</v>
      </c>
      <c r="U30">
        <v>2</v>
      </c>
      <c r="V30">
        <v>2</v>
      </c>
      <c r="W30">
        <v>3</v>
      </c>
      <c r="X30" s="106">
        <f t="shared" si="5"/>
        <v>2.95</v>
      </c>
      <c r="Y30" s="34"/>
      <c r="Z30" s="34"/>
    </row>
    <row r="31" spans="1:26" hidden="1">
      <c r="A31" s="41">
        <f t="shared" si="3"/>
        <v>28</v>
      </c>
      <c r="B31" t="s">
        <v>682</v>
      </c>
      <c r="C31" s="35" t="str">
        <f t="shared" si="0"/>
        <v>OpenAI đóng cửa Sora, xoay trục B2B &amp; IPO — Tái định vị AI Product Strategy</v>
      </c>
      <c r="D31" t="s">
        <v>85</v>
      </c>
      <c r="E31" s="105" t="str">
        <f>VLOOKUP(X31,'Updating-Scoring'!$C$2:$D$7,2,TRUE)</f>
        <v>2 - Minor signal</v>
      </c>
      <c r="F31">
        <f t="shared" si="1"/>
        <v>14</v>
      </c>
      <c r="G31" s="34">
        <v>46111</v>
      </c>
      <c r="H31" t="s">
        <v>683</v>
      </c>
      <c r="I31" s="34">
        <v>46106</v>
      </c>
      <c r="J31" t="s">
        <v>284</v>
      </c>
      <c r="K31" s="34" t="s">
        <v>428</v>
      </c>
      <c r="L31" s="34" t="s">
        <v>447</v>
      </c>
      <c r="M31" s="34" t="s">
        <v>474</v>
      </c>
      <c r="N31" s="34" t="str">
        <f t="shared" si="2"/>
        <v>Economic | M&amp;A activity</v>
      </c>
      <c r="O31" t="s">
        <v>684</v>
      </c>
      <c r="P31" t="s">
        <v>685</v>
      </c>
      <c r="S31" t="s">
        <v>686</v>
      </c>
      <c r="T31">
        <v>3</v>
      </c>
      <c r="U31">
        <v>3</v>
      </c>
      <c r="V31">
        <v>3</v>
      </c>
      <c r="W31">
        <v>3</v>
      </c>
      <c r="X31" s="106">
        <f t="shared" si="5"/>
        <v>3</v>
      </c>
      <c r="Y31" s="34"/>
      <c r="Z31" s="34"/>
    </row>
    <row r="32" spans="1:26" hidden="1">
      <c r="A32" s="41">
        <f t="shared" si="3"/>
        <v>29</v>
      </c>
      <c r="B32" t="s">
        <v>687</v>
      </c>
      <c r="C32" s="35" t="str">
        <f t="shared" si="0"/>
        <v>Google Chrome: Gemini Nano Anti-Phishing On-device — AI Security tích hợp hệ thống</v>
      </c>
      <c r="D32" t="s">
        <v>85</v>
      </c>
      <c r="E32" s="105" t="str">
        <f>VLOOKUP(X32,'Updating-Scoring'!$C$2:$D$7,2,TRUE)</f>
        <v>2 - Minor signal</v>
      </c>
      <c r="F32">
        <f t="shared" si="1"/>
        <v>14</v>
      </c>
      <c r="G32" s="34">
        <v>46111</v>
      </c>
      <c r="H32" t="s">
        <v>688</v>
      </c>
      <c r="I32" s="34">
        <v>46105</v>
      </c>
      <c r="J32" t="s">
        <v>284</v>
      </c>
      <c r="K32" s="34" t="s">
        <v>428</v>
      </c>
      <c r="L32" s="34" t="s">
        <v>451</v>
      </c>
      <c r="M32" s="34" t="s">
        <v>483</v>
      </c>
      <c r="N32" s="34" t="str">
        <f t="shared" si="2"/>
        <v>Technology | AI/ Gen AI</v>
      </c>
      <c r="O32" t="s">
        <v>689</v>
      </c>
      <c r="P32" t="s">
        <v>690</v>
      </c>
      <c r="S32" t="s">
        <v>691</v>
      </c>
      <c r="T32">
        <v>3</v>
      </c>
      <c r="U32">
        <v>3</v>
      </c>
      <c r="V32">
        <v>3</v>
      </c>
      <c r="W32">
        <v>3</v>
      </c>
      <c r="X32" s="106">
        <f t="shared" si="5"/>
        <v>3</v>
      </c>
      <c r="Y32" s="34"/>
      <c r="Z32" s="34"/>
    </row>
    <row r="33" spans="1:26" hidden="1">
      <c r="A33" s="41">
        <f t="shared" si="3"/>
        <v>30</v>
      </c>
      <c r="B33" t="s">
        <v>692</v>
      </c>
      <c r="C33" s="35" t="str">
        <f t="shared" si="0"/>
        <v>Trước 20/4/2026, HKD phải thông báo tài khoản ngân hàng</v>
      </c>
      <c r="D33" t="s">
        <v>160</v>
      </c>
      <c r="E33" s="105" t="str">
        <f>VLOOKUP(X33,'Updating-Scoring'!$C$2:$D$7,2,TRUE)</f>
        <v>2 - Minor signal</v>
      </c>
      <c r="F33">
        <f t="shared" si="1"/>
        <v>14</v>
      </c>
      <c r="G33" s="34">
        <v>46111</v>
      </c>
      <c r="H33" t="s">
        <v>693</v>
      </c>
      <c r="I33" s="34">
        <v>46086</v>
      </c>
      <c r="J33" t="s">
        <v>284</v>
      </c>
      <c r="K33" s="34" t="s">
        <v>431</v>
      </c>
      <c r="L33" s="34" t="s">
        <v>453</v>
      </c>
      <c r="M33" s="34" t="s">
        <v>489</v>
      </c>
      <c r="N33" s="34" t="str">
        <f t="shared" si="2"/>
        <v>Legal | Fintech/ Wallet</v>
      </c>
      <c r="O33" t="s">
        <v>693</v>
      </c>
      <c r="P33" t="s">
        <v>694</v>
      </c>
      <c r="S33" t="s">
        <v>695</v>
      </c>
      <c r="T33">
        <v>2</v>
      </c>
      <c r="U33">
        <v>5</v>
      </c>
      <c r="V33">
        <v>2</v>
      </c>
      <c r="W33">
        <v>1</v>
      </c>
      <c r="X33" s="106">
        <f t="shared" si="5"/>
        <v>2.5999999999999996</v>
      </c>
      <c r="Y33" s="34"/>
      <c r="Z33" s="34"/>
    </row>
    <row r="34" spans="1:26" hidden="1">
      <c r="A34" s="41">
        <f t="shared" si="3"/>
        <v>31</v>
      </c>
      <c r="B34" t="s">
        <v>696</v>
      </c>
      <c r="C34" s="35" t="str">
        <f t="shared" si="0"/>
        <v>Các ngân hàng sẽ chấm dứt dịch vụ đặt biệt danh cho tài khoản từ 01/04/2026</v>
      </c>
      <c r="D34" t="s">
        <v>160</v>
      </c>
      <c r="E34" s="105" t="str">
        <f>VLOOKUP(X34,'Updating-Scoring'!$C$2:$D$7,2,TRUE)</f>
        <v>3 - Market signal</v>
      </c>
      <c r="F34">
        <f t="shared" si="1"/>
        <v>14</v>
      </c>
      <c r="G34" s="110">
        <v>46111</v>
      </c>
      <c r="H34" t="s">
        <v>697</v>
      </c>
      <c r="I34" s="34">
        <v>45930</v>
      </c>
      <c r="J34" t="s">
        <v>284</v>
      </c>
      <c r="K34" s="34" t="s">
        <v>431</v>
      </c>
      <c r="L34" s="34" t="s">
        <v>453</v>
      </c>
      <c r="M34" s="34" t="s">
        <v>490</v>
      </c>
      <c r="N34" s="34" t="str">
        <f t="shared" si="2"/>
        <v>Legal | Payment</v>
      </c>
      <c r="O34" t="s">
        <v>698</v>
      </c>
      <c r="P34" t="s">
        <v>699</v>
      </c>
      <c r="Q34" s="37">
        <v>46113</v>
      </c>
      <c r="S34" t="s">
        <v>700</v>
      </c>
      <c r="T34">
        <v>3</v>
      </c>
      <c r="U34">
        <v>5</v>
      </c>
      <c r="V34">
        <v>3</v>
      </c>
      <c r="W34">
        <v>1</v>
      </c>
      <c r="X34" s="106">
        <f t="shared" si="5"/>
        <v>3.2</v>
      </c>
      <c r="Y34" s="34"/>
      <c r="Z34" s="34"/>
    </row>
    <row r="35" spans="1:26" hidden="1">
      <c r="A35" s="41">
        <f t="shared" si="3"/>
        <v>32</v>
      </c>
      <c r="B35" t="s">
        <v>701</v>
      </c>
      <c r="C35" s="35" t="str">
        <f t="shared" si="0"/>
        <v>Apple iOS 27: Siri tái thiết với AI — Cuộc đua AI Assistant toàn diện leo thang</v>
      </c>
      <c r="D35" t="s">
        <v>119</v>
      </c>
      <c r="E35" s="105" t="str">
        <f>VLOOKUP(X35,'Updating-Scoring'!$C$2:$D$7,2,TRUE)</f>
        <v>4 - Strategic shift</v>
      </c>
      <c r="F35">
        <f t="shared" si="1"/>
        <v>14</v>
      </c>
      <c r="G35" s="34">
        <v>46111</v>
      </c>
      <c r="H35" t="s">
        <v>702</v>
      </c>
      <c r="I35" s="34">
        <v>46106</v>
      </c>
      <c r="J35" t="s">
        <v>284</v>
      </c>
      <c r="K35" s="34" t="s">
        <v>428</v>
      </c>
      <c r="L35" s="34" t="s">
        <v>451</v>
      </c>
      <c r="M35" s="34" t="s">
        <v>483</v>
      </c>
      <c r="N35" s="34" t="str">
        <f t="shared" si="2"/>
        <v>Technology | AI/ Gen AI</v>
      </c>
      <c r="O35" t="s">
        <v>703</v>
      </c>
      <c r="P35" t="s">
        <v>704</v>
      </c>
      <c r="S35" t="s">
        <v>705</v>
      </c>
      <c r="T35">
        <v>4</v>
      </c>
      <c r="U35">
        <v>3</v>
      </c>
      <c r="V35">
        <v>3</v>
      </c>
      <c r="W35">
        <v>4</v>
      </c>
      <c r="X35" s="106">
        <f t="shared" si="5"/>
        <v>3.5500000000000003</v>
      </c>
      <c r="Y35" s="34"/>
      <c r="Z35" s="34"/>
    </row>
    <row r="36" spans="1:26" hidden="1">
      <c r="A36" s="41">
        <f t="shared" si="3"/>
        <v>33</v>
      </c>
      <c r="B36" t="s">
        <v>706</v>
      </c>
      <c r="C36" s="35" t="str">
        <f t="shared" si="0"/>
        <v>Apple App Store 100+ Metrics &amp; Cohort API — Nâng cấp hạ tầng phân tích App</v>
      </c>
      <c r="D36" t="s">
        <v>148</v>
      </c>
      <c r="E36" s="105" t="str">
        <f>VLOOKUP(X36,'Updating-Scoring'!$C$2:$D$7,2,TRUE)</f>
        <v>4 - Strategic shift</v>
      </c>
      <c r="F36">
        <f t="shared" si="1"/>
        <v>14</v>
      </c>
      <c r="G36" s="34">
        <v>46111</v>
      </c>
      <c r="H36" t="s">
        <v>707</v>
      </c>
      <c r="I36" s="34">
        <v>46106</v>
      </c>
      <c r="J36" t="s">
        <v>284</v>
      </c>
      <c r="K36" s="34" t="s">
        <v>428</v>
      </c>
      <c r="L36" s="34" t="s">
        <v>451</v>
      </c>
      <c r="M36" s="34" t="s">
        <v>485</v>
      </c>
      <c r="N36" s="34" t="str">
        <f t="shared" si="2"/>
        <v>Technology | Open banking/ API</v>
      </c>
      <c r="O36" t="s">
        <v>708</v>
      </c>
      <c r="P36" t="s">
        <v>709</v>
      </c>
      <c r="S36" t="s">
        <v>710</v>
      </c>
      <c r="T36">
        <v>4</v>
      </c>
      <c r="U36">
        <v>4</v>
      </c>
      <c r="V36">
        <v>3</v>
      </c>
      <c r="W36">
        <v>2</v>
      </c>
      <c r="X36" s="106">
        <f t="shared" si="5"/>
        <v>3.5</v>
      </c>
      <c r="Y36" s="34"/>
      <c r="Z36" s="34"/>
    </row>
    <row r="37" spans="1:26" hidden="1">
      <c r="A37" s="41">
        <f t="shared" si="3"/>
        <v>34</v>
      </c>
      <c r="B37" t="s">
        <v>711</v>
      </c>
      <c r="C37" s="35" t="str">
        <f t="shared" si="0"/>
        <v>Apple Music × Ticketmaster: Concert Discovery tích hợp — Mô hình Ecosystem Ticketing</v>
      </c>
      <c r="D37" t="s">
        <v>148</v>
      </c>
      <c r="E37" s="105" t="str">
        <f>VLOOKUP(X37,'Updating-Scoring'!$C$2:$D$7,2,TRUE)</f>
        <v>2 - Minor signal</v>
      </c>
      <c r="F37">
        <f t="shared" si="1"/>
        <v>14</v>
      </c>
      <c r="G37" s="34">
        <v>46111</v>
      </c>
      <c r="H37" t="s">
        <v>712</v>
      </c>
      <c r="I37" s="34">
        <v>46105</v>
      </c>
      <c r="J37" t="s">
        <v>284</v>
      </c>
      <c r="K37" s="34" t="s">
        <v>428</v>
      </c>
      <c r="L37" s="34" t="s">
        <v>447</v>
      </c>
      <c r="M37" s="34" t="s">
        <v>474</v>
      </c>
      <c r="N37" s="34" t="str">
        <f t="shared" si="2"/>
        <v>Economic | M&amp;A activity</v>
      </c>
      <c r="O37" t="s">
        <v>713</v>
      </c>
      <c r="P37" t="s">
        <v>714</v>
      </c>
      <c r="S37" t="s">
        <v>715</v>
      </c>
      <c r="T37">
        <v>4</v>
      </c>
      <c r="U37">
        <v>2</v>
      </c>
      <c r="V37">
        <v>3</v>
      </c>
      <c r="W37">
        <v>1</v>
      </c>
      <c r="X37" s="106">
        <f t="shared" si="5"/>
        <v>2.85</v>
      </c>
      <c r="Y37" s="34"/>
      <c r="Z37" s="34"/>
    </row>
    <row r="38" spans="1:26" hidden="1">
      <c r="A38" s="41">
        <f t="shared" si="3"/>
        <v>35</v>
      </c>
      <c r="B38" t="s">
        <v>716</v>
      </c>
      <c r="C38" s="35" t="str">
        <f t="shared" si="0"/>
        <v>TikTok Logo Takeover &amp; Prime Time Ads — Định dạng quảng cáo thế hệ mới</v>
      </c>
      <c r="D38" t="s">
        <v>148</v>
      </c>
      <c r="E38" s="105" t="str">
        <f>VLOOKUP(X38,'Updating-Scoring'!$C$2:$D$7,2,TRUE)</f>
        <v>4 - Strategic shift</v>
      </c>
      <c r="F38">
        <f t="shared" si="1"/>
        <v>14</v>
      </c>
      <c r="G38" s="34">
        <v>46111</v>
      </c>
      <c r="H38" t="s">
        <v>717</v>
      </c>
      <c r="I38" s="34">
        <v>46105</v>
      </c>
      <c r="J38" t="s">
        <v>284</v>
      </c>
      <c r="K38" s="34" t="s">
        <v>428</v>
      </c>
      <c r="L38" s="34" t="s">
        <v>449</v>
      </c>
      <c r="M38" s="34" t="s">
        <v>481</v>
      </c>
      <c r="N38" s="34" t="str">
        <f t="shared" si="2"/>
        <v>Social | Ads strategy</v>
      </c>
      <c r="O38" t="s">
        <v>718</v>
      </c>
      <c r="P38" t="s">
        <v>719</v>
      </c>
      <c r="S38" t="s">
        <v>720</v>
      </c>
      <c r="T38">
        <v>5</v>
      </c>
      <c r="U38">
        <v>3</v>
      </c>
      <c r="V38">
        <v>4</v>
      </c>
      <c r="W38">
        <v>1</v>
      </c>
      <c r="X38" s="106">
        <f t="shared" si="5"/>
        <v>3.6999999999999997</v>
      </c>
      <c r="Y38" s="34"/>
      <c r="Z38" s="34"/>
    </row>
    <row r="39" spans="1:26" hidden="1">
      <c r="A39" s="41">
        <f t="shared" si="3"/>
        <v>36</v>
      </c>
      <c r="B39" t="s">
        <v>721</v>
      </c>
      <c r="C39" s="35" t="str">
        <f t="shared" si="0"/>
        <v>VIRESA là Đối tác ENC 2026 — Esports Quốc gia VN gia nhập mạng lưới toàn cầu</v>
      </c>
      <c r="D39" t="s">
        <v>104</v>
      </c>
      <c r="E39" s="105" t="str">
        <f>VLOOKUP(X39,'Updating-Scoring'!$C$2:$D$7,2,TRUE)</f>
        <v>1 - Noise</v>
      </c>
      <c r="F39">
        <f t="shared" si="1"/>
        <v>14</v>
      </c>
      <c r="G39" s="34">
        <v>46111</v>
      </c>
      <c r="H39" s="107" t="s">
        <v>722</v>
      </c>
      <c r="I39" s="34">
        <v>46107</v>
      </c>
      <c r="J39" t="s">
        <v>284</v>
      </c>
      <c r="K39" s="34" t="s">
        <v>431</v>
      </c>
      <c r="L39" s="34" t="s">
        <v>449</v>
      </c>
      <c r="M39" s="34" t="s">
        <v>723</v>
      </c>
      <c r="N39" s="34" t="str">
        <f t="shared" si="2"/>
        <v>Social | Digital lifestyle</v>
      </c>
      <c r="O39" t="s">
        <v>724</v>
      </c>
      <c r="P39" t="s">
        <v>725</v>
      </c>
      <c r="S39" t="s">
        <v>726</v>
      </c>
      <c r="T39">
        <v>1</v>
      </c>
      <c r="U39">
        <v>1</v>
      </c>
      <c r="V39">
        <v>1</v>
      </c>
      <c r="W39">
        <v>1</v>
      </c>
      <c r="X39" s="106">
        <f t="shared" si="5"/>
        <v>1</v>
      </c>
      <c r="Y39" s="34"/>
      <c r="Z39" s="34"/>
    </row>
    <row r="40" spans="1:26" hidden="1">
      <c r="A40" s="41">
        <f t="shared" si="3"/>
        <v>37</v>
      </c>
      <c r="B40" t="s">
        <v>727</v>
      </c>
      <c r="C40" s="35" t="str">
        <f t="shared" si="0"/>
        <v>AI Agent x6400% Token Consumption — Cuộc đua Compute &amp; Hạ tầng AI toàn cầu</v>
      </c>
      <c r="D40" t="s">
        <v>104</v>
      </c>
      <c r="E40" s="105" t="str">
        <f>VLOOKUP(X40,'Updating-Scoring'!$C$2:$D$7,2,TRUE)</f>
        <v>2 - Minor signal</v>
      </c>
      <c r="F40">
        <f t="shared" si="1"/>
        <v>14</v>
      </c>
      <c r="G40" s="34">
        <v>46111</v>
      </c>
      <c r="H40" t="s">
        <v>728</v>
      </c>
      <c r="I40" s="34">
        <v>46106</v>
      </c>
      <c r="J40" t="s">
        <v>284</v>
      </c>
      <c r="K40" s="34" t="s">
        <v>729</v>
      </c>
      <c r="L40" s="34" t="s">
        <v>451</v>
      </c>
      <c r="M40" s="34" t="s">
        <v>486</v>
      </c>
      <c r="N40" s="34" t="str">
        <f t="shared" si="2"/>
        <v>Technology | Cloud/ Infrastructure</v>
      </c>
      <c r="O40" t="s">
        <v>730</v>
      </c>
      <c r="P40" t="s">
        <v>731</v>
      </c>
      <c r="S40" t="s">
        <v>732</v>
      </c>
      <c r="T40">
        <v>2</v>
      </c>
      <c r="U40">
        <v>4</v>
      </c>
      <c r="V40">
        <v>2</v>
      </c>
      <c r="W40">
        <v>4</v>
      </c>
      <c r="X40" s="106">
        <f t="shared" si="5"/>
        <v>2.8000000000000003</v>
      </c>
      <c r="Y40" s="34"/>
      <c r="Z40" s="34"/>
    </row>
    <row r="41" spans="1:26" hidden="1">
      <c r="A41" s="41">
        <f t="shared" si="3"/>
        <v>38</v>
      </c>
      <c r="B41" t="s">
        <v>733</v>
      </c>
      <c r="C41" s="35" t="str">
        <f t="shared" si="0"/>
        <v>VN áp chuẩn SAR Smartphone từ 1/7 — Quy định thiết bị di động &amp; thị trường</v>
      </c>
      <c r="D41" t="s">
        <v>131</v>
      </c>
      <c r="E41" s="105" t="str">
        <f>VLOOKUP(X41,'Updating-Scoring'!$C$2:$D$7,2,TRUE)</f>
        <v>2 - Minor signal</v>
      </c>
      <c r="F41">
        <f t="shared" si="1"/>
        <v>14</v>
      </c>
      <c r="G41" s="34">
        <v>46111</v>
      </c>
      <c r="H41" t="s">
        <v>734</v>
      </c>
      <c r="I41" s="34">
        <v>46108</v>
      </c>
      <c r="J41" t="s">
        <v>284</v>
      </c>
      <c r="K41" s="34" t="s">
        <v>431</v>
      </c>
      <c r="L41" s="34" t="s">
        <v>453</v>
      </c>
      <c r="M41" s="34" t="s">
        <v>735</v>
      </c>
      <c r="N41" s="34" t="str">
        <f t="shared" si="2"/>
        <v>Legal | New policy</v>
      </c>
      <c r="O41" t="s">
        <v>736</v>
      </c>
      <c r="P41" t="s">
        <v>737</v>
      </c>
      <c r="S41" t="s">
        <v>738</v>
      </c>
      <c r="T41">
        <v>2</v>
      </c>
      <c r="U41">
        <v>3</v>
      </c>
      <c r="V41">
        <v>2</v>
      </c>
      <c r="W41">
        <v>1</v>
      </c>
      <c r="X41" s="106">
        <f t="shared" si="5"/>
        <v>2.1</v>
      </c>
      <c r="Y41" s="34"/>
      <c r="Z41" s="34"/>
    </row>
    <row r="42" spans="1:26" hidden="1">
      <c r="A42" s="41">
        <f t="shared" si="3"/>
        <v>39</v>
      </c>
      <c r="B42" t="s">
        <v>739</v>
      </c>
      <c r="C42" s="35" t="str">
        <f t="shared" si="0"/>
        <v>Luật AI VN 3/2026: Khung pháp lý AI sớm nhất khu vực — Tác động toàn hệ thống</v>
      </c>
      <c r="D42" t="s">
        <v>131</v>
      </c>
      <c r="E42" s="105" t="str">
        <f>VLOOKUP(X42,'Updating-Scoring'!$C$2:$D$7,2,TRUE)</f>
        <v>2 - Minor signal</v>
      </c>
      <c r="F42">
        <f t="shared" si="1"/>
        <v>14</v>
      </c>
      <c r="G42" s="34">
        <v>46111</v>
      </c>
      <c r="H42" s="107" t="s">
        <v>740</v>
      </c>
      <c r="I42" s="34">
        <v>46107</v>
      </c>
      <c r="J42" t="s">
        <v>284</v>
      </c>
      <c r="K42" s="34" t="s">
        <v>431</v>
      </c>
      <c r="L42" s="34" t="s">
        <v>453</v>
      </c>
      <c r="M42" s="34" t="s">
        <v>735</v>
      </c>
      <c r="N42" s="34" t="str">
        <f t="shared" si="2"/>
        <v>Legal | New policy</v>
      </c>
      <c r="O42" t="s">
        <v>741</v>
      </c>
      <c r="P42" t="s">
        <v>742</v>
      </c>
      <c r="S42" t="s">
        <v>743</v>
      </c>
      <c r="T42">
        <v>2</v>
      </c>
      <c r="U42">
        <v>3</v>
      </c>
      <c r="V42">
        <v>3</v>
      </c>
      <c r="W42">
        <v>4</v>
      </c>
      <c r="X42" s="106">
        <f t="shared" si="5"/>
        <v>2.7500000000000004</v>
      </c>
      <c r="Y42" s="34"/>
      <c r="Z42" s="34"/>
    </row>
    <row r="43" spans="1:26" hidden="1">
      <c r="A43" s="41">
        <f t="shared" si="3"/>
        <v>40</v>
      </c>
      <c r="B43" t="s">
        <v>744</v>
      </c>
      <c r="C43" s="35" t="str">
        <f t="shared" si="0"/>
        <v>Google Gemini Import ChatGPT History — Chiến tranh giữ User AI escalates</v>
      </c>
      <c r="D43" t="s">
        <v>138</v>
      </c>
      <c r="E43" s="105" t="str">
        <f>VLOOKUP(X43,'Updating-Scoring'!$C$2:$D$7,2,TRUE)</f>
        <v>2 - Minor signal</v>
      </c>
      <c r="F43">
        <f t="shared" si="1"/>
        <v>14</v>
      </c>
      <c r="G43" s="34">
        <v>46111</v>
      </c>
      <c r="H43" t="s">
        <v>745</v>
      </c>
      <c r="I43" s="34">
        <v>46107</v>
      </c>
      <c r="J43" t="s">
        <v>284</v>
      </c>
      <c r="K43" s="34" t="s">
        <v>428</v>
      </c>
      <c r="L43" s="34" t="s">
        <v>451</v>
      </c>
      <c r="M43" s="34" t="s">
        <v>483</v>
      </c>
      <c r="N43" s="34" t="str">
        <f t="shared" si="2"/>
        <v>Technology | AI/ Gen AI</v>
      </c>
      <c r="O43" t="s">
        <v>746</v>
      </c>
      <c r="P43" t="s">
        <v>747</v>
      </c>
      <c r="S43" s="37" t="s">
        <v>748</v>
      </c>
      <c r="T43">
        <v>2</v>
      </c>
      <c r="U43">
        <v>4</v>
      </c>
      <c r="V43">
        <v>2</v>
      </c>
      <c r="W43">
        <v>4</v>
      </c>
      <c r="X43" s="106">
        <f t="shared" si="5"/>
        <v>2.8000000000000003</v>
      </c>
      <c r="Y43" s="34"/>
      <c r="Z43" s="34"/>
    </row>
    <row r="44" spans="1:26" hidden="1">
      <c r="A44" s="41">
        <f t="shared" si="3"/>
        <v>41</v>
      </c>
      <c r="B44" t="s">
        <v>749</v>
      </c>
      <c r="C44" s="35" t="str">
        <f t="shared" si="0"/>
        <v>Samsung Galaxy S26 hỗ trợ AirDrop — Interoperability Android↔iOS tiến xa</v>
      </c>
      <c r="D44" t="s">
        <v>138</v>
      </c>
      <c r="E44" s="105" t="str">
        <f>VLOOKUP(X44,'Updating-Scoring'!$C$2:$D$7,2,TRUE)</f>
        <v>2 - Minor signal</v>
      </c>
      <c r="F44">
        <f t="shared" si="1"/>
        <v>14</v>
      </c>
      <c r="G44" s="34">
        <v>46111</v>
      </c>
      <c r="H44" t="s">
        <v>750</v>
      </c>
      <c r="I44" s="34">
        <v>46104</v>
      </c>
      <c r="J44" t="s">
        <v>284</v>
      </c>
      <c r="K44" s="34" t="s">
        <v>428</v>
      </c>
      <c r="L44" s="34" t="s">
        <v>451</v>
      </c>
      <c r="M44" s="34" t="s">
        <v>485</v>
      </c>
      <c r="N44" s="34" t="str">
        <f t="shared" si="2"/>
        <v>Technology | Open banking/ API</v>
      </c>
      <c r="O44" t="s">
        <v>751</v>
      </c>
      <c r="P44" t="s">
        <v>752</v>
      </c>
      <c r="S44" s="37" t="s">
        <v>753</v>
      </c>
      <c r="T44">
        <v>3</v>
      </c>
      <c r="U44">
        <v>3</v>
      </c>
      <c r="V44">
        <v>3</v>
      </c>
      <c r="W44">
        <v>2</v>
      </c>
      <c r="X44" s="106">
        <f t="shared" si="5"/>
        <v>2.85</v>
      </c>
      <c r="Y44" s="34"/>
      <c r="Z44" s="34"/>
    </row>
    <row r="45" spans="1:26" hidden="1">
      <c r="A45" s="41">
        <f t="shared" si="3"/>
        <v>42</v>
      </c>
      <c r="B45" t="s">
        <v>754</v>
      </c>
      <c r="C45" s="35" t="str">
        <f t="shared" si="0"/>
        <v>AI Agent giải Finance Pain Mid-Market SEA — Cơ hội Embedded Finance tích hợp</v>
      </c>
      <c r="D45" t="s">
        <v>193</v>
      </c>
      <c r="E45" s="105" t="str">
        <f>VLOOKUP(X45,'Updating-Scoring'!$C$2:$D$7,2,TRUE)</f>
        <v>2 - Minor signal</v>
      </c>
      <c r="F45">
        <f t="shared" si="1"/>
        <v>14</v>
      </c>
      <c r="G45" s="34">
        <v>46111</v>
      </c>
      <c r="H45" t="s">
        <v>755</v>
      </c>
      <c r="I45" s="34">
        <v>46106</v>
      </c>
      <c r="J45" t="s">
        <v>284</v>
      </c>
      <c r="K45" s="34" t="s">
        <v>430</v>
      </c>
      <c r="L45" s="34" t="s">
        <v>451</v>
      </c>
      <c r="M45" s="34" t="s">
        <v>483</v>
      </c>
      <c r="N45" s="34" t="str">
        <f t="shared" si="2"/>
        <v>Technology | AI/ Gen AI</v>
      </c>
      <c r="O45" t="s">
        <v>756</v>
      </c>
      <c r="P45" t="s">
        <v>757</v>
      </c>
      <c r="S45" t="s">
        <v>758</v>
      </c>
      <c r="T45">
        <v>2</v>
      </c>
      <c r="U45">
        <v>3</v>
      </c>
      <c r="V45">
        <v>2</v>
      </c>
      <c r="W45">
        <v>4</v>
      </c>
      <c r="X45" s="106">
        <f t="shared" si="5"/>
        <v>2.5500000000000003</v>
      </c>
      <c r="Y45" s="34"/>
      <c r="Z45" s="34"/>
    </row>
    <row r="46" spans="1:26" hidden="1">
      <c r="A46" s="41">
        <f t="shared" si="3"/>
        <v>43</v>
      </c>
      <c r="B46" t="s">
        <v>759</v>
      </c>
      <c r="C46" s="35" t="str">
        <f t="shared" si="0"/>
        <v>FOMO Pay ra mắt AI Soundbox – Hợp nhất thanh toán &amp; mở đường cho “agentic commerce”</v>
      </c>
      <c r="D46" t="s">
        <v>193</v>
      </c>
      <c r="E46" s="105" t="str">
        <f>VLOOKUP(X46,'Updating-Scoring'!$C$2:$D$7,2,TRUE)</f>
        <v>4 - Strategic shift</v>
      </c>
      <c r="F46">
        <f t="shared" si="1"/>
        <v>14</v>
      </c>
      <c r="G46" s="110">
        <v>46111</v>
      </c>
      <c r="H46" t="s">
        <v>760</v>
      </c>
      <c r="I46" s="34">
        <v>46106</v>
      </c>
      <c r="J46" t="s">
        <v>284</v>
      </c>
      <c r="K46" s="34" t="s">
        <v>430</v>
      </c>
      <c r="L46" s="34" t="s">
        <v>451</v>
      </c>
      <c r="M46" s="34" t="s">
        <v>490</v>
      </c>
      <c r="N46" s="34" t="str">
        <f t="shared" si="2"/>
        <v>Technology | Payment</v>
      </c>
      <c r="O46" t="s">
        <v>761</v>
      </c>
      <c r="P46" t="s">
        <v>762</v>
      </c>
      <c r="S46" t="s">
        <v>763</v>
      </c>
      <c r="T46">
        <v>5</v>
      </c>
      <c r="U46">
        <v>4</v>
      </c>
      <c r="V46">
        <v>3</v>
      </c>
      <c r="W46">
        <v>4</v>
      </c>
      <c r="X46" s="106">
        <f t="shared" si="5"/>
        <v>4.2</v>
      </c>
      <c r="Y46" s="34"/>
      <c r="Z46" s="34"/>
    </row>
    <row r="47" spans="1:26" hidden="1">
      <c r="A47" s="41">
        <f t="shared" si="3"/>
        <v>44</v>
      </c>
      <c r="B47" t="s">
        <v>764</v>
      </c>
      <c r="C47" s="35" t="str">
        <f t="shared" si="0"/>
        <v>Robinhood Buyback $1.5B giữa suy thoái — Tín hiệu Investment Sentiment Fintech</v>
      </c>
      <c r="D47" t="s">
        <v>193</v>
      </c>
      <c r="E47" s="105" t="str">
        <f>VLOOKUP(X47,'Updating-Scoring'!$C$2:$D$7,2,TRUE)</f>
        <v>1 - Noise</v>
      </c>
      <c r="F47">
        <f t="shared" si="1"/>
        <v>14</v>
      </c>
      <c r="G47" s="34">
        <v>46111</v>
      </c>
      <c r="H47" t="s">
        <v>765</v>
      </c>
      <c r="I47" s="34">
        <v>46105</v>
      </c>
      <c r="J47" t="s">
        <v>284</v>
      </c>
      <c r="K47" s="34" t="s">
        <v>428</v>
      </c>
      <c r="L47" s="34" t="s">
        <v>447</v>
      </c>
      <c r="M47" s="34" t="s">
        <v>766</v>
      </c>
      <c r="N47" s="34" t="str">
        <f t="shared" si="2"/>
        <v>Economic | IPO/ valuation</v>
      </c>
      <c r="O47" t="s">
        <v>767</v>
      </c>
      <c r="P47" t="s">
        <v>768</v>
      </c>
      <c r="S47" t="s">
        <v>769</v>
      </c>
      <c r="T47">
        <v>2</v>
      </c>
      <c r="U47">
        <v>2</v>
      </c>
      <c r="V47">
        <v>1</v>
      </c>
      <c r="W47">
        <v>1</v>
      </c>
      <c r="X47" s="106">
        <f t="shared" si="5"/>
        <v>1.65</v>
      </c>
      <c r="Y47" s="34"/>
      <c r="Z47" s="34"/>
    </row>
    <row r="48" spans="1:26" hidden="1">
      <c r="A48" s="41">
        <f t="shared" si="3"/>
        <v>45</v>
      </c>
      <c r="B48" t="s">
        <v>770</v>
      </c>
      <c r="C48" s="35" t="str">
        <f t="shared" si="0"/>
        <v>Indonesia mở QR thanh toán quốc tế cho khách du lịch Nhật – Đẩy mạnh thanh toán xuyên biên giới khu vực</v>
      </c>
      <c r="D48" t="s">
        <v>193</v>
      </c>
      <c r="E48" s="105" t="str">
        <f>VLOOKUP(X48,'Updating-Scoring'!$C$2:$D$7,2,TRUE)</f>
        <v>4 - Strategic shift</v>
      </c>
      <c r="F48">
        <f t="shared" si="1"/>
        <v>14</v>
      </c>
      <c r="G48" s="110">
        <v>46111</v>
      </c>
      <c r="H48" t="s">
        <v>771</v>
      </c>
      <c r="I48" s="34">
        <v>46106</v>
      </c>
      <c r="J48" t="s">
        <v>284</v>
      </c>
      <c r="K48" s="34" t="s">
        <v>430</v>
      </c>
      <c r="L48" s="34" t="s">
        <v>447</v>
      </c>
      <c r="M48" s="34" t="s">
        <v>480</v>
      </c>
      <c r="N48" s="34" t="str">
        <f t="shared" si="2"/>
        <v>Economic | Payment behavior</v>
      </c>
      <c r="O48" t="s">
        <v>772</v>
      </c>
      <c r="P48" t="s">
        <v>773</v>
      </c>
      <c r="S48" t="s">
        <v>774</v>
      </c>
      <c r="T48">
        <v>5</v>
      </c>
      <c r="U48">
        <v>4</v>
      </c>
      <c r="V48">
        <v>2</v>
      </c>
      <c r="W48">
        <v>2</v>
      </c>
      <c r="X48" s="106">
        <f t="shared" si="5"/>
        <v>3.6999999999999997</v>
      </c>
      <c r="Y48" s="34"/>
      <c r="Z48" s="34"/>
    </row>
    <row r="49" spans="1:26" hidden="1">
      <c r="A49" s="41">
        <f t="shared" si="3"/>
        <v>46</v>
      </c>
      <c r="B49" t="s">
        <v>775</v>
      </c>
      <c r="C49" s="35" t="str">
        <f t="shared" si="0"/>
        <v>Shopee – TikTok Shop thống trị thương mại điện tử, gây áp lực lớn lên các hãng giao hàng Việt Nam</v>
      </c>
      <c r="D49" t="s">
        <v>193</v>
      </c>
      <c r="E49" s="105" t="str">
        <f>VLOOKUP(X49,'Updating-Scoring'!$C$2:$D$7,2,TRUE)</f>
        <v>5 - Industry disruption</v>
      </c>
      <c r="F49">
        <f t="shared" si="1"/>
        <v>14</v>
      </c>
      <c r="G49" s="110">
        <v>46111</v>
      </c>
      <c r="H49" t="s">
        <v>776</v>
      </c>
      <c r="I49" s="34">
        <v>46106</v>
      </c>
      <c r="J49" t="s">
        <v>284</v>
      </c>
      <c r="K49" s="34" t="s">
        <v>431</v>
      </c>
      <c r="L49" s="34" t="s">
        <v>447</v>
      </c>
      <c r="M49" s="34" t="s">
        <v>475</v>
      </c>
      <c r="N49" s="34" t="str">
        <f t="shared" si="2"/>
        <v>Economic | Market growth/market size</v>
      </c>
      <c r="O49" t="s">
        <v>777</v>
      </c>
      <c r="P49" t="s">
        <v>778</v>
      </c>
      <c r="S49" t="s">
        <v>779</v>
      </c>
      <c r="T49">
        <v>5</v>
      </c>
      <c r="U49">
        <v>5</v>
      </c>
      <c r="V49">
        <v>5</v>
      </c>
      <c r="W49">
        <v>2</v>
      </c>
      <c r="X49" s="106">
        <f t="shared" si="5"/>
        <v>4.55</v>
      </c>
      <c r="Y49" s="34"/>
      <c r="Z49" s="34"/>
    </row>
    <row r="50" spans="1:26" hidden="1">
      <c r="A50" s="41">
        <f t="shared" si="3"/>
        <v>47</v>
      </c>
      <c r="B50" t="s">
        <v>780</v>
      </c>
      <c r="C50" s="35" t="str">
        <f t="shared" si="0"/>
        <v>Alibaba &amp; Tencent lỗ $66B AI — 'AI Investment Fatigue' cảnh báo ROI Big Tech</v>
      </c>
      <c r="D50" t="s">
        <v>193</v>
      </c>
      <c r="E50" s="105" t="str">
        <f>VLOOKUP(X50,'Updating-Scoring'!$C$2:$D$7,2,TRUE)</f>
        <v>4 - Strategic shift</v>
      </c>
      <c r="F50">
        <f t="shared" si="1"/>
        <v>14</v>
      </c>
      <c r="G50" s="34">
        <v>46111</v>
      </c>
      <c r="H50" t="s">
        <v>781</v>
      </c>
      <c r="I50" s="34">
        <v>46106</v>
      </c>
      <c r="J50" t="s">
        <v>284</v>
      </c>
      <c r="K50" s="34" t="s">
        <v>729</v>
      </c>
      <c r="L50" s="34" t="s">
        <v>447</v>
      </c>
      <c r="M50" s="34" t="s">
        <v>782</v>
      </c>
      <c r="N50" s="34" t="str">
        <f t="shared" si="2"/>
        <v>Economic | Fintech funding/ investment</v>
      </c>
      <c r="O50" t="s">
        <v>783</v>
      </c>
      <c r="P50" t="s">
        <v>784</v>
      </c>
      <c r="S50" t="s">
        <v>785</v>
      </c>
      <c r="T50">
        <v>3</v>
      </c>
      <c r="U50">
        <v>4</v>
      </c>
      <c r="V50">
        <v>4</v>
      </c>
      <c r="W50">
        <v>3</v>
      </c>
      <c r="X50" s="106">
        <f t="shared" si="5"/>
        <v>3.45</v>
      </c>
      <c r="Y50" s="34"/>
      <c r="Z50" s="34"/>
    </row>
    <row r="51" spans="1:26" hidden="1">
      <c r="A51" s="41">
        <f t="shared" si="3"/>
        <v>48</v>
      </c>
      <c r="B51" t="s">
        <v>786</v>
      </c>
      <c r="C51" s="35" t="str">
        <f t="shared" si="0"/>
        <v>Meta và Google bị phạt vì nền tảng mạng xã hội gây nghiện cho người dùng</v>
      </c>
      <c r="D51" t="s">
        <v>119</v>
      </c>
      <c r="E51" s="105" t="str">
        <f>VLOOKUP(X51,'Updating-Scoring'!$C$2:$D$7,2,TRUE)</f>
        <v>3 - Market signal</v>
      </c>
      <c r="F51">
        <f t="shared" si="1"/>
        <v>14</v>
      </c>
      <c r="G51" s="34">
        <v>46111</v>
      </c>
      <c r="H51" t="s">
        <v>787</v>
      </c>
      <c r="I51" s="38">
        <v>46107</v>
      </c>
      <c r="J51" t="s">
        <v>284</v>
      </c>
      <c r="K51" s="34" t="s">
        <v>428</v>
      </c>
      <c r="L51" s="34" t="s">
        <v>445</v>
      </c>
      <c r="M51" s="34" t="s">
        <v>735</v>
      </c>
      <c r="N51" s="34" t="str">
        <f t="shared" si="2"/>
        <v>Political | New policy</v>
      </c>
      <c r="O51" t="s">
        <v>787</v>
      </c>
      <c r="P51" t="s">
        <v>788</v>
      </c>
      <c r="S51" t="s">
        <v>789</v>
      </c>
      <c r="T51">
        <v>3</v>
      </c>
      <c r="U51">
        <v>4</v>
      </c>
      <c r="V51">
        <v>3</v>
      </c>
      <c r="W51">
        <v>2</v>
      </c>
      <c r="X51" s="106">
        <f t="shared" si="5"/>
        <v>3.1</v>
      </c>
      <c r="Y51" s="34"/>
      <c r="Z51" s="34"/>
    </row>
    <row r="52" spans="1:26" hidden="1">
      <c r="A52" s="41">
        <f t="shared" si="3"/>
        <v>49</v>
      </c>
      <c r="B52" t="s">
        <v>790</v>
      </c>
      <c r="C52" s="35" t="str">
        <f t="shared" si="0"/>
        <v>Alibaba lợi nhuận -66%, đổ vốn Quick Commerce — Dịch chuyển mô hình e-commerce</v>
      </c>
      <c r="D52" t="s">
        <v>193</v>
      </c>
      <c r="E52" s="105" t="str">
        <f>VLOOKUP(X52,'Updating-Scoring'!$C$2:$D$7,2,TRUE)</f>
        <v>3 - Market signal</v>
      </c>
      <c r="F52">
        <f t="shared" si="1"/>
        <v>14</v>
      </c>
      <c r="G52" s="34">
        <v>46111</v>
      </c>
      <c r="H52" t="s">
        <v>791</v>
      </c>
      <c r="I52" s="34">
        <v>46106</v>
      </c>
      <c r="J52" t="s">
        <v>284</v>
      </c>
      <c r="K52" s="34" t="s">
        <v>729</v>
      </c>
      <c r="L52" s="34" t="s">
        <v>447</v>
      </c>
      <c r="M52" s="34" t="s">
        <v>475</v>
      </c>
      <c r="N52" s="34" t="str">
        <f t="shared" si="2"/>
        <v>Economic | Market growth/market size</v>
      </c>
      <c r="O52" t="s">
        <v>792</v>
      </c>
      <c r="P52" t="s">
        <v>793</v>
      </c>
      <c r="S52" t="s">
        <v>794</v>
      </c>
      <c r="T52">
        <v>3</v>
      </c>
      <c r="U52">
        <v>4</v>
      </c>
      <c r="V52">
        <v>4</v>
      </c>
      <c r="W52">
        <v>2</v>
      </c>
      <c r="X52" s="106">
        <f t="shared" si="5"/>
        <v>3.3</v>
      </c>
      <c r="Y52" s="34"/>
      <c r="Z52" s="34"/>
    </row>
    <row r="53" spans="1:26" hidden="1">
      <c r="A53" s="41">
        <f t="shared" si="3"/>
        <v>50</v>
      </c>
      <c r="B53" t="s">
        <v>795</v>
      </c>
      <c r="C53" s="35" t="str">
        <f t="shared" si="0"/>
        <v>MoMo phát triển tính năng mới trong tháng 2 nhằm cải thiện trải nghiệm người dùng</v>
      </c>
      <c r="D53" t="s">
        <v>610</v>
      </c>
      <c r="E53" s="105" t="str">
        <f>VLOOKUP(X53,'Updating-Scoring'!$C$2:$D$7,2,TRUE)</f>
        <v>4 - Strategic shift</v>
      </c>
      <c r="F53">
        <f t="shared" si="1"/>
        <v>14</v>
      </c>
      <c r="G53" s="110">
        <v>46111</v>
      </c>
      <c r="H53" t="s">
        <v>796</v>
      </c>
      <c r="I53" s="34">
        <v>46093</v>
      </c>
      <c r="J53" t="s">
        <v>170</v>
      </c>
      <c r="K53" s="34" t="s">
        <v>432</v>
      </c>
      <c r="L53" s="34" t="s">
        <v>411</v>
      </c>
      <c r="M53" s="34" t="s">
        <v>501</v>
      </c>
      <c r="N53" s="34" t="str">
        <f t="shared" si="2"/>
        <v>Feature | New feature</v>
      </c>
      <c r="O53" t="s">
        <v>797</v>
      </c>
      <c r="P53" t="s">
        <v>798</v>
      </c>
      <c r="Q53" s="38">
        <v>46054</v>
      </c>
      <c r="R53" s="38"/>
      <c r="S53" t="s">
        <v>799</v>
      </c>
      <c r="T53">
        <v>5</v>
      </c>
      <c r="U53">
        <v>2</v>
      </c>
      <c r="V53">
        <v>5</v>
      </c>
      <c r="W53">
        <v>2</v>
      </c>
      <c r="X53" s="106">
        <f t="shared" si="5"/>
        <v>3.8</v>
      </c>
      <c r="Y53" s="34"/>
      <c r="Z53" s="34"/>
    </row>
    <row r="54" spans="1:26" hidden="1">
      <c r="A54" s="41">
        <f t="shared" si="3"/>
        <v>51</v>
      </c>
      <c r="B54" t="s">
        <v>800</v>
      </c>
      <c r="C54" s="35" t="str">
        <f t="shared" si="0"/>
        <v>Ví trả sau: MoMo Mã VITRASAU: Onboarding Bạn Mới gắn Ví Trả Sau — Bundle quà 500k + thưởng 1 triệu</v>
      </c>
      <c r="D54" t="s">
        <v>610</v>
      </c>
      <c r="E54" s="105" t="str">
        <f>VLOOKUP(X54,'Updating-Scoring'!$C$2:$D$7,2,TRUE)</f>
        <v>3 - Market signal</v>
      </c>
      <c r="F54">
        <f t="shared" si="1"/>
        <v>14</v>
      </c>
      <c r="G54" s="34">
        <v>46111</v>
      </c>
      <c r="H54" t="s">
        <v>801</v>
      </c>
      <c r="I54" s="34">
        <v>45789</v>
      </c>
      <c r="J54" t="s">
        <v>170</v>
      </c>
      <c r="K54" s="34" t="s">
        <v>432</v>
      </c>
      <c r="L54" s="34" t="s">
        <v>457</v>
      </c>
      <c r="M54" s="34" t="s">
        <v>415</v>
      </c>
      <c r="N54" s="34" t="str">
        <f t="shared" si="2"/>
        <v>Marketing | User acquisition</v>
      </c>
      <c r="O54" t="s">
        <v>802</v>
      </c>
      <c r="P54" t="s">
        <v>803</v>
      </c>
      <c r="Q54" s="38">
        <v>46082</v>
      </c>
      <c r="R54" s="38">
        <v>46112</v>
      </c>
      <c r="S54" t="s">
        <v>804</v>
      </c>
      <c r="T54">
        <v>4</v>
      </c>
      <c r="U54">
        <v>2</v>
      </c>
      <c r="V54">
        <v>5</v>
      </c>
      <c r="W54">
        <v>2</v>
      </c>
      <c r="X54" s="106">
        <f t="shared" si="5"/>
        <v>3.4</v>
      </c>
      <c r="Y54" s="34" t="s">
        <v>607</v>
      </c>
      <c r="Z54" s="34" t="s">
        <v>805</v>
      </c>
    </row>
    <row r="55" spans="1:26" hidden="1">
      <c r="A55" s="41">
        <f t="shared" si="3"/>
        <v>52</v>
      </c>
      <c r="B55" t="s">
        <v>806</v>
      </c>
      <c r="C55" s="35" t="str">
        <f t="shared" si="0"/>
        <v>MoMo Travel Deal Tháng 3: Giảm 500k — Duy trì nhịp khuyến mãi Travel hàng tháng</v>
      </c>
      <c r="D55" t="s">
        <v>610</v>
      </c>
      <c r="E55" s="105" t="str">
        <f>VLOOKUP(X55,'Updating-Scoring'!$C$2:$D$7,2,TRUE)</f>
        <v>2 - Minor signal</v>
      </c>
      <c r="F55">
        <f t="shared" si="1"/>
        <v>14</v>
      </c>
      <c r="G55" s="34">
        <v>46111</v>
      </c>
      <c r="H55" t="s">
        <v>807</v>
      </c>
      <c r="I55" s="34">
        <v>46106</v>
      </c>
      <c r="J55" t="s">
        <v>170</v>
      </c>
      <c r="K55" s="34" t="s">
        <v>432</v>
      </c>
      <c r="L55" s="34" t="s">
        <v>457</v>
      </c>
      <c r="M55" s="34" t="s">
        <v>414</v>
      </c>
      <c r="N55" s="34" t="str">
        <f t="shared" si="2"/>
        <v>Marketing | User engagement</v>
      </c>
      <c r="O55" t="s">
        <v>808</v>
      </c>
      <c r="P55" t="s">
        <v>809</v>
      </c>
      <c r="Q55" s="38">
        <v>46098</v>
      </c>
      <c r="R55" s="38"/>
      <c r="S55" t="s">
        <v>810</v>
      </c>
      <c r="T55">
        <v>3</v>
      </c>
      <c r="U55">
        <v>2</v>
      </c>
      <c r="V55">
        <v>3</v>
      </c>
      <c r="W55">
        <v>2</v>
      </c>
      <c r="X55" s="106">
        <f t="shared" si="5"/>
        <v>2.6</v>
      </c>
      <c r="Y55" s="34" t="s">
        <v>607</v>
      </c>
      <c r="Z55" s="34" t="s">
        <v>811</v>
      </c>
    </row>
    <row r="56" spans="1:26" hidden="1">
      <c r="A56" s="41">
        <f t="shared" si="3"/>
        <v>53</v>
      </c>
      <c r="B56" t="s">
        <v>812</v>
      </c>
      <c r="C56" s="35" t="str">
        <f t="shared" si="0"/>
        <v>MoMo ra mắt tính năng cập nhật số điện thoại</v>
      </c>
      <c r="D56" t="s">
        <v>610</v>
      </c>
      <c r="E56" s="105" t="str">
        <f>VLOOKUP(X56,'Updating-Scoring'!$C$2:$D$7,2,TRUE)</f>
        <v>4 - Strategic shift</v>
      </c>
      <c r="F56">
        <f t="shared" si="1"/>
        <v>14</v>
      </c>
      <c r="G56" s="110">
        <v>46111</v>
      </c>
      <c r="H56" t="s">
        <v>813</v>
      </c>
      <c r="I56" s="34">
        <v>46099</v>
      </c>
      <c r="J56" t="s">
        <v>170</v>
      </c>
      <c r="K56" s="34" t="s">
        <v>432</v>
      </c>
      <c r="L56" s="34" t="s">
        <v>411</v>
      </c>
      <c r="M56" s="34" t="s">
        <v>501</v>
      </c>
      <c r="N56" s="34" t="str">
        <f t="shared" si="2"/>
        <v>Feature | New feature</v>
      </c>
      <c r="O56" t="s">
        <v>814</v>
      </c>
      <c r="P56" t="s">
        <v>815</v>
      </c>
      <c r="Q56" s="38">
        <v>46099</v>
      </c>
      <c r="R56" s="38"/>
      <c r="S56" t="s">
        <v>816</v>
      </c>
      <c r="T56">
        <v>5</v>
      </c>
      <c r="U56">
        <v>2</v>
      </c>
      <c r="V56">
        <v>5</v>
      </c>
      <c r="W56">
        <v>2</v>
      </c>
      <c r="X56" s="106">
        <f t="shared" si="5"/>
        <v>3.8</v>
      </c>
      <c r="Y56" s="34" t="s">
        <v>817</v>
      </c>
      <c r="Z56" s="34" t="s">
        <v>818</v>
      </c>
    </row>
    <row r="57" spans="1:26" hidden="1">
      <c r="A57" s="41">
        <f t="shared" si="3"/>
        <v>54</v>
      </c>
      <c r="B57" t="s">
        <v>819</v>
      </c>
      <c r="C57" s="35" t="str">
        <f t="shared" si="0"/>
        <v>MoMo × Apple Store: Giảm đến 45K mua iCloud+, lưu mọi ảnh, dữ liệu</v>
      </c>
      <c r="D57" t="s">
        <v>610</v>
      </c>
      <c r="E57" s="105" t="str">
        <f>VLOOKUP(X57,'Updating-Scoring'!$C$2:$D$7,2,TRUE)</f>
        <v>3 - Market signal</v>
      </c>
      <c r="F57">
        <f t="shared" si="1"/>
        <v>14</v>
      </c>
      <c r="G57" s="110">
        <v>46111</v>
      </c>
      <c r="H57" t="s">
        <v>820</v>
      </c>
      <c r="I57" s="34">
        <v>46094</v>
      </c>
      <c r="J57" t="s">
        <v>170</v>
      </c>
      <c r="K57" s="34" t="s">
        <v>432</v>
      </c>
      <c r="L57" s="34" t="s">
        <v>457</v>
      </c>
      <c r="M57" s="34" t="s">
        <v>413</v>
      </c>
      <c r="N57" s="34" t="str">
        <f t="shared" si="2"/>
        <v>Marketing | User activation</v>
      </c>
      <c r="O57" t="s">
        <v>821</v>
      </c>
      <c r="P57" t="s">
        <v>822</v>
      </c>
      <c r="Q57" s="38">
        <v>46093</v>
      </c>
      <c r="R57" s="38">
        <v>46103</v>
      </c>
      <c r="S57" t="s">
        <v>823</v>
      </c>
      <c r="T57">
        <v>4</v>
      </c>
      <c r="U57">
        <v>2</v>
      </c>
      <c r="V57">
        <v>5</v>
      </c>
      <c r="W57">
        <v>2</v>
      </c>
      <c r="X57" s="106">
        <f t="shared" si="5"/>
        <v>3.4</v>
      </c>
      <c r="Y57" s="34" t="s">
        <v>607</v>
      </c>
      <c r="Z57" s="34" t="s">
        <v>824</v>
      </c>
    </row>
    <row r="58" spans="1:26" hidden="1">
      <c r="A58" s="41">
        <f t="shared" si="3"/>
        <v>55</v>
      </c>
      <c r="B58" t="s">
        <v>825</v>
      </c>
      <c r="C58" s="35" t="str">
        <f t="shared" si="0"/>
        <v>MoMo x Apple Store: Giảm đến 45K khi đăng ký YouTube Premium</v>
      </c>
      <c r="D58" t="s">
        <v>610</v>
      </c>
      <c r="E58" s="105" t="str">
        <f>VLOOKUP(X58,'Updating-Scoring'!$C$2:$D$7,2,TRUE)</f>
        <v>3 - Market signal</v>
      </c>
      <c r="F58">
        <f t="shared" si="1"/>
        <v>14</v>
      </c>
      <c r="G58" s="110">
        <v>46111</v>
      </c>
      <c r="H58" t="s">
        <v>826</v>
      </c>
      <c r="I58" s="34">
        <v>46093</v>
      </c>
      <c r="J58" t="s">
        <v>170</v>
      </c>
      <c r="K58" s="34" t="s">
        <v>432</v>
      </c>
      <c r="L58" s="34" t="s">
        <v>457</v>
      </c>
      <c r="M58" s="34" t="s">
        <v>413</v>
      </c>
      <c r="N58" s="34" t="str">
        <f t="shared" si="2"/>
        <v>Marketing | User activation</v>
      </c>
      <c r="O58" t="s">
        <v>827</v>
      </c>
      <c r="P58" t="s">
        <v>828</v>
      </c>
      <c r="Q58" s="38">
        <v>46093</v>
      </c>
      <c r="R58" s="38">
        <v>46103</v>
      </c>
      <c r="S58" t="s">
        <v>829</v>
      </c>
      <c r="T58">
        <v>4</v>
      </c>
      <c r="U58">
        <v>2</v>
      </c>
      <c r="V58">
        <v>5</v>
      </c>
      <c r="W58">
        <v>2</v>
      </c>
      <c r="X58" s="106">
        <f t="shared" si="5"/>
        <v>3.4</v>
      </c>
      <c r="Y58" s="34" t="s">
        <v>607</v>
      </c>
      <c r="Z58" s="34" t="s">
        <v>824</v>
      </c>
    </row>
    <row r="59" spans="1:26" hidden="1">
      <c r="A59" s="41">
        <f t="shared" si="3"/>
        <v>56</v>
      </c>
      <c r="B59" t="s">
        <v>830</v>
      </c>
      <c r="C59" s="35" t="str">
        <f t="shared" si="0"/>
        <v>Miễn phí ngay 1 lít xăng khi nhấn thích mục Tra cứu phạt nguội trên MoMo</v>
      </c>
      <c r="D59" t="s">
        <v>610</v>
      </c>
      <c r="E59" s="105" t="str">
        <f>VLOOKUP(X59,'Updating-Scoring'!$C$2:$D$7,2,TRUE)</f>
        <v>3 - Market signal</v>
      </c>
      <c r="F59">
        <f t="shared" si="1"/>
        <v>14</v>
      </c>
      <c r="G59" s="34">
        <v>46111</v>
      </c>
      <c r="H59" t="s">
        <v>831</v>
      </c>
      <c r="I59" s="34">
        <v>46095</v>
      </c>
      <c r="J59" t="s">
        <v>170</v>
      </c>
      <c r="K59" s="34" t="s">
        <v>432</v>
      </c>
      <c r="L59" s="34" t="s">
        <v>457</v>
      </c>
      <c r="M59" s="34" t="s">
        <v>413</v>
      </c>
      <c r="N59" s="34" t="str">
        <f t="shared" si="2"/>
        <v>Marketing | User activation</v>
      </c>
      <c r="O59" t="s">
        <v>832</v>
      </c>
      <c r="P59" t="s">
        <v>833</v>
      </c>
      <c r="Q59" s="38">
        <v>46093</v>
      </c>
      <c r="R59" s="38">
        <v>46112</v>
      </c>
      <c r="S59" t="s">
        <v>834</v>
      </c>
      <c r="T59">
        <v>4</v>
      </c>
      <c r="U59">
        <v>2</v>
      </c>
      <c r="V59">
        <v>5</v>
      </c>
      <c r="W59">
        <v>2</v>
      </c>
      <c r="X59" s="106">
        <f t="shared" si="5"/>
        <v>3.4</v>
      </c>
      <c r="Y59" s="34" t="s">
        <v>817</v>
      </c>
      <c r="Z59" s="34" t="s">
        <v>835</v>
      </c>
    </row>
    <row r="60" spans="1:26" hidden="1">
      <c r="A60" s="41">
        <f t="shared" si="3"/>
        <v>57</v>
      </c>
      <c r="B60" t="s">
        <v>836</v>
      </c>
      <c r="C60" s="35" t="str">
        <f t="shared" si="0"/>
        <v>MoMo cập nhật mới nhất về giải pháp nhận tiền dành cho hộ kinh doanh, hỗ trợ chuẩn hóa thông tin theo quy định mới</v>
      </c>
      <c r="D60" t="s">
        <v>610</v>
      </c>
      <c r="E60" s="105" t="str">
        <f>VLOOKUP(X60,'Updating-Scoring'!$C$2:$D$7,2,TRUE)</f>
        <v>2 - Minor signal</v>
      </c>
      <c r="F60">
        <f t="shared" si="1"/>
        <v>14</v>
      </c>
      <c r="G60" s="34">
        <v>46111</v>
      </c>
      <c r="H60" t="s">
        <v>837</v>
      </c>
      <c r="I60" s="34">
        <v>46101</v>
      </c>
      <c r="J60" t="s">
        <v>170</v>
      </c>
      <c r="K60" s="34" t="s">
        <v>432</v>
      </c>
      <c r="L60" s="34" t="s">
        <v>410</v>
      </c>
      <c r="M60" s="34" t="s">
        <v>498</v>
      </c>
      <c r="N60" s="34" t="str">
        <f t="shared" si="2"/>
        <v>Product | T&amp;C change</v>
      </c>
      <c r="O60" t="s">
        <v>837</v>
      </c>
      <c r="P60" t="s">
        <v>838</v>
      </c>
      <c r="Q60" s="38">
        <v>46100</v>
      </c>
      <c r="R60" s="38"/>
      <c r="S60" t="s">
        <v>839</v>
      </c>
      <c r="T60">
        <v>3</v>
      </c>
      <c r="U60">
        <v>2</v>
      </c>
      <c r="V60">
        <v>5</v>
      </c>
      <c r="W60">
        <v>2</v>
      </c>
      <c r="X60" s="106">
        <f t="shared" si="5"/>
        <v>3</v>
      </c>
      <c r="Y60" s="34" t="s">
        <v>840</v>
      </c>
      <c r="Z60" s="34" t="s">
        <v>841</v>
      </c>
    </row>
    <row r="61" spans="1:26" hidden="1">
      <c r="A61" s="41">
        <f t="shared" si="3"/>
        <v>58</v>
      </c>
      <c r="B61" t="s">
        <v>842</v>
      </c>
      <c r="C61" s="35" t="str">
        <f t="shared" si="0"/>
        <v>MoMo × Shopee: Hoàn tiền đến 30% &amp; tặng thêm 20K cho lần đầu đặt đơn</v>
      </c>
      <c r="D61" t="s">
        <v>610</v>
      </c>
      <c r="E61" s="105" t="str">
        <f>VLOOKUP(X61,'Updating-Scoring'!$C$2:$D$7,2,TRUE)</f>
        <v>3 - Market signal</v>
      </c>
      <c r="F61">
        <f t="shared" si="1"/>
        <v>14</v>
      </c>
      <c r="G61" s="34">
        <v>46111</v>
      </c>
      <c r="H61" t="s">
        <v>843</v>
      </c>
      <c r="I61" s="34">
        <v>46096</v>
      </c>
      <c r="J61" t="s">
        <v>170</v>
      </c>
      <c r="K61" s="34" t="s">
        <v>432</v>
      </c>
      <c r="L61" s="34" t="s">
        <v>457</v>
      </c>
      <c r="M61" s="34" t="s">
        <v>413</v>
      </c>
      <c r="N61" s="34" t="str">
        <f t="shared" si="2"/>
        <v>Marketing | User activation</v>
      </c>
      <c r="O61" t="s">
        <v>844</v>
      </c>
      <c r="P61" t="s">
        <v>845</v>
      </c>
      <c r="Q61" s="38">
        <v>46096</v>
      </c>
      <c r="R61" s="38">
        <v>46112</v>
      </c>
      <c r="S61" t="s">
        <v>846</v>
      </c>
      <c r="T61">
        <v>4</v>
      </c>
      <c r="U61">
        <v>2</v>
      </c>
      <c r="V61">
        <v>5</v>
      </c>
      <c r="W61">
        <v>2</v>
      </c>
      <c r="X61" s="106">
        <f t="shared" si="5"/>
        <v>3.4</v>
      </c>
      <c r="Y61" s="34" t="s">
        <v>607</v>
      </c>
      <c r="Z61" s="34" t="s">
        <v>847</v>
      </c>
    </row>
    <row r="62" spans="1:26" hidden="1">
      <c r="A62" s="41">
        <f t="shared" si="3"/>
        <v>59</v>
      </c>
      <c r="B62" t="s">
        <v>848</v>
      </c>
      <c r="C62" s="35" t="str">
        <f t="shared" si="0"/>
        <v>MoMo x Apple Store: Giảm đến 45K nạp game</v>
      </c>
      <c r="D62" t="s">
        <v>610</v>
      </c>
      <c r="E62" s="105" t="str">
        <f>VLOOKUP(X62,'Updating-Scoring'!$C$2:$D$7,2,TRUE)</f>
        <v>3 - Market signal</v>
      </c>
      <c r="F62">
        <f t="shared" si="1"/>
        <v>14</v>
      </c>
      <c r="G62" s="110">
        <v>46111</v>
      </c>
      <c r="H62" t="s">
        <v>849</v>
      </c>
      <c r="I62" s="34">
        <v>46093</v>
      </c>
      <c r="J62" t="s">
        <v>170</v>
      </c>
      <c r="K62" s="34" t="s">
        <v>432</v>
      </c>
      <c r="L62" s="34" t="s">
        <v>457</v>
      </c>
      <c r="M62" s="34" t="s">
        <v>413</v>
      </c>
      <c r="N62" s="34" t="str">
        <f t="shared" si="2"/>
        <v>Marketing | User activation</v>
      </c>
      <c r="O62" t="s">
        <v>850</v>
      </c>
      <c r="P62" s="70" t="s">
        <v>851</v>
      </c>
      <c r="Q62" s="38">
        <v>46093</v>
      </c>
      <c r="R62" s="38">
        <v>46103</v>
      </c>
      <c r="S62" t="s">
        <v>852</v>
      </c>
      <c r="T62">
        <v>4</v>
      </c>
      <c r="U62">
        <v>2</v>
      </c>
      <c r="V62">
        <v>5</v>
      </c>
      <c r="W62">
        <v>2</v>
      </c>
      <c r="X62" s="106">
        <f t="shared" si="5"/>
        <v>3.4</v>
      </c>
      <c r="Y62" s="34" t="s">
        <v>607</v>
      </c>
      <c r="Z62" s="34" t="s">
        <v>824</v>
      </c>
    </row>
    <row r="63" spans="1:26" hidden="1">
      <c r="A63" s="41">
        <f t="shared" si="3"/>
        <v>60</v>
      </c>
      <c r="B63" t="s">
        <v>853</v>
      </c>
      <c r="C63" s="35" t="str">
        <f t="shared" si="0"/>
        <v>Nhận tiền từ ngân hàng qua SĐT MoMo: Hoàn đến 8.888đ khi chuyển 2k từ ngân hàng đến MoMo của bản thân</v>
      </c>
      <c r="D63" t="s">
        <v>610</v>
      </c>
      <c r="E63" s="105" t="str">
        <f>VLOOKUP(X63,'Updating-Scoring'!$C$2:$D$7,2,TRUE)</f>
        <v>3 - Market signal</v>
      </c>
      <c r="F63">
        <f t="shared" si="1"/>
        <v>14</v>
      </c>
      <c r="G63" s="34">
        <v>46111</v>
      </c>
      <c r="H63" t="s">
        <v>854</v>
      </c>
      <c r="I63" s="34">
        <v>46100</v>
      </c>
      <c r="J63" t="s">
        <v>170</v>
      </c>
      <c r="K63" s="34" t="s">
        <v>432</v>
      </c>
      <c r="L63" s="34" t="s">
        <v>457</v>
      </c>
      <c r="M63" s="34" t="s">
        <v>413</v>
      </c>
      <c r="N63" s="34" t="str">
        <f t="shared" si="2"/>
        <v>Marketing | User activation</v>
      </c>
      <c r="O63" t="s">
        <v>855</v>
      </c>
      <c r="P63" t="s">
        <v>856</v>
      </c>
      <c r="Q63" s="38">
        <v>46100.625</v>
      </c>
      <c r="R63" s="38">
        <v>46112.999305555553</v>
      </c>
      <c r="S63" t="s">
        <v>857</v>
      </c>
      <c r="T63">
        <v>4</v>
      </c>
      <c r="U63">
        <v>2</v>
      </c>
      <c r="V63">
        <v>5</v>
      </c>
      <c r="W63">
        <v>2</v>
      </c>
      <c r="X63" s="106">
        <f t="shared" si="5"/>
        <v>3.4</v>
      </c>
      <c r="Y63" s="34" t="s">
        <v>858</v>
      </c>
      <c r="Z63" s="34" t="s">
        <v>614</v>
      </c>
    </row>
    <row r="64" spans="1:26" hidden="1">
      <c r="A64" s="41">
        <f t="shared" si="3"/>
        <v>61</v>
      </c>
      <c r="B64" t="s">
        <v>859</v>
      </c>
      <c r="C64" s="35" t="str">
        <f t="shared" si="0"/>
        <v>MoMo x Metro: Quét QR thanh toán vé Metro bằng MoMo - Nhận voucher giảm 50% giá xe công nghệ</v>
      </c>
      <c r="D64" t="s">
        <v>610</v>
      </c>
      <c r="E64" s="105" t="str">
        <f>VLOOKUP(X64,'Updating-Scoring'!$C$2:$D$7,2,TRUE)</f>
        <v>4 - Strategic shift</v>
      </c>
      <c r="F64">
        <f t="shared" si="1"/>
        <v>14</v>
      </c>
      <c r="G64" s="110">
        <v>46111</v>
      </c>
      <c r="H64" t="s">
        <v>860</v>
      </c>
      <c r="I64" s="34">
        <v>46103</v>
      </c>
      <c r="J64" t="s">
        <v>170</v>
      </c>
      <c r="K64" s="34" t="s">
        <v>432</v>
      </c>
      <c r="L64" s="34" t="s">
        <v>457</v>
      </c>
      <c r="M64" s="34" t="s">
        <v>413</v>
      </c>
      <c r="N64" s="34" t="str">
        <f t="shared" si="2"/>
        <v>Marketing | User activation</v>
      </c>
      <c r="O64" t="s">
        <v>861</v>
      </c>
      <c r="P64" t="s">
        <v>862</v>
      </c>
      <c r="Q64" s="38">
        <v>46101</v>
      </c>
      <c r="R64" s="38">
        <v>46139</v>
      </c>
      <c r="S64" t="s">
        <v>863</v>
      </c>
      <c r="T64">
        <v>5</v>
      </c>
      <c r="U64">
        <v>2</v>
      </c>
      <c r="V64">
        <v>5</v>
      </c>
      <c r="W64">
        <v>2</v>
      </c>
      <c r="X64" s="106">
        <f t="shared" si="5"/>
        <v>3.8</v>
      </c>
      <c r="Y64" s="34" t="s">
        <v>607</v>
      </c>
      <c r="Z64" s="34" t="s">
        <v>864</v>
      </c>
    </row>
    <row r="65" spans="1:26" hidden="1">
      <c r="A65" s="41">
        <f t="shared" si="3"/>
        <v>62</v>
      </c>
      <c r="B65" t="s">
        <v>865</v>
      </c>
      <c r="C65" s="35" t="str">
        <f t="shared" si="0"/>
        <v>Gamification: Rút Thông Điệp - Mở Yêu Thương: Khui Kho Quà 500 Triệu Cùng Hàng Loạt Ưu Đãi Khủng</v>
      </c>
      <c r="D65" t="s">
        <v>610</v>
      </c>
      <c r="E65" s="105" t="str">
        <f>VLOOKUP(X65,'Updating-Scoring'!$C$2:$D$7,2,TRUE)</f>
        <v>4 - Strategic shift</v>
      </c>
      <c r="F65">
        <f t="shared" si="1"/>
        <v>14</v>
      </c>
      <c r="G65" s="110">
        <v>46111</v>
      </c>
      <c r="H65" t="s">
        <v>866</v>
      </c>
      <c r="I65" s="34">
        <v>46099</v>
      </c>
      <c r="J65" t="s">
        <v>170</v>
      </c>
      <c r="K65" s="34" t="s">
        <v>432</v>
      </c>
      <c r="L65" s="34" t="s">
        <v>457</v>
      </c>
      <c r="M65" s="34" t="s">
        <v>414</v>
      </c>
      <c r="N65" s="34" t="str">
        <f t="shared" si="2"/>
        <v>Marketing | User engagement</v>
      </c>
      <c r="O65" t="s">
        <v>867</v>
      </c>
      <c r="P65" t="s">
        <v>868</v>
      </c>
      <c r="Q65" s="38">
        <v>46101</v>
      </c>
      <c r="R65" s="38">
        <v>46127</v>
      </c>
      <c r="S65" t="s">
        <v>869</v>
      </c>
      <c r="T65">
        <v>5</v>
      </c>
      <c r="U65">
        <v>2</v>
      </c>
      <c r="V65">
        <v>5</v>
      </c>
      <c r="W65">
        <v>2</v>
      </c>
      <c r="X65" s="106">
        <f t="shared" si="5"/>
        <v>3.8</v>
      </c>
      <c r="Y65" s="34"/>
      <c r="Z65" s="34"/>
    </row>
    <row r="66" spans="1:26" hidden="1">
      <c r="A66" s="41">
        <f t="shared" si="3"/>
        <v>63</v>
      </c>
      <c r="B66" t="s">
        <v>870</v>
      </c>
      <c r="C66" s="35" t="str">
        <f t="shared" si="0"/>
        <v>QR nhận tiền: MoMo thưởng 500 Xu cho user tải và lưu mã QR Nhận Tiền về điện thoại</v>
      </c>
      <c r="D66" t="s">
        <v>610</v>
      </c>
      <c r="E66" s="105" t="str">
        <f>VLOOKUP(X66,'Updating-Scoring'!$C$2:$D$7,2,TRUE)</f>
        <v>4 - Strategic shift</v>
      </c>
      <c r="F66">
        <f t="shared" si="1"/>
        <v>14</v>
      </c>
      <c r="G66" s="110">
        <v>46111</v>
      </c>
      <c r="H66" t="s">
        <v>871</v>
      </c>
      <c r="I66" s="34">
        <v>46104</v>
      </c>
      <c r="J66" t="s">
        <v>170</v>
      </c>
      <c r="K66" s="34" t="s">
        <v>432</v>
      </c>
      <c r="L66" s="34" t="s">
        <v>457</v>
      </c>
      <c r="M66" s="34" t="s">
        <v>413</v>
      </c>
      <c r="N66" s="34" t="str">
        <f t="shared" si="2"/>
        <v>Marketing | User activation</v>
      </c>
      <c r="O66" t="s">
        <v>872</v>
      </c>
      <c r="P66" t="s">
        <v>873</v>
      </c>
      <c r="Q66" s="38">
        <v>46104</v>
      </c>
      <c r="R66" s="38">
        <v>46112</v>
      </c>
      <c r="S66" t="s">
        <v>874</v>
      </c>
      <c r="T66">
        <v>5</v>
      </c>
      <c r="U66">
        <v>2</v>
      </c>
      <c r="V66">
        <v>5</v>
      </c>
      <c r="W66">
        <v>2</v>
      </c>
      <c r="X66" s="106">
        <f t="shared" si="5"/>
        <v>3.8</v>
      </c>
      <c r="Y66" s="34" t="s">
        <v>607</v>
      </c>
      <c r="Z66" s="34" t="s">
        <v>875</v>
      </c>
    </row>
    <row r="67" spans="1:26" hidden="1">
      <c r="A67" s="41">
        <f t="shared" si="3"/>
        <v>64</v>
      </c>
      <c r="B67" t="s">
        <v>876</v>
      </c>
      <c r="C67" s="35" t="str">
        <f t="shared" si="0"/>
        <v>Nhãn cảnh báo phát hiện nguy cơ lừa đảo khi chuyển tiền trên MoMo</v>
      </c>
      <c r="D67" t="s">
        <v>610</v>
      </c>
      <c r="E67" s="105" t="str">
        <f>VLOOKUP(X67,'Updating-Scoring'!$C$2:$D$7,2,TRUE)</f>
        <v>2 - Minor signal</v>
      </c>
      <c r="F67">
        <f t="shared" si="1"/>
        <v>14</v>
      </c>
      <c r="G67" s="34">
        <v>46111</v>
      </c>
      <c r="H67" t="s">
        <v>877</v>
      </c>
      <c r="I67" s="34">
        <v>46098</v>
      </c>
      <c r="J67" t="s">
        <v>170</v>
      </c>
      <c r="K67" s="34" t="s">
        <v>432</v>
      </c>
      <c r="L67" s="34" t="s">
        <v>411</v>
      </c>
      <c r="M67" s="34" t="s">
        <v>504</v>
      </c>
      <c r="N67" s="34" t="str">
        <f t="shared" si="2"/>
        <v>Feature | Security / Privacy</v>
      </c>
      <c r="O67" t="s">
        <v>877</v>
      </c>
      <c r="P67" t="s">
        <v>878</v>
      </c>
      <c r="Q67" s="38">
        <v>46213</v>
      </c>
      <c r="R67" s="38"/>
      <c r="S67" t="s">
        <v>879</v>
      </c>
      <c r="T67">
        <v>1</v>
      </c>
      <c r="U67">
        <v>2</v>
      </c>
      <c r="V67">
        <v>5</v>
      </c>
      <c r="W67">
        <v>2</v>
      </c>
      <c r="X67" s="106">
        <f t="shared" si="5"/>
        <v>2.1999999999999997</v>
      </c>
      <c r="Y67" s="34" t="s">
        <v>817</v>
      </c>
      <c r="Z67" s="34" t="s">
        <v>880</v>
      </c>
    </row>
    <row r="68" spans="1:26" hidden="1">
      <c r="A68" s="41">
        <f t="shared" si="3"/>
        <v>65</v>
      </c>
      <c r="B68" t="s">
        <v>881</v>
      </c>
      <c r="C68" s="35" t="str">
        <f t="shared" ref="C68:C131" si="6">HYPERLINK(B68,O68)</f>
        <v>MoMo × Lazada: Siêu sale sinh nhật - Hoàn tiền gấp 3 lần, bạn mới Lazada nhận thêm 5K tiền hoàn</v>
      </c>
      <c r="D68" t="s">
        <v>610</v>
      </c>
      <c r="E68" s="105" t="str">
        <f>VLOOKUP(X68,'Updating-Scoring'!$C$2:$D$7,2,TRUE)</f>
        <v>4 - Strategic shift</v>
      </c>
      <c r="F68">
        <f t="shared" ref="F68:F131" si="7">WEEKNUM(G68,2)</f>
        <v>14</v>
      </c>
      <c r="G68" s="110">
        <v>46111</v>
      </c>
      <c r="H68" t="s">
        <v>882</v>
      </c>
      <c r="I68" s="34">
        <v>46104</v>
      </c>
      <c r="J68" t="s">
        <v>170</v>
      </c>
      <c r="K68" s="34" t="s">
        <v>432</v>
      </c>
      <c r="L68" s="34" t="s">
        <v>457</v>
      </c>
      <c r="M68" s="34" t="s">
        <v>413</v>
      </c>
      <c r="N68" s="34" t="str">
        <f t="shared" ref="N68:N131" si="8">L68&amp;" | "&amp;M68</f>
        <v>Marketing | User activation</v>
      </c>
      <c r="O68" t="s">
        <v>883</v>
      </c>
      <c r="P68" t="s">
        <v>884</v>
      </c>
      <c r="Q68" s="38">
        <v>46105</v>
      </c>
      <c r="R68" s="38">
        <v>46112</v>
      </c>
      <c r="S68" t="s">
        <v>885</v>
      </c>
      <c r="T68">
        <v>5</v>
      </c>
      <c r="U68">
        <v>2</v>
      </c>
      <c r="V68">
        <v>5</v>
      </c>
      <c r="W68">
        <v>2</v>
      </c>
      <c r="X68" s="106">
        <f t="shared" si="5"/>
        <v>3.8</v>
      </c>
      <c r="Y68" s="34" t="s">
        <v>607</v>
      </c>
      <c r="Z68" s="34" t="s">
        <v>847</v>
      </c>
    </row>
    <row r="69" spans="1:26" hidden="1">
      <c r="A69" s="41">
        <f t="shared" ref="A69:A132" si="9">ROW()-3</f>
        <v>66</v>
      </c>
      <c r="B69" t="s">
        <v>886</v>
      </c>
      <c r="C69" s="35" t="str">
        <f t="shared" si="6"/>
        <v>MoMo Travel: Sale cuối tháng - duy nhất 25.3: Combo du lịch lễ giảm đến 2 triệu trên MoMo Travel!</v>
      </c>
      <c r="D69" t="s">
        <v>610</v>
      </c>
      <c r="E69" s="105" t="str">
        <f>VLOOKUP(X69,'Updating-Scoring'!$C$2:$D$7,2,TRUE)</f>
        <v>4 - Strategic shift</v>
      </c>
      <c r="F69">
        <f t="shared" si="7"/>
        <v>14</v>
      </c>
      <c r="G69" s="110">
        <v>46111</v>
      </c>
      <c r="H69" t="s">
        <v>887</v>
      </c>
      <c r="I69" s="34">
        <v>46106</v>
      </c>
      <c r="J69" t="s">
        <v>170</v>
      </c>
      <c r="K69" s="34" t="s">
        <v>432</v>
      </c>
      <c r="L69" s="34" t="s">
        <v>457</v>
      </c>
      <c r="M69" s="34" t="s">
        <v>416</v>
      </c>
      <c r="N69" s="34" t="str">
        <f t="shared" si="8"/>
        <v>Marketing | Transaction growth</v>
      </c>
      <c r="O69" t="s">
        <v>888</v>
      </c>
      <c r="P69" t="s">
        <v>889</v>
      </c>
      <c r="Q69" s="38">
        <v>46106</v>
      </c>
      <c r="R69" s="38">
        <v>46106</v>
      </c>
      <c r="S69" t="s">
        <v>890</v>
      </c>
      <c r="T69">
        <v>5</v>
      </c>
      <c r="U69">
        <v>2</v>
      </c>
      <c r="V69">
        <v>5</v>
      </c>
      <c r="W69">
        <v>2</v>
      </c>
      <c r="X69" s="106">
        <f t="shared" si="5"/>
        <v>3.8</v>
      </c>
      <c r="Y69" s="34" t="s">
        <v>607</v>
      </c>
      <c r="Z69" s="34" t="s">
        <v>811</v>
      </c>
    </row>
    <row r="70" spans="1:26" hidden="1">
      <c r="A70" s="41">
        <f t="shared" si="9"/>
        <v>67</v>
      </c>
      <c r="B70" t="s">
        <v>891</v>
      </c>
      <c r="C70" s="35" t="str">
        <f t="shared" si="6"/>
        <v>MoMo Travel Sale 4.4: Combo vé du lịch giảm 50% — Kích hoạt travel segment trước dịp 30/4</v>
      </c>
      <c r="D70" t="s">
        <v>610</v>
      </c>
      <c r="E70" s="105" t="str">
        <f>VLOOKUP(X70,'Updating-Scoring'!$C$2:$D$7,2,TRUE)</f>
        <v>4 - Strategic shift</v>
      </c>
      <c r="F70">
        <f t="shared" si="7"/>
        <v>14</v>
      </c>
      <c r="G70" s="110">
        <v>46111</v>
      </c>
      <c r="H70" t="s">
        <v>892</v>
      </c>
      <c r="I70" s="34">
        <v>46108</v>
      </c>
      <c r="J70" t="s">
        <v>170</v>
      </c>
      <c r="K70" s="34" t="s">
        <v>432</v>
      </c>
      <c r="L70" s="34" t="s">
        <v>457</v>
      </c>
      <c r="M70" s="34" t="s">
        <v>416</v>
      </c>
      <c r="N70" s="34" t="str">
        <f t="shared" si="8"/>
        <v>Marketing | Transaction growth</v>
      </c>
      <c r="O70" t="s">
        <v>893</v>
      </c>
      <c r="P70" t="s">
        <v>894</v>
      </c>
      <c r="Q70" s="38">
        <v>46116</v>
      </c>
      <c r="R70" s="38">
        <v>46116</v>
      </c>
      <c r="S70" t="s">
        <v>895</v>
      </c>
      <c r="T70">
        <v>5</v>
      </c>
      <c r="U70">
        <v>2</v>
      </c>
      <c r="V70">
        <v>5</v>
      </c>
      <c r="W70">
        <v>2</v>
      </c>
      <c r="X70" s="106">
        <f t="shared" si="5"/>
        <v>3.8</v>
      </c>
      <c r="Y70" s="34" t="s">
        <v>607</v>
      </c>
      <c r="Z70" s="34" t="s">
        <v>811</v>
      </c>
    </row>
    <row r="71" spans="1:26" hidden="1">
      <c r="A71" s="41">
        <f t="shared" si="9"/>
        <v>68</v>
      </c>
      <c r="B71" t="s">
        <v>896</v>
      </c>
      <c r="C71" s="35" t="str">
        <f t="shared" si="6"/>
        <v>MoMo × Coca-Cola × CVS: Activation tại điểm bán — Giao lưu FMCG &amp; Chuỗi tiện lợi</v>
      </c>
      <c r="D71" t="s">
        <v>610</v>
      </c>
      <c r="E71" s="105" t="str">
        <f>VLOOKUP(X71,'Updating-Scoring'!$C$2:$D$7,2,TRUE)</f>
        <v>4 - Strategic shift</v>
      </c>
      <c r="F71">
        <f t="shared" si="7"/>
        <v>14</v>
      </c>
      <c r="G71" s="110">
        <v>46111</v>
      </c>
      <c r="H71" t="s">
        <v>897</v>
      </c>
      <c r="I71" s="34">
        <v>46105</v>
      </c>
      <c r="J71" t="s">
        <v>170</v>
      </c>
      <c r="K71" s="34" t="s">
        <v>432</v>
      </c>
      <c r="L71" s="34" t="s">
        <v>459</v>
      </c>
      <c r="M71" s="34" t="s">
        <v>898</v>
      </c>
      <c r="N71" s="34" t="str">
        <f t="shared" si="8"/>
        <v>Partnership | Merchant partnership</v>
      </c>
      <c r="O71" t="s">
        <v>899</v>
      </c>
      <c r="P71" t="s">
        <v>900</v>
      </c>
      <c r="Q71" s="38">
        <v>46108</v>
      </c>
      <c r="R71" s="38">
        <v>46131</v>
      </c>
      <c r="S71" t="s">
        <v>901</v>
      </c>
      <c r="T71">
        <v>5</v>
      </c>
      <c r="U71">
        <v>2</v>
      </c>
      <c r="V71">
        <v>5</v>
      </c>
      <c r="W71">
        <v>2</v>
      </c>
      <c r="X71" s="106">
        <f t="shared" si="5"/>
        <v>3.8</v>
      </c>
      <c r="Y71" s="34" t="s">
        <v>607</v>
      </c>
      <c r="Z71" s="34" t="s">
        <v>902</v>
      </c>
    </row>
    <row r="72" spans="1:26" hidden="1">
      <c r="A72" s="41">
        <f t="shared" si="9"/>
        <v>69</v>
      </c>
      <c r="B72" t="s">
        <v>903</v>
      </c>
      <c r="C72" s="35" t="str">
        <f t="shared" si="6"/>
        <v>MoMo ra mắt gói Subscription: Cảnh Báo Phạt Nguội Tự Động 29k/năm</v>
      </c>
      <c r="D72" t="s">
        <v>610</v>
      </c>
      <c r="E72" s="105" t="str">
        <f>VLOOKUP(X72,'Updating-Scoring'!$C$2:$D$7,2,TRUE)</f>
        <v>5 - Industry disruption</v>
      </c>
      <c r="F72">
        <f t="shared" si="7"/>
        <v>14</v>
      </c>
      <c r="G72" s="110">
        <v>46111</v>
      </c>
      <c r="H72" t="s">
        <v>904</v>
      </c>
      <c r="I72" s="34">
        <v>46105</v>
      </c>
      <c r="J72" t="s">
        <v>170</v>
      </c>
      <c r="K72" s="34" t="s">
        <v>432</v>
      </c>
      <c r="L72" s="34" t="s">
        <v>410</v>
      </c>
      <c r="M72" s="34" t="s">
        <v>495</v>
      </c>
      <c r="N72" s="34" t="str">
        <f t="shared" si="8"/>
        <v>Product | Product launch</v>
      </c>
      <c r="O72" t="s">
        <v>905</v>
      </c>
      <c r="P72" t="s">
        <v>906</v>
      </c>
      <c r="Q72" s="38">
        <v>46105</v>
      </c>
      <c r="R72" s="38"/>
      <c r="S72" t="s">
        <v>907</v>
      </c>
      <c r="T72">
        <v>5</v>
      </c>
      <c r="U72">
        <v>4</v>
      </c>
      <c r="V72">
        <v>5</v>
      </c>
      <c r="W72">
        <v>3</v>
      </c>
      <c r="X72" s="106">
        <f t="shared" si="5"/>
        <v>4.45</v>
      </c>
      <c r="Y72" s="34" t="s">
        <v>817</v>
      </c>
      <c r="Z72" s="34" t="s">
        <v>835</v>
      </c>
    </row>
    <row r="73" spans="1:26" hidden="1">
      <c r="A73" s="41">
        <f t="shared" si="9"/>
        <v>70</v>
      </c>
      <c r="B73" t="s">
        <v>908</v>
      </c>
      <c r="C73" s="35" t="str">
        <f t="shared" si="6"/>
        <v>MoMo Ví Trả Sau: Tăng phí trả chậm &amp; Phí Thanh toán tối thiểu từ 1/4</v>
      </c>
      <c r="D73" t="s">
        <v>610</v>
      </c>
      <c r="E73" s="105" t="str">
        <f>VLOOKUP(X73,'Updating-Scoring'!$C$2:$D$7,2,TRUE)</f>
        <v>4 - Strategic shift</v>
      </c>
      <c r="F73">
        <f t="shared" si="7"/>
        <v>14</v>
      </c>
      <c r="G73" s="110">
        <v>46111</v>
      </c>
      <c r="H73" t="s">
        <v>909</v>
      </c>
      <c r="I73" s="34">
        <v>46101</v>
      </c>
      <c r="J73" t="s">
        <v>170</v>
      </c>
      <c r="K73" s="34" t="s">
        <v>432</v>
      </c>
      <c r="L73" s="34" t="s">
        <v>410</v>
      </c>
      <c r="M73" s="34" t="s">
        <v>497</v>
      </c>
      <c r="N73" s="34" t="str">
        <f t="shared" si="8"/>
        <v>Product | Pricing change</v>
      </c>
      <c r="O73" t="s">
        <v>910</v>
      </c>
      <c r="P73" t="s">
        <v>911</v>
      </c>
      <c r="Q73" s="38">
        <v>46113</v>
      </c>
      <c r="R73" s="38"/>
      <c r="S73" t="s">
        <v>912</v>
      </c>
      <c r="T73">
        <v>5</v>
      </c>
      <c r="U73">
        <v>2</v>
      </c>
      <c r="V73">
        <v>5</v>
      </c>
      <c r="W73">
        <v>2</v>
      </c>
      <c r="X73" s="106">
        <f t="shared" si="5"/>
        <v>3.8</v>
      </c>
      <c r="Y73" s="34" t="s">
        <v>913</v>
      </c>
      <c r="Z73" s="34" t="s">
        <v>914</v>
      </c>
    </row>
    <row r="74" spans="1:26" hidden="1">
      <c r="A74" s="41">
        <f t="shared" si="9"/>
        <v>71</v>
      </c>
      <c r="B74" t="s">
        <v>915</v>
      </c>
      <c r="C74" s="35" t="str">
        <f t="shared" si="6"/>
        <v>Zalopay ngừng cập nhật cho iOS 14 và các phiên bản thấp hơn</v>
      </c>
      <c r="D74" t="s">
        <v>916</v>
      </c>
      <c r="E74" s="105" t="str">
        <f>VLOOKUP(X74,'Updating-Scoring'!$C$2:$D$7,2,TRUE)</f>
        <v>3 - Market signal</v>
      </c>
      <c r="F74">
        <f t="shared" si="7"/>
        <v>14</v>
      </c>
      <c r="G74" s="34">
        <v>46111</v>
      </c>
      <c r="H74" t="s">
        <v>917</v>
      </c>
      <c r="I74" s="34">
        <v>46097</v>
      </c>
      <c r="J74" t="s">
        <v>170</v>
      </c>
      <c r="K74" s="34" t="s">
        <v>434</v>
      </c>
      <c r="L74" s="34" t="s">
        <v>411</v>
      </c>
      <c r="M74" s="34" t="s">
        <v>500</v>
      </c>
      <c r="N74" s="34" t="str">
        <f t="shared" si="8"/>
        <v>Feature | Feature upgrade</v>
      </c>
      <c r="O74" t="s">
        <v>917</v>
      </c>
      <c r="P74" s="34" t="s">
        <v>918</v>
      </c>
      <c r="Q74" s="38">
        <v>46100</v>
      </c>
      <c r="R74" s="38"/>
      <c r="S74" t="s">
        <v>919</v>
      </c>
      <c r="T74">
        <v>4</v>
      </c>
      <c r="U74">
        <v>4</v>
      </c>
      <c r="V74">
        <v>2</v>
      </c>
      <c r="W74">
        <v>2</v>
      </c>
      <c r="X74" s="106">
        <f t="shared" si="5"/>
        <v>3.3</v>
      </c>
      <c r="Y74" s="34"/>
      <c r="Z74" s="34"/>
    </row>
    <row r="75" spans="1:26" hidden="1">
      <c r="A75" s="41">
        <f t="shared" si="9"/>
        <v>72</v>
      </c>
      <c r="C75" s="35" t="str">
        <f t="shared" si="6"/>
        <v>Quét QR thanh toán quốc tế - Giảm ngay 50% tối đa 50k cho giao dịch thanh toán lần đầu tiên</v>
      </c>
      <c r="D75" t="s">
        <v>920</v>
      </c>
      <c r="E75" s="105" t="str">
        <f>VLOOKUP(X75,'Updating-Scoring'!$C$2:$D$7,2,TRUE)</f>
        <v>3 - Market signal</v>
      </c>
      <c r="F75">
        <f t="shared" si="7"/>
        <v>14</v>
      </c>
      <c r="G75" s="110">
        <v>46111</v>
      </c>
      <c r="H75" t="s">
        <v>921</v>
      </c>
      <c r="I75" s="34">
        <v>46082</v>
      </c>
      <c r="J75" t="s">
        <v>170</v>
      </c>
      <c r="K75" s="34" t="s">
        <v>434</v>
      </c>
      <c r="L75" s="34" t="s">
        <v>457</v>
      </c>
      <c r="M75" s="34" t="s">
        <v>415</v>
      </c>
      <c r="N75" s="34" t="str">
        <f t="shared" si="8"/>
        <v>Marketing | User acquisition</v>
      </c>
      <c r="O75" t="s">
        <v>922</v>
      </c>
      <c r="P75" s="34" t="s">
        <v>923</v>
      </c>
      <c r="Q75" s="38">
        <v>46100</v>
      </c>
      <c r="R75" s="38">
        <v>46112</v>
      </c>
      <c r="S75" t="s">
        <v>924</v>
      </c>
      <c r="T75">
        <v>3</v>
      </c>
      <c r="U75">
        <v>3</v>
      </c>
      <c r="V75">
        <v>5</v>
      </c>
      <c r="W75">
        <v>2</v>
      </c>
      <c r="X75" s="106">
        <f t="shared" si="5"/>
        <v>3.25</v>
      </c>
      <c r="Y75" s="34" t="s">
        <v>607</v>
      </c>
      <c r="Z75" s="34" t="s">
        <v>925</v>
      </c>
    </row>
    <row r="76" spans="1:26" hidden="1">
      <c r="A76" s="41">
        <f t="shared" si="9"/>
        <v>73</v>
      </c>
      <c r="B76" t="s">
        <v>926</v>
      </c>
      <c r="C76" s="35" t="str">
        <f t="shared" si="6"/>
        <v>Gamification: Đua top săn vé Concert 33+ Hưng Yên</v>
      </c>
      <c r="D76" t="s">
        <v>916</v>
      </c>
      <c r="E76" s="105" t="str">
        <f>VLOOKUP(X76,'Updating-Scoring'!$C$2:$D$7,2,TRUE)</f>
        <v>4 - Strategic shift</v>
      </c>
      <c r="F76">
        <f t="shared" si="7"/>
        <v>14</v>
      </c>
      <c r="G76" s="110">
        <v>46111</v>
      </c>
      <c r="H76" t="s">
        <v>927</v>
      </c>
      <c r="I76" s="34">
        <v>46109</v>
      </c>
      <c r="J76" t="s">
        <v>170</v>
      </c>
      <c r="K76" s="34" t="s">
        <v>434</v>
      </c>
      <c r="L76" s="34" t="s">
        <v>457</v>
      </c>
      <c r="M76" s="34" t="s">
        <v>416</v>
      </c>
      <c r="N76" s="34" t="str">
        <f t="shared" si="8"/>
        <v>Marketing | Transaction growth</v>
      </c>
      <c r="O76" t="s">
        <v>928</v>
      </c>
      <c r="P76" s="34" t="s">
        <v>929</v>
      </c>
      <c r="Q76" s="38">
        <v>46107</v>
      </c>
      <c r="R76" s="38">
        <v>46138</v>
      </c>
      <c r="S76" t="s">
        <v>930</v>
      </c>
      <c r="T76">
        <v>4</v>
      </c>
      <c r="U76">
        <v>3</v>
      </c>
      <c r="V76">
        <v>5</v>
      </c>
      <c r="W76">
        <v>2</v>
      </c>
      <c r="X76" s="106">
        <f t="shared" si="5"/>
        <v>3.65</v>
      </c>
      <c r="Y76" s="34" t="s">
        <v>607</v>
      </c>
      <c r="Z76" s="34" t="s">
        <v>931</v>
      </c>
    </row>
    <row r="77" spans="1:26" hidden="1">
      <c r="A77" s="41">
        <f t="shared" si="9"/>
        <v>74</v>
      </c>
      <c r="B77" s="35" t="s">
        <v>932</v>
      </c>
      <c r="C77" s="35" t="str">
        <f t="shared" si="6"/>
        <v>Zalopay tung hàng loạt voucher khởi động mùa lễ 30/4 "Lễ lớn, không chờ lương - Đi đã trả sau"</v>
      </c>
      <c r="D77" t="s">
        <v>916</v>
      </c>
      <c r="E77" s="105" t="str">
        <f>VLOOKUP(X77,'Updating-Scoring'!$C$2:$D$7,2,TRUE)</f>
        <v>4 - Strategic shift</v>
      </c>
      <c r="F77">
        <f t="shared" si="7"/>
        <v>14</v>
      </c>
      <c r="G77" s="110">
        <v>46111</v>
      </c>
      <c r="H77" t="s">
        <v>933</v>
      </c>
      <c r="I77" s="34">
        <v>46107</v>
      </c>
      <c r="J77" t="s">
        <v>170</v>
      </c>
      <c r="K77" s="34" t="s">
        <v>434</v>
      </c>
      <c r="L77" s="34" t="s">
        <v>457</v>
      </c>
      <c r="M77" s="34" t="s">
        <v>416</v>
      </c>
      <c r="N77" s="34" t="str">
        <f t="shared" si="8"/>
        <v>Marketing | Transaction growth</v>
      </c>
      <c r="O77" t="s">
        <v>934</v>
      </c>
      <c r="P77" s="34" t="s">
        <v>935</v>
      </c>
      <c r="Q77" s="38">
        <v>46101</v>
      </c>
      <c r="R77" s="38">
        <v>46146</v>
      </c>
      <c r="S77" t="s">
        <v>936</v>
      </c>
      <c r="T77">
        <v>4</v>
      </c>
      <c r="U77">
        <v>3</v>
      </c>
      <c r="V77">
        <v>5</v>
      </c>
      <c r="W77">
        <v>2</v>
      </c>
      <c r="X77" s="106">
        <f t="shared" si="5"/>
        <v>3.65</v>
      </c>
      <c r="Y77" s="34" t="s">
        <v>607</v>
      </c>
      <c r="Z77" s="34" t="s">
        <v>937</v>
      </c>
    </row>
    <row r="78" spans="1:26" hidden="1">
      <c r="A78" s="41">
        <f t="shared" si="9"/>
        <v>75</v>
      </c>
      <c r="B78" t="s">
        <v>932</v>
      </c>
      <c r="C78" s="35" t="str">
        <f t="shared" si="6"/>
        <v>Quét QR chuyển khoản - Nhận 30k xu</v>
      </c>
      <c r="D78" t="s">
        <v>916</v>
      </c>
      <c r="E78" s="105" t="str">
        <f>VLOOKUP(X78,'Updating-Scoring'!$C$2:$D$7,2,TRUE)</f>
        <v>3 - Market signal</v>
      </c>
      <c r="F78">
        <f t="shared" si="7"/>
        <v>14</v>
      </c>
      <c r="G78" s="34">
        <v>46111</v>
      </c>
      <c r="H78" t="s">
        <v>938</v>
      </c>
      <c r="I78" s="34">
        <v>46093</v>
      </c>
      <c r="J78" t="s">
        <v>170</v>
      </c>
      <c r="K78" s="34" t="s">
        <v>434</v>
      </c>
      <c r="L78" s="34" t="s">
        <v>457</v>
      </c>
      <c r="M78" s="34" t="s">
        <v>413</v>
      </c>
      <c r="N78" s="34" t="str">
        <f t="shared" si="8"/>
        <v>Marketing | User activation</v>
      </c>
      <c r="O78" t="s">
        <v>939</v>
      </c>
      <c r="P78" s="109" t="s">
        <v>940</v>
      </c>
      <c r="Q78" s="38">
        <v>46093</v>
      </c>
      <c r="R78" s="38">
        <v>46112</v>
      </c>
      <c r="S78" t="s">
        <v>941</v>
      </c>
      <c r="T78">
        <v>3</v>
      </c>
      <c r="U78">
        <v>3</v>
      </c>
      <c r="V78">
        <v>5</v>
      </c>
      <c r="W78">
        <v>2</v>
      </c>
      <c r="X78" s="106">
        <f t="shared" si="5"/>
        <v>3.25</v>
      </c>
      <c r="Y78" s="34" t="s">
        <v>607</v>
      </c>
      <c r="Z78" s="34" t="s">
        <v>864</v>
      </c>
    </row>
    <row r="79" spans="1:26" hidden="1">
      <c r="A79" s="41">
        <f t="shared" si="9"/>
        <v>76</v>
      </c>
      <c r="C79" s="35" t="str">
        <f t="shared" si="6"/>
        <v>Đồng giá từ  85k khi đặt vé xem phim Hẹn em ngày nhật thức</v>
      </c>
      <c r="D79" t="s">
        <v>920</v>
      </c>
      <c r="E79" s="105" t="str">
        <f>VLOOKUP(X79,'Updating-Scoring'!$C$2:$D$7,2,TRUE)</f>
        <v>3 - Market signal</v>
      </c>
      <c r="F79">
        <f t="shared" si="7"/>
        <v>14</v>
      </c>
      <c r="G79" s="110">
        <v>46111</v>
      </c>
      <c r="H79" t="s">
        <v>942</v>
      </c>
      <c r="I79" s="34">
        <v>46093</v>
      </c>
      <c r="J79" t="s">
        <v>170</v>
      </c>
      <c r="K79" s="34" t="s">
        <v>434</v>
      </c>
      <c r="L79" s="34" t="s">
        <v>457</v>
      </c>
      <c r="M79" s="34" t="s">
        <v>416</v>
      </c>
      <c r="N79" s="34" t="str">
        <f t="shared" si="8"/>
        <v>Marketing | Transaction growth</v>
      </c>
      <c r="O79" t="s">
        <v>943</v>
      </c>
      <c r="P79" s="109" t="s">
        <v>944</v>
      </c>
      <c r="Q79" s="38">
        <v>46106</v>
      </c>
      <c r="R79" s="38">
        <v>46123</v>
      </c>
      <c r="S79" t="s">
        <v>941</v>
      </c>
      <c r="T79">
        <v>3</v>
      </c>
      <c r="U79">
        <v>3</v>
      </c>
      <c r="V79">
        <v>5</v>
      </c>
      <c r="W79">
        <v>2</v>
      </c>
      <c r="X79" s="106">
        <f t="shared" si="5"/>
        <v>3.25</v>
      </c>
      <c r="Y79" s="34" t="s">
        <v>607</v>
      </c>
      <c r="Z79" s="34" t="s">
        <v>945</v>
      </c>
    </row>
    <row r="80" spans="1:26" hidden="1">
      <c r="A80" s="41">
        <f t="shared" si="9"/>
        <v>77</v>
      </c>
      <c r="C80" s="35" t="str">
        <f t="shared" si="6"/>
        <v>Giảm 50% khi nạp game qua Zalopay tại cổng thanh toán của NPH Game</v>
      </c>
      <c r="D80" t="s">
        <v>920</v>
      </c>
      <c r="E80" s="105" t="str">
        <f>VLOOKUP(X80,'Updating-Scoring'!$C$2:$D$7,2,TRUE)</f>
        <v>3 - Market signal</v>
      </c>
      <c r="F80">
        <f t="shared" si="7"/>
        <v>14</v>
      </c>
      <c r="G80" s="34">
        <v>46111</v>
      </c>
      <c r="H80" t="s">
        <v>946</v>
      </c>
      <c r="I80" s="34">
        <v>46093</v>
      </c>
      <c r="J80" t="s">
        <v>170</v>
      </c>
      <c r="K80" s="34" t="s">
        <v>434</v>
      </c>
      <c r="L80" s="34" t="s">
        <v>457</v>
      </c>
      <c r="M80" s="34" t="s">
        <v>416</v>
      </c>
      <c r="N80" s="34" t="str">
        <f t="shared" si="8"/>
        <v>Marketing | Transaction growth</v>
      </c>
      <c r="O80" t="s">
        <v>947</v>
      </c>
      <c r="P80" s="109" t="s">
        <v>948</v>
      </c>
      <c r="Q80" s="38">
        <v>46098</v>
      </c>
      <c r="R80" s="38">
        <v>46112</v>
      </c>
      <c r="S80" t="s">
        <v>941</v>
      </c>
      <c r="T80">
        <v>3</v>
      </c>
      <c r="U80">
        <v>3</v>
      </c>
      <c r="V80">
        <v>5</v>
      </c>
      <c r="W80">
        <v>2</v>
      </c>
      <c r="X80" s="106">
        <f t="shared" si="5"/>
        <v>3.25</v>
      </c>
      <c r="Y80" s="34" t="s">
        <v>607</v>
      </c>
      <c r="Z80" s="34" t="s">
        <v>949</v>
      </c>
    </row>
    <row r="81" spans="1:26" hidden="1">
      <c r="A81" s="41">
        <f t="shared" si="9"/>
        <v>78</v>
      </c>
      <c r="B81" t="s">
        <v>950</v>
      </c>
      <c r="C81" s="35" t="str">
        <f t="shared" si="6"/>
        <v>Gamification: Phất cờ nhận xu, rinh ngay quà khủng - Minigame mừng đại lễ 30.4</v>
      </c>
      <c r="D81" t="s">
        <v>920</v>
      </c>
      <c r="E81" s="105" t="str">
        <f>VLOOKUP(X81,'Updating-Scoring'!$C$2:$D$7,2,TRUE)</f>
        <v>4 - Strategic shift</v>
      </c>
      <c r="F81">
        <f t="shared" si="7"/>
        <v>14</v>
      </c>
      <c r="G81" s="110">
        <v>46111</v>
      </c>
      <c r="H81" t="s">
        <v>951</v>
      </c>
      <c r="I81" s="34">
        <v>46093</v>
      </c>
      <c r="J81" t="s">
        <v>170</v>
      </c>
      <c r="K81" s="34" t="s">
        <v>434</v>
      </c>
      <c r="L81" s="34" t="s">
        <v>457</v>
      </c>
      <c r="M81" s="34" t="s">
        <v>414</v>
      </c>
      <c r="N81" s="34" t="str">
        <f t="shared" si="8"/>
        <v>Marketing | User engagement</v>
      </c>
      <c r="O81" t="s">
        <v>952</v>
      </c>
      <c r="P81" s="109" t="s">
        <v>953</v>
      </c>
      <c r="Q81" s="38">
        <v>46105</v>
      </c>
      <c r="R81" s="38">
        <v>46150</v>
      </c>
      <c r="S81" t="s">
        <v>941</v>
      </c>
      <c r="T81">
        <v>4</v>
      </c>
      <c r="U81">
        <v>3</v>
      </c>
      <c r="V81">
        <v>5</v>
      </c>
      <c r="W81">
        <v>3</v>
      </c>
      <c r="X81" s="106">
        <f t="shared" ref="X81:X144" si="10">IF(G81&lt;DATE(2026,4,30),T81*$T$1+U81*$U$1+V81*$V$1+W81*$W$1,T81*$T$2+U81*$U$2)</f>
        <v>3.8</v>
      </c>
      <c r="Y81" s="34" t="s">
        <v>954</v>
      </c>
      <c r="Z81" s="34"/>
    </row>
    <row r="82" spans="1:26" hidden="1">
      <c r="A82" s="41">
        <f t="shared" si="9"/>
        <v>79</v>
      </c>
      <c r="B82" s="35" t="s">
        <v>955</v>
      </c>
      <c r="C82" s="35" t="str">
        <f t="shared" si="6"/>
        <v>TikTok Shop &amp; Shopee dẫn dắt thị trường TMĐT ngành làm đẹp tại Việt Nam</v>
      </c>
      <c r="D82" t="s">
        <v>364</v>
      </c>
      <c r="E82" s="105" t="str">
        <f>VLOOKUP(X82,'Updating-Scoring'!$C$2:$D$7,2,TRUE)</f>
        <v>5 - Industry disruption</v>
      </c>
      <c r="F82">
        <f t="shared" si="7"/>
        <v>15</v>
      </c>
      <c r="G82" s="110">
        <v>46119</v>
      </c>
      <c r="H82" t="s">
        <v>956</v>
      </c>
      <c r="I82" s="143">
        <v>46115</v>
      </c>
      <c r="J82" t="s">
        <v>284</v>
      </c>
      <c r="K82" s="34" t="s">
        <v>431</v>
      </c>
      <c r="L82" s="34" t="s">
        <v>447</v>
      </c>
      <c r="M82" s="34" t="s">
        <v>957</v>
      </c>
      <c r="N82" s="34" t="str">
        <f t="shared" si="8"/>
        <v>Economic | Market growth/ market size</v>
      </c>
      <c r="O82" s="34" t="s">
        <v>958</v>
      </c>
      <c r="P82" s="34" t="s">
        <v>959</v>
      </c>
      <c r="Q82" s="38"/>
      <c r="R82" s="38"/>
      <c r="S82" t="s">
        <v>960</v>
      </c>
      <c r="T82">
        <v>5</v>
      </c>
      <c r="U82">
        <v>4</v>
      </c>
      <c r="V82">
        <v>5</v>
      </c>
      <c r="W82">
        <v>2</v>
      </c>
      <c r="X82" s="106">
        <f t="shared" si="10"/>
        <v>4.3</v>
      </c>
      <c r="Z82" s="34"/>
    </row>
    <row r="83" spans="1:26" hidden="1">
      <c r="A83" s="41">
        <f t="shared" si="9"/>
        <v>80</v>
      </c>
      <c r="B83" s="35" t="s">
        <v>961</v>
      </c>
      <c r="C83" s="35" t="str">
        <f t="shared" si="6"/>
        <v>Lộ tài liệu nội bộ hé mở mô hình AI có thể bị khai thác để tấn công mạng</v>
      </c>
      <c r="D83" t="s">
        <v>119</v>
      </c>
      <c r="E83" s="105" t="str">
        <f>VLOOKUP(X83,'Updating-Scoring'!$C$2:$D$7,2,TRUE)</f>
        <v>2 - Minor signal</v>
      </c>
      <c r="F83">
        <f t="shared" si="7"/>
        <v>15</v>
      </c>
      <c r="G83" s="34">
        <v>46119</v>
      </c>
      <c r="H83" t="s">
        <v>962</v>
      </c>
      <c r="I83" s="143">
        <v>46109</v>
      </c>
      <c r="J83" t="s">
        <v>284</v>
      </c>
      <c r="K83" s="34" t="s">
        <v>428</v>
      </c>
      <c r="L83" s="34" t="s">
        <v>451</v>
      </c>
      <c r="M83" s="34" t="s">
        <v>483</v>
      </c>
      <c r="N83" s="34" t="str">
        <f t="shared" si="8"/>
        <v>Technology | AI/ Gen AI</v>
      </c>
      <c r="O83" s="34" t="s">
        <v>963</v>
      </c>
      <c r="P83" s="34" t="s">
        <v>964</v>
      </c>
      <c r="Q83" s="38"/>
      <c r="R83" s="38"/>
      <c r="S83" t="s">
        <v>965</v>
      </c>
      <c r="T83">
        <v>3</v>
      </c>
      <c r="U83">
        <v>3</v>
      </c>
      <c r="V83">
        <v>2</v>
      </c>
      <c r="W83">
        <v>4</v>
      </c>
      <c r="X83" s="106">
        <f t="shared" si="10"/>
        <v>2.95</v>
      </c>
      <c r="Z83" s="34"/>
    </row>
    <row r="84" spans="1:26" hidden="1">
      <c r="A84" s="41">
        <f t="shared" si="9"/>
        <v>81</v>
      </c>
      <c r="B84" s="35" t="s">
        <v>966</v>
      </c>
      <c r="C84" s="35" t="str">
        <f t="shared" si="6"/>
        <v>TMĐT Việt Nam tăng 34% nhưng doanh nghiệp vẫn không có lãi – Bài toán unit economics nan giải</v>
      </c>
      <c r="D84" t="s">
        <v>104</v>
      </c>
      <c r="E84" s="105" t="str">
        <f>VLOOKUP(X84,'Updating-Scoring'!$C$2:$D$7,2,TRUE)</f>
        <v>5 - Industry disruption</v>
      </c>
      <c r="F84">
        <f t="shared" si="7"/>
        <v>15</v>
      </c>
      <c r="G84" s="110">
        <v>46119</v>
      </c>
      <c r="H84" t="s">
        <v>967</v>
      </c>
      <c r="I84" s="143">
        <v>46113</v>
      </c>
      <c r="J84" t="s">
        <v>284</v>
      </c>
      <c r="K84" s="34" t="s">
        <v>431</v>
      </c>
      <c r="L84" s="34" t="s">
        <v>447</v>
      </c>
      <c r="M84" s="34" t="s">
        <v>957</v>
      </c>
      <c r="N84" s="34" t="str">
        <f t="shared" si="8"/>
        <v>Economic | Market growth/ market size</v>
      </c>
      <c r="O84" s="34" t="s">
        <v>968</v>
      </c>
      <c r="P84" s="34" t="s">
        <v>969</v>
      </c>
      <c r="Q84" s="38"/>
      <c r="R84" s="38"/>
      <c r="S84" t="s">
        <v>970</v>
      </c>
      <c r="T84">
        <v>5</v>
      </c>
      <c r="U84">
        <v>5</v>
      </c>
      <c r="V84">
        <v>4</v>
      </c>
      <c r="W84">
        <v>2</v>
      </c>
      <c r="X84" s="106">
        <f t="shared" si="10"/>
        <v>4.3499999999999996</v>
      </c>
      <c r="Z84" s="34"/>
    </row>
    <row r="85" spans="1:26" hidden="1">
      <c r="A85" s="41">
        <f t="shared" si="9"/>
        <v>82</v>
      </c>
      <c r="B85" s="35" t="s">
        <v>971</v>
      </c>
      <c r="C85" s="35" t="str">
        <f t="shared" si="6"/>
        <v>AI tạo 7 triệu bài nhạc/ngày – Ngành âm nhạc đứng trước làn sóng disruption chưa từng có</v>
      </c>
      <c r="D85" t="s">
        <v>85</v>
      </c>
      <c r="E85" s="105" t="str">
        <f>VLOOKUP(X85,'Updating-Scoring'!$C$2:$D$7,2,TRUE)</f>
        <v>2 - Minor signal</v>
      </c>
      <c r="F85">
        <f t="shared" si="7"/>
        <v>15</v>
      </c>
      <c r="G85" s="34">
        <v>46119</v>
      </c>
      <c r="H85" t="s">
        <v>972</v>
      </c>
      <c r="I85" s="143">
        <v>46111</v>
      </c>
      <c r="J85" t="s">
        <v>284</v>
      </c>
      <c r="K85" s="34" t="s">
        <v>428</v>
      </c>
      <c r="L85" s="34" t="s">
        <v>451</v>
      </c>
      <c r="M85" s="34" t="s">
        <v>483</v>
      </c>
      <c r="N85" s="34" t="str">
        <f t="shared" si="8"/>
        <v>Technology | AI/ Gen AI</v>
      </c>
      <c r="O85" s="34" t="s">
        <v>973</v>
      </c>
      <c r="P85" s="34" t="s">
        <v>974</v>
      </c>
      <c r="Q85" s="38"/>
      <c r="R85" s="38"/>
      <c r="S85" t="s">
        <v>975</v>
      </c>
      <c r="T85">
        <v>2</v>
      </c>
      <c r="U85">
        <v>3</v>
      </c>
      <c r="V85">
        <v>2</v>
      </c>
      <c r="W85">
        <v>4</v>
      </c>
      <c r="X85" s="106">
        <f t="shared" si="10"/>
        <v>2.5500000000000003</v>
      </c>
      <c r="Z85" s="34"/>
    </row>
    <row r="86" spans="1:26" hidden="1">
      <c r="A86" s="41">
        <f t="shared" si="9"/>
        <v>83</v>
      </c>
      <c r="B86" s="35" t="s">
        <v>976</v>
      </c>
      <c r="C86" s="35" t="str">
        <f t="shared" si="6"/>
        <v>MobiFone ra mắt nền tảng hạ tầng thanh toán (MDP)</v>
      </c>
      <c r="D86" t="s">
        <v>364</v>
      </c>
      <c r="E86" s="105" t="str">
        <f>VLOOKUP(X86,'Updating-Scoring'!$C$2:$D$7,2,TRUE)</f>
        <v>5 - Industry disruption</v>
      </c>
      <c r="F86">
        <f t="shared" si="7"/>
        <v>15</v>
      </c>
      <c r="G86" s="110">
        <v>46119</v>
      </c>
      <c r="H86" t="s">
        <v>977</v>
      </c>
      <c r="I86" s="143">
        <v>46114</v>
      </c>
      <c r="J86" t="s">
        <v>284</v>
      </c>
      <c r="K86" s="34" t="s">
        <v>431</v>
      </c>
      <c r="L86" s="34" t="s">
        <v>447</v>
      </c>
      <c r="M86" s="34" t="s">
        <v>957</v>
      </c>
      <c r="N86" s="34" t="str">
        <f t="shared" si="8"/>
        <v>Economic | Market growth/ market size</v>
      </c>
      <c r="O86" s="34" t="s">
        <v>978</v>
      </c>
      <c r="P86" s="34" t="s">
        <v>979</v>
      </c>
      <c r="Q86" s="38"/>
      <c r="R86" s="38"/>
      <c r="S86" t="s">
        <v>980</v>
      </c>
      <c r="T86">
        <v>5</v>
      </c>
      <c r="U86">
        <v>4</v>
      </c>
      <c r="V86">
        <v>4</v>
      </c>
      <c r="W86">
        <v>3</v>
      </c>
      <c r="X86" s="106">
        <f t="shared" si="10"/>
        <v>4.25</v>
      </c>
      <c r="Z86" s="34"/>
    </row>
    <row r="87" spans="1:26" hidden="1">
      <c r="A87" s="41">
        <f t="shared" si="9"/>
        <v>84</v>
      </c>
      <c r="B87" s="35" t="s">
        <v>981</v>
      </c>
      <c r="C87" s="35" t="str">
        <f t="shared" si="6"/>
        <v>Tài khoản bán hàng Facebook bị vô hiệu hóa hàng loạt – Rủi ro nền tảng với seller TMĐT</v>
      </c>
      <c r="D87" t="s">
        <v>85</v>
      </c>
      <c r="E87" s="105" t="str">
        <f>VLOOKUP(X87,'Updating-Scoring'!$C$2:$D$7,2,TRUE)</f>
        <v>2 - Minor signal</v>
      </c>
      <c r="F87">
        <f t="shared" si="7"/>
        <v>15</v>
      </c>
      <c r="G87" s="34">
        <v>46119</v>
      </c>
      <c r="H87" t="s">
        <v>982</v>
      </c>
      <c r="I87" s="143">
        <v>46114</v>
      </c>
      <c r="J87" t="s">
        <v>284</v>
      </c>
      <c r="K87" s="34" t="s">
        <v>428</v>
      </c>
      <c r="L87" s="34" t="s">
        <v>449</v>
      </c>
      <c r="M87" s="34" t="s">
        <v>479</v>
      </c>
      <c r="N87" s="34" t="str">
        <f t="shared" si="8"/>
        <v>Social | Digital adoption</v>
      </c>
      <c r="O87" s="34" t="s">
        <v>983</v>
      </c>
      <c r="P87" s="34" t="s">
        <v>984</v>
      </c>
      <c r="Q87" s="38"/>
      <c r="R87" s="38"/>
      <c r="S87" t="s">
        <v>985</v>
      </c>
      <c r="T87">
        <v>3</v>
      </c>
      <c r="U87">
        <v>3</v>
      </c>
      <c r="V87">
        <v>3</v>
      </c>
      <c r="W87">
        <v>3</v>
      </c>
      <c r="X87" s="106">
        <f t="shared" si="10"/>
        <v>3</v>
      </c>
      <c r="Z87" s="34"/>
    </row>
    <row r="88" spans="1:26" hidden="1">
      <c r="A88" s="41">
        <f t="shared" si="9"/>
        <v>85</v>
      </c>
      <c r="B88" s="35" t="s">
        <v>986</v>
      </c>
      <c r="C88" s="35" t="str">
        <f t="shared" si="6"/>
        <v>Người dùng MacBook tạo tiếng kêu giả để được hoàn tiền bảo hành – Chiêu viral lan rộng</v>
      </c>
      <c r="D88" t="s">
        <v>85</v>
      </c>
      <c r="E88" s="105" t="str">
        <f>VLOOKUP(X88,'Updating-Scoring'!$C$2:$D$7,2,TRUE)</f>
        <v>1 - Noise</v>
      </c>
      <c r="F88">
        <f t="shared" si="7"/>
        <v>15</v>
      </c>
      <c r="G88" s="34">
        <v>46119</v>
      </c>
      <c r="H88" t="s">
        <v>987</v>
      </c>
      <c r="I88" s="143">
        <v>46110</v>
      </c>
      <c r="J88" t="s">
        <v>284</v>
      </c>
      <c r="K88" s="34" t="s">
        <v>428</v>
      </c>
      <c r="L88" s="34" t="s">
        <v>449</v>
      </c>
      <c r="M88" s="34" t="s">
        <v>723</v>
      </c>
      <c r="N88" s="34" t="str">
        <f t="shared" si="8"/>
        <v>Social | Digital lifestyle</v>
      </c>
      <c r="O88" s="34" t="s">
        <v>988</v>
      </c>
      <c r="P88" s="34" t="s">
        <v>989</v>
      </c>
      <c r="Q88" s="38"/>
      <c r="R88" s="38"/>
      <c r="S88" t="s">
        <v>990</v>
      </c>
      <c r="T88">
        <v>1</v>
      </c>
      <c r="U88">
        <v>1</v>
      </c>
      <c r="V88">
        <v>1</v>
      </c>
      <c r="W88">
        <v>1</v>
      </c>
      <c r="X88" s="106">
        <f t="shared" si="10"/>
        <v>1</v>
      </c>
      <c r="Z88" s="34"/>
    </row>
    <row r="89" spans="1:26" hidden="1">
      <c r="A89" s="41">
        <f t="shared" si="9"/>
        <v>86</v>
      </c>
      <c r="B89" s="35" t="s">
        <v>991</v>
      </c>
      <c r="C89" s="35" t="str">
        <f t="shared" si="6"/>
        <v>VNTT ra mắt Smart Robotics – Xây dựng hệ sinh thái tự động hóa sản xuất và logistics tại Việt Nam</v>
      </c>
      <c r="D89" t="s">
        <v>85</v>
      </c>
      <c r="E89" s="105" t="str">
        <f>VLOOKUP(X89,'Updating-Scoring'!$C$2:$D$7,2,TRUE)</f>
        <v>2 - Minor signal</v>
      </c>
      <c r="F89">
        <f t="shared" si="7"/>
        <v>15</v>
      </c>
      <c r="G89" s="34">
        <v>46119</v>
      </c>
      <c r="H89" t="s">
        <v>992</v>
      </c>
      <c r="I89" s="143">
        <v>46111</v>
      </c>
      <c r="J89" t="s">
        <v>284</v>
      </c>
      <c r="K89" s="34" t="s">
        <v>431</v>
      </c>
      <c r="L89" s="34" t="s">
        <v>451</v>
      </c>
      <c r="M89" s="34" t="s">
        <v>486</v>
      </c>
      <c r="N89" s="34" t="str">
        <f t="shared" si="8"/>
        <v>Technology | Cloud/ Infrastructure</v>
      </c>
      <c r="O89" s="34" t="s">
        <v>993</v>
      </c>
      <c r="P89" s="34" t="s">
        <v>994</v>
      </c>
      <c r="Q89" s="38"/>
      <c r="R89" s="38"/>
      <c r="S89" t="s">
        <v>995</v>
      </c>
      <c r="T89">
        <v>2</v>
      </c>
      <c r="U89">
        <v>2</v>
      </c>
      <c r="V89">
        <v>2</v>
      </c>
      <c r="W89">
        <v>3</v>
      </c>
      <c r="X89" s="106">
        <f t="shared" si="10"/>
        <v>2.1500000000000004</v>
      </c>
      <c r="Z89" s="34"/>
    </row>
    <row r="90" spans="1:26" hidden="1">
      <c r="A90" s="41">
        <f t="shared" si="9"/>
        <v>87</v>
      </c>
      <c r="B90" s="35" t="s">
        <v>996</v>
      </c>
      <c r="C90" s="35" t="str">
        <f t="shared" si="6"/>
        <v>AI buộc agency sáng tạo tái cấu trúc: Từ mô hình bán giờ sang kiềng 3 chân chiến lược</v>
      </c>
      <c r="D90" t="s">
        <v>85</v>
      </c>
      <c r="E90" s="105" t="str">
        <f>VLOOKUP(X90,'Updating-Scoring'!$C$2:$D$7,2,TRUE)</f>
        <v>2 - Minor signal</v>
      </c>
      <c r="F90">
        <f t="shared" si="7"/>
        <v>15</v>
      </c>
      <c r="G90" s="34">
        <v>46119</v>
      </c>
      <c r="H90" t="s">
        <v>997</v>
      </c>
      <c r="I90" s="143">
        <v>46112</v>
      </c>
      <c r="J90" t="s">
        <v>284</v>
      </c>
      <c r="K90" s="34" t="s">
        <v>428</v>
      </c>
      <c r="L90" s="34" t="s">
        <v>449</v>
      </c>
      <c r="M90" s="34" t="s">
        <v>723</v>
      </c>
      <c r="N90" s="34" t="str">
        <f t="shared" si="8"/>
        <v>Social | Digital lifestyle</v>
      </c>
      <c r="O90" s="34" t="s">
        <v>998</v>
      </c>
      <c r="P90" s="34" t="s">
        <v>999</v>
      </c>
      <c r="Q90" s="38"/>
      <c r="R90" s="38"/>
      <c r="S90" t="s">
        <v>1000</v>
      </c>
      <c r="T90">
        <v>2</v>
      </c>
      <c r="U90">
        <v>3</v>
      </c>
      <c r="V90">
        <v>2</v>
      </c>
      <c r="W90">
        <v>4</v>
      </c>
      <c r="X90" s="106">
        <f t="shared" si="10"/>
        <v>2.5500000000000003</v>
      </c>
      <c r="Z90" s="34"/>
    </row>
    <row r="91" spans="1:26" hidden="1">
      <c r="A91" s="41">
        <f t="shared" si="9"/>
        <v>88</v>
      </c>
      <c r="B91" s="35" t="s">
        <v>1001</v>
      </c>
      <c r="C91" s="35" t="str">
        <f t="shared" si="6"/>
        <v>Facebook đóng cửa Messenger trên trình duyệt web từ 16/4 – Meta siết chặt hệ sinh thái mobile</v>
      </c>
      <c r="D91" t="s">
        <v>85</v>
      </c>
      <c r="E91" s="105" t="str">
        <f>VLOOKUP(X91,'Updating-Scoring'!$C$2:$D$7,2,TRUE)</f>
        <v>2 - Minor signal</v>
      </c>
      <c r="F91">
        <f t="shared" si="7"/>
        <v>15</v>
      </c>
      <c r="G91" s="34">
        <v>46119</v>
      </c>
      <c r="H91" t="s">
        <v>1002</v>
      </c>
      <c r="I91" s="143">
        <v>46115</v>
      </c>
      <c r="J91" t="s">
        <v>284</v>
      </c>
      <c r="K91" s="34" t="s">
        <v>428</v>
      </c>
      <c r="L91" s="34" t="s">
        <v>449</v>
      </c>
      <c r="M91" s="34" t="s">
        <v>479</v>
      </c>
      <c r="N91" s="34" t="str">
        <f t="shared" si="8"/>
        <v>Social | Digital adoption</v>
      </c>
      <c r="O91" s="34" t="s">
        <v>1003</v>
      </c>
      <c r="P91" s="34" t="s">
        <v>1004</v>
      </c>
      <c r="Q91" s="38"/>
      <c r="R91" s="38"/>
      <c r="S91" t="s">
        <v>1005</v>
      </c>
      <c r="T91">
        <v>3</v>
      </c>
      <c r="U91">
        <v>2</v>
      </c>
      <c r="V91">
        <v>4</v>
      </c>
      <c r="W91">
        <v>1</v>
      </c>
      <c r="X91" s="106">
        <f t="shared" si="10"/>
        <v>2.65</v>
      </c>
      <c r="Z91" s="34"/>
    </row>
    <row r="92" spans="1:26" hidden="1">
      <c r="A92" s="41">
        <f t="shared" si="9"/>
        <v>89</v>
      </c>
      <c r="B92" s="35" t="s">
        <v>1006</v>
      </c>
      <c r="C92" s="35" t="str">
        <f t="shared" si="6"/>
        <v>Grab và “Greater Southeast Asia play”</v>
      </c>
      <c r="D92" t="s">
        <v>364</v>
      </c>
      <c r="E92" s="105" t="str">
        <f>VLOOKUP(X92,'Updating-Scoring'!$C$2:$D$7,2,TRUE)</f>
        <v>5 - Industry disruption</v>
      </c>
      <c r="F92">
        <f t="shared" si="7"/>
        <v>15</v>
      </c>
      <c r="G92" s="110">
        <v>46119</v>
      </c>
      <c r="H92" t="s">
        <v>1007</v>
      </c>
      <c r="I92" s="143">
        <v>46114</v>
      </c>
      <c r="J92" t="s">
        <v>284</v>
      </c>
      <c r="K92" s="34" t="s">
        <v>430</v>
      </c>
      <c r="L92" s="34" t="s">
        <v>447</v>
      </c>
      <c r="M92" s="34" t="s">
        <v>957</v>
      </c>
      <c r="N92" s="34" t="str">
        <f t="shared" si="8"/>
        <v>Economic | Market growth/ market size</v>
      </c>
      <c r="O92" s="34" t="s">
        <v>1008</v>
      </c>
      <c r="P92" s="34" t="s">
        <v>1009</v>
      </c>
      <c r="Q92" s="38"/>
      <c r="R92" s="38"/>
      <c r="S92" t="s">
        <v>1010</v>
      </c>
      <c r="T92">
        <v>5</v>
      </c>
      <c r="U92">
        <v>4</v>
      </c>
      <c r="V92">
        <v>5</v>
      </c>
      <c r="W92">
        <v>3</v>
      </c>
      <c r="X92" s="106">
        <f t="shared" si="10"/>
        <v>4.45</v>
      </c>
      <c r="Z92" s="34"/>
    </row>
    <row r="93" spans="1:26" hidden="1">
      <c r="A93" s="41">
        <f t="shared" si="9"/>
        <v>90</v>
      </c>
      <c r="B93" s="35" t="s">
        <v>1011</v>
      </c>
      <c r="C93" s="35" t="str">
        <f t="shared" si="6"/>
        <v>Ứng dụng kết bạn AI nở rộ tại Mỹ – Xu hướng social-tech đối phó với dịch cô đơn</v>
      </c>
      <c r="D93" t="s">
        <v>1012</v>
      </c>
      <c r="E93" s="105" t="str">
        <f>VLOOKUP(X93,'Updating-Scoring'!$C$2:$D$7,2,TRUE)</f>
        <v>1 - Noise</v>
      </c>
      <c r="F93">
        <f t="shared" si="7"/>
        <v>15</v>
      </c>
      <c r="G93" s="34">
        <v>46119</v>
      </c>
      <c r="H93" t="s">
        <v>1013</v>
      </c>
      <c r="I93" s="143">
        <v>46117</v>
      </c>
      <c r="J93" t="s">
        <v>284</v>
      </c>
      <c r="K93" s="34" t="s">
        <v>428</v>
      </c>
      <c r="L93" s="34" t="s">
        <v>449</v>
      </c>
      <c r="M93" s="34" t="s">
        <v>723</v>
      </c>
      <c r="N93" s="34" t="str">
        <f t="shared" si="8"/>
        <v>Social | Digital lifestyle</v>
      </c>
      <c r="O93" s="34" t="s">
        <v>1014</v>
      </c>
      <c r="P93" s="34" t="s">
        <v>1015</v>
      </c>
      <c r="Q93" s="38"/>
      <c r="R93" s="38"/>
      <c r="S93" t="s">
        <v>1016</v>
      </c>
      <c r="T93">
        <v>2</v>
      </c>
      <c r="U93">
        <v>1</v>
      </c>
      <c r="V93">
        <v>2</v>
      </c>
      <c r="W93">
        <v>1</v>
      </c>
      <c r="X93" s="106">
        <f t="shared" si="10"/>
        <v>1.6</v>
      </c>
      <c r="Z93" s="34"/>
    </row>
    <row r="94" spans="1:26" hidden="1">
      <c r="A94" s="41">
        <f t="shared" si="9"/>
        <v>91</v>
      </c>
      <c r="B94" s="35" t="s">
        <v>1017</v>
      </c>
      <c r="C94" s="35" t="str">
        <f t="shared" si="6"/>
        <v>Alibaba triển khai AI agents cho người bán Taobao &amp; Tmall</v>
      </c>
      <c r="D94" t="s">
        <v>364</v>
      </c>
      <c r="E94" s="105" t="str">
        <f>VLOOKUP(X94,'Updating-Scoring'!$C$2:$D$7,2,TRUE)</f>
        <v>5 - Industry disruption</v>
      </c>
      <c r="F94">
        <f t="shared" si="7"/>
        <v>15</v>
      </c>
      <c r="G94" s="110">
        <v>46119</v>
      </c>
      <c r="H94" t="s">
        <v>1018</v>
      </c>
      <c r="I94" s="143">
        <v>46110</v>
      </c>
      <c r="J94" t="s">
        <v>284</v>
      </c>
      <c r="K94" s="34" t="s">
        <v>729</v>
      </c>
      <c r="L94" s="34" t="s">
        <v>451</v>
      </c>
      <c r="M94" s="34" t="s">
        <v>483</v>
      </c>
      <c r="N94" s="34" t="str">
        <f t="shared" si="8"/>
        <v>Technology | AI/ Gen AI</v>
      </c>
      <c r="O94" s="34" t="s">
        <v>1019</v>
      </c>
      <c r="P94" s="34" t="s">
        <v>1020</v>
      </c>
      <c r="Q94" s="38"/>
      <c r="R94" s="38"/>
      <c r="S94" t="s">
        <v>1021</v>
      </c>
      <c r="T94">
        <v>5</v>
      </c>
      <c r="U94">
        <v>4</v>
      </c>
      <c r="V94">
        <v>4</v>
      </c>
      <c r="W94">
        <v>5</v>
      </c>
      <c r="X94" s="106">
        <f t="shared" si="10"/>
        <v>4.55</v>
      </c>
      <c r="Z94" s="34"/>
    </row>
    <row r="95" spans="1:26" hidden="1">
      <c r="A95" s="41">
        <f t="shared" si="9"/>
        <v>92</v>
      </c>
      <c r="B95" s="35" t="s">
        <v>1022</v>
      </c>
      <c r="C95" s="35" t="str">
        <f t="shared" si="6"/>
        <v>Hà Nội ra mắt HanoiWork – Quản trị cán bộ bằng OKR/KPI số, bước tiến chuyển đổi số hành chính</v>
      </c>
      <c r="D95" t="s">
        <v>104</v>
      </c>
      <c r="E95" s="105" t="str">
        <f>VLOOKUP(X95,'Updating-Scoring'!$C$2:$D$7,2,TRUE)</f>
        <v>1 - Noise</v>
      </c>
      <c r="F95">
        <f t="shared" si="7"/>
        <v>15</v>
      </c>
      <c r="G95" s="34">
        <v>46119</v>
      </c>
      <c r="H95" t="s">
        <v>1023</v>
      </c>
      <c r="I95" s="143">
        <v>46113</v>
      </c>
      <c r="J95" t="s">
        <v>284</v>
      </c>
      <c r="K95" s="34" t="s">
        <v>431</v>
      </c>
      <c r="L95" s="34" t="s">
        <v>445</v>
      </c>
      <c r="M95" s="34" t="s">
        <v>471</v>
      </c>
      <c r="N95" s="34" t="str">
        <f t="shared" si="8"/>
        <v>Political | National digital strategy</v>
      </c>
      <c r="O95" s="34" t="s">
        <v>1024</v>
      </c>
      <c r="P95" s="34" t="s">
        <v>1025</v>
      </c>
      <c r="Q95" s="38"/>
      <c r="R95" s="38"/>
      <c r="S95" t="s">
        <v>1026</v>
      </c>
      <c r="T95">
        <v>2</v>
      </c>
      <c r="U95">
        <v>2</v>
      </c>
      <c r="V95">
        <v>1</v>
      </c>
      <c r="W95">
        <v>2</v>
      </c>
      <c r="X95" s="106">
        <f t="shared" si="10"/>
        <v>1.8</v>
      </c>
      <c r="Z95" s="34"/>
    </row>
    <row r="96" spans="1:26" hidden="1">
      <c r="A96" s="41">
        <f t="shared" si="9"/>
        <v>93</v>
      </c>
      <c r="B96" s="35" t="s">
        <v>1027</v>
      </c>
      <c r="C96" s="35" t="str">
        <f t="shared" si="6"/>
        <v>Trung Quốc xây mạng lưới AI giá rẻ – SMB được giải cứu khỏi áp lực chi phí tính toán</v>
      </c>
      <c r="D96" t="s">
        <v>104</v>
      </c>
      <c r="E96" s="105" t="str">
        <f>VLOOKUP(X96,'Updating-Scoring'!$C$2:$D$7,2,TRUE)</f>
        <v>2 - Minor signal</v>
      </c>
      <c r="F96">
        <f t="shared" si="7"/>
        <v>15</v>
      </c>
      <c r="G96" s="34">
        <v>46119</v>
      </c>
      <c r="H96" t="s">
        <v>1028</v>
      </c>
      <c r="I96" s="143">
        <v>46115</v>
      </c>
      <c r="J96" t="s">
        <v>284</v>
      </c>
      <c r="K96" s="34" t="s">
        <v>729</v>
      </c>
      <c r="L96" s="34" t="s">
        <v>451</v>
      </c>
      <c r="M96" s="34" t="s">
        <v>483</v>
      </c>
      <c r="N96" s="34" t="str">
        <f t="shared" si="8"/>
        <v>Technology | AI/ Gen AI</v>
      </c>
      <c r="O96" s="34" t="s">
        <v>1029</v>
      </c>
      <c r="P96" s="34" t="s">
        <v>1030</v>
      </c>
      <c r="Q96" s="38"/>
      <c r="R96" s="38"/>
      <c r="S96" t="s">
        <v>1031</v>
      </c>
      <c r="T96">
        <v>2</v>
      </c>
      <c r="U96">
        <v>3</v>
      </c>
      <c r="V96">
        <v>3</v>
      </c>
      <c r="W96">
        <v>4</v>
      </c>
      <c r="X96" s="106">
        <f t="shared" si="10"/>
        <v>2.7500000000000004</v>
      </c>
      <c r="Z96" s="34"/>
    </row>
    <row r="97" spans="1:26" hidden="1">
      <c r="A97" s="41">
        <f t="shared" si="9"/>
        <v>94</v>
      </c>
      <c r="B97" s="35" t="s">
        <v>1032</v>
      </c>
      <c r="C97" s="35" t="str">
        <f t="shared" si="6"/>
        <v>Oura và Whoop bắt tay thẻ Amex/Chase – Wearable tech gặp fintech trong mô hình card benefits</v>
      </c>
      <c r="D97" t="s">
        <v>138</v>
      </c>
      <c r="E97" s="105" t="str">
        <f>VLOOKUP(X97,'Updating-Scoring'!$C$2:$D$7,2,TRUE)</f>
        <v>2 - Minor signal</v>
      </c>
      <c r="F97">
        <f t="shared" si="7"/>
        <v>15</v>
      </c>
      <c r="G97" s="34">
        <v>46119</v>
      </c>
      <c r="H97" t="s">
        <v>1033</v>
      </c>
      <c r="I97" s="143">
        <v>46113</v>
      </c>
      <c r="J97" t="s">
        <v>284</v>
      </c>
      <c r="K97" s="34" t="s">
        <v>428</v>
      </c>
      <c r="L97" s="34" t="s">
        <v>447</v>
      </c>
      <c r="M97" s="34" t="s">
        <v>957</v>
      </c>
      <c r="N97" s="34" t="str">
        <f t="shared" si="8"/>
        <v>Economic | Market growth/ market size</v>
      </c>
      <c r="O97" s="34" t="s">
        <v>1034</v>
      </c>
      <c r="P97" s="34" t="s">
        <v>1035</v>
      </c>
      <c r="Q97" s="38"/>
      <c r="R97" s="38"/>
      <c r="S97" t="s">
        <v>1036</v>
      </c>
      <c r="T97">
        <v>3</v>
      </c>
      <c r="U97">
        <v>2</v>
      </c>
      <c r="V97">
        <v>2</v>
      </c>
      <c r="W97">
        <v>1</v>
      </c>
      <c r="X97" s="106">
        <f t="shared" si="10"/>
        <v>2.25</v>
      </c>
      <c r="Z97" s="34"/>
    </row>
    <row r="98" spans="1:26" hidden="1">
      <c r="A98" s="41">
        <f t="shared" si="9"/>
        <v>95</v>
      </c>
      <c r="B98" s="35" t="s">
        <v>1037</v>
      </c>
      <c r="C98" s="35" t="str">
        <f t="shared" si="6"/>
        <v>Shinsegae hợp tác OpenAI cho AI Commerce</v>
      </c>
      <c r="D98" t="s">
        <v>364</v>
      </c>
      <c r="E98" s="105" t="str">
        <f>VLOOKUP(X98,'Updating-Scoring'!$C$2:$D$7,2,TRUE)</f>
        <v>4 - Strategic shift</v>
      </c>
      <c r="F98">
        <f t="shared" si="7"/>
        <v>15</v>
      </c>
      <c r="G98" s="110">
        <v>46119</v>
      </c>
      <c r="H98" t="s">
        <v>1038</v>
      </c>
      <c r="I98" s="143">
        <v>46114</v>
      </c>
      <c r="J98" t="s">
        <v>284</v>
      </c>
      <c r="K98" s="34" t="s">
        <v>428</v>
      </c>
      <c r="L98" s="34" t="s">
        <v>451</v>
      </c>
      <c r="M98" s="34" t="s">
        <v>483</v>
      </c>
      <c r="N98" s="34" t="str">
        <f t="shared" si="8"/>
        <v>Technology | AI/ Gen AI</v>
      </c>
      <c r="O98" s="34" t="s">
        <v>1039</v>
      </c>
      <c r="P98" s="34" t="s">
        <v>1040</v>
      </c>
      <c r="Q98" s="38"/>
      <c r="R98" s="38"/>
      <c r="S98" t="s">
        <v>1041</v>
      </c>
      <c r="T98">
        <v>4</v>
      </c>
      <c r="U98">
        <v>3</v>
      </c>
      <c r="V98">
        <v>3</v>
      </c>
      <c r="W98">
        <v>4</v>
      </c>
      <c r="X98" s="106">
        <f t="shared" si="10"/>
        <v>3.5500000000000003</v>
      </c>
      <c r="Z98" s="34"/>
    </row>
    <row r="99" spans="1:26" hidden="1">
      <c r="A99" s="41">
        <f t="shared" si="9"/>
        <v>96</v>
      </c>
      <c r="B99" s="35" t="s">
        <v>1042</v>
      </c>
      <c r="C99" s="35" t="str">
        <f t="shared" si="6"/>
        <v>FMCG thương mại điện tử Indonesia đạt 2.3 tỷ USD Q1/2026 – Tín hiệu mạnh từ thị trường SEA</v>
      </c>
      <c r="D99" t="s">
        <v>364</v>
      </c>
      <c r="E99" s="105" t="str">
        <f>VLOOKUP(X99,'Updating-Scoring'!$C$2:$D$7,2,TRUE)</f>
        <v>2 - Minor signal</v>
      </c>
      <c r="F99">
        <f t="shared" si="7"/>
        <v>15</v>
      </c>
      <c r="G99" s="34">
        <v>46119</v>
      </c>
      <c r="H99" t="s">
        <v>1043</v>
      </c>
      <c r="I99" s="143">
        <v>46114</v>
      </c>
      <c r="J99" t="s">
        <v>284</v>
      </c>
      <c r="K99" s="34" t="s">
        <v>430</v>
      </c>
      <c r="L99" s="34" t="s">
        <v>447</v>
      </c>
      <c r="M99" s="34" t="s">
        <v>957</v>
      </c>
      <c r="N99" s="34" t="str">
        <f t="shared" si="8"/>
        <v>Economic | Market growth/ market size</v>
      </c>
      <c r="O99" s="34" t="s">
        <v>1044</v>
      </c>
      <c r="P99" s="34" t="s">
        <v>1045</v>
      </c>
      <c r="Q99" s="38"/>
      <c r="R99" s="38"/>
      <c r="S99" t="s">
        <v>1046</v>
      </c>
      <c r="T99">
        <v>3</v>
      </c>
      <c r="U99">
        <v>3</v>
      </c>
      <c r="V99">
        <v>3</v>
      </c>
      <c r="W99">
        <v>1</v>
      </c>
      <c r="X99" s="106">
        <f t="shared" si="10"/>
        <v>2.7</v>
      </c>
      <c r="Z99" s="34"/>
    </row>
    <row r="100" spans="1:26" hidden="1">
      <c r="A100" s="41">
        <f t="shared" si="9"/>
        <v>97</v>
      </c>
      <c r="B100" s="35" t="s">
        <v>1047</v>
      </c>
      <c r="C100" s="35" t="str">
        <f t="shared" si="6"/>
        <v>Meta thử nghiệm Instagram Plus (subscription cho người dùng phổ thông)</v>
      </c>
      <c r="D100" t="s">
        <v>1012</v>
      </c>
      <c r="E100" s="105" t="str">
        <f>VLOOKUP(X100,'Updating-Scoring'!$C$2:$D$7,2,TRUE)</f>
        <v>4 - Strategic shift</v>
      </c>
      <c r="F100">
        <f t="shared" si="7"/>
        <v>15</v>
      </c>
      <c r="G100" s="110">
        <v>46119</v>
      </c>
      <c r="H100" t="s">
        <v>1048</v>
      </c>
      <c r="I100" s="143">
        <v>46111</v>
      </c>
      <c r="J100" t="s">
        <v>284</v>
      </c>
      <c r="K100" s="34" t="s">
        <v>428</v>
      </c>
      <c r="L100" s="34" t="s">
        <v>447</v>
      </c>
      <c r="M100" s="34" t="s">
        <v>957</v>
      </c>
      <c r="N100" s="34" t="str">
        <f t="shared" si="8"/>
        <v>Economic | Market growth/ market size</v>
      </c>
      <c r="O100" s="34" t="s">
        <v>1049</v>
      </c>
      <c r="P100" s="34" t="s">
        <v>1050</v>
      </c>
      <c r="Q100" s="38"/>
      <c r="R100" s="38"/>
      <c r="S100" t="s">
        <v>1051</v>
      </c>
      <c r="T100">
        <v>4</v>
      </c>
      <c r="U100">
        <v>3</v>
      </c>
      <c r="V100">
        <v>4</v>
      </c>
      <c r="W100">
        <v>2</v>
      </c>
      <c r="X100" s="106">
        <f t="shared" si="10"/>
        <v>3.45</v>
      </c>
      <c r="Z100" s="34"/>
    </row>
    <row r="101" spans="1:26" hidden="1">
      <c r="A101" s="41">
        <f t="shared" si="9"/>
        <v>98</v>
      </c>
      <c r="B101" s="35" t="s">
        <v>1052</v>
      </c>
      <c r="C101" s="35" t="str">
        <f t="shared" si="6"/>
        <v>Hơn 1 triệu cuộc tấn công AI nhắm vào doanh nghiệp Việt</v>
      </c>
      <c r="D101" t="s">
        <v>85</v>
      </c>
      <c r="E101" s="105" t="str">
        <f>VLOOKUP(X101,'Updating-Scoring'!$C$2:$D$7,2,TRUE)</f>
        <v>4 - Strategic shift</v>
      </c>
      <c r="F101">
        <f t="shared" si="7"/>
        <v>15</v>
      </c>
      <c r="G101" s="110">
        <v>46119</v>
      </c>
      <c r="H101" t="s">
        <v>1053</v>
      </c>
      <c r="I101" s="143">
        <v>46113</v>
      </c>
      <c r="J101" t="s">
        <v>284</v>
      </c>
      <c r="K101" s="34" t="s">
        <v>431</v>
      </c>
      <c r="L101" s="34" t="s">
        <v>451</v>
      </c>
      <c r="M101" s="34" t="s">
        <v>483</v>
      </c>
      <c r="N101" s="34" t="str">
        <f t="shared" si="8"/>
        <v>Technology | AI/ Gen AI</v>
      </c>
      <c r="O101" s="34" t="s">
        <v>1053</v>
      </c>
      <c r="P101" s="34" t="s">
        <v>1054</v>
      </c>
      <c r="Q101" s="38"/>
      <c r="R101" s="38"/>
      <c r="S101" t="s">
        <v>1055</v>
      </c>
      <c r="T101">
        <v>4</v>
      </c>
      <c r="U101">
        <v>4</v>
      </c>
      <c r="V101">
        <v>2</v>
      </c>
      <c r="W101">
        <v>4</v>
      </c>
      <c r="X101" s="106">
        <f t="shared" si="10"/>
        <v>3.6</v>
      </c>
      <c r="Z101" s="34"/>
    </row>
    <row r="102" spans="1:26" hidden="1">
      <c r="A102" s="41">
        <f t="shared" si="9"/>
        <v>99</v>
      </c>
      <c r="B102" s="35" t="s">
        <v>1056</v>
      </c>
      <c r="C102" s="35" t="str">
        <f t="shared" si="6"/>
        <v>Rakuten tung 'AI 700 tỷ tham số quốc dân Nhật Bản' – Hóa ra là DeepSeek V3 đổi tên</v>
      </c>
      <c r="D102" t="s">
        <v>85</v>
      </c>
      <c r="E102" s="105" t="str">
        <f>VLOOKUP(X102,'Updating-Scoring'!$C$2:$D$7,2,TRUE)</f>
        <v>2 - Minor signal</v>
      </c>
      <c r="F102">
        <f t="shared" si="7"/>
        <v>15</v>
      </c>
      <c r="G102" s="34">
        <v>46119</v>
      </c>
      <c r="H102" t="s">
        <v>1057</v>
      </c>
      <c r="I102" s="143">
        <v>46111</v>
      </c>
      <c r="J102" t="s">
        <v>284</v>
      </c>
      <c r="K102" s="34" t="s">
        <v>729</v>
      </c>
      <c r="L102" s="34" t="s">
        <v>451</v>
      </c>
      <c r="M102" s="34" t="s">
        <v>483</v>
      </c>
      <c r="N102" s="34" t="str">
        <f t="shared" si="8"/>
        <v>Technology | AI/ Gen AI</v>
      </c>
      <c r="O102" s="34" t="s">
        <v>1058</v>
      </c>
      <c r="P102" s="34" t="s">
        <v>1059</v>
      </c>
      <c r="Q102" s="38"/>
      <c r="R102" s="38"/>
      <c r="S102" t="s">
        <v>1060</v>
      </c>
      <c r="T102">
        <v>3</v>
      </c>
      <c r="U102">
        <v>2</v>
      </c>
      <c r="V102">
        <v>2</v>
      </c>
      <c r="W102">
        <v>4</v>
      </c>
      <c r="X102" s="106">
        <f t="shared" si="10"/>
        <v>2.7</v>
      </c>
      <c r="Z102" s="34"/>
    </row>
    <row r="103" spans="1:26" hidden="1">
      <c r="A103" s="41">
        <f t="shared" si="9"/>
        <v>100</v>
      </c>
      <c r="B103" s="35" t="s">
        <v>1061</v>
      </c>
      <c r="C103" s="35" t="str">
        <f t="shared" si="6"/>
        <v>Google dùng AI viết lại title trên trang kết quả tìm kiếm (SERP)</v>
      </c>
      <c r="D103" t="s">
        <v>85</v>
      </c>
      <c r="E103" s="105" t="str">
        <f>VLOOKUP(X103,'Updating-Scoring'!$C$2:$D$7,2,TRUE)</f>
        <v>4 - Strategic shift</v>
      </c>
      <c r="F103">
        <f t="shared" si="7"/>
        <v>15</v>
      </c>
      <c r="G103" s="110">
        <v>46119</v>
      </c>
      <c r="H103" t="s">
        <v>1062</v>
      </c>
      <c r="I103" s="143">
        <v>46111</v>
      </c>
      <c r="J103" t="s">
        <v>284</v>
      </c>
      <c r="K103" s="34" t="s">
        <v>428</v>
      </c>
      <c r="L103" s="34" t="s">
        <v>451</v>
      </c>
      <c r="M103" s="34" t="s">
        <v>483</v>
      </c>
      <c r="N103" s="34" t="str">
        <f t="shared" si="8"/>
        <v>Technology | AI/ Gen AI</v>
      </c>
      <c r="O103" s="34" t="s">
        <v>1063</v>
      </c>
      <c r="P103" s="34" t="s">
        <v>1064</v>
      </c>
      <c r="Q103" s="38"/>
      <c r="R103" s="38"/>
      <c r="S103" t="s">
        <v>1065</v>
      </c>
      <c r="T103">
        <v>4</v>
      </c>
      <c r="U103">
        <v>3</v>
      </c>
      <c r="V103">
        <v>4</v>
      </c>
      <c r="W103">
        <v>4</v>
      </c>
      <c r="X103" s="106">
        <f t="shared" si="10"/>
        <v>3.7500000000000004</v>
      </c>
      <c r="Z103" s="34"/>
    </row>
    <row r="104" spans="1:26" hidden="1">
      <c r="A104" s="41">
        <f t="shared" si="9"/>
        <v>101</v>
      </c>
      <c r="B104" s="35" t="s">
        <v>1066</v>
      </c>
      <c r="C104" s="35" t="str">
        <f t="shared" si="6"/>
        <v>Công văn 1619/CT-CS-2026: Cục Thuế hướng dẫn chi tiết thanh toán không dùng tiền mặt</v>
      </c>
      <c r="D104" t="s">
        <v>160</v>
      </c>
      <c r="E104" s="105" t="str">
        <f>VLOOKUP(X104,'Updating-Scoring'!$C$2:$D$7,2,TRUE)</f>
        <v>4 - Strategic shift</v>
      </c>
      <c r="F104">
        <f t="shared" si="7"/>
        <v>15</v>
      </c>
      <c r="G104" s="34">
        <v>46119</v>
      </c>
      <c r="H104" t="s">
        <v>1067</v>
      </c>
      <c r="I104" s="143">
        <v>46114</v>
      </c>
      <c r="J104" t="s">
        <v>284</v>
      </c>
      <c r="K104" s="34" t="s">
        <v>431</v>
      </c>
      <c r="L104" s="34" t="s">
        <v>453</v>
      </c>
      <c r="M104" s="34" t="s">
        <v>490</v>
      </c>
      <c r="N104" s="34" t="str">
        <f t="shared" si="8"/>
        <v>Legal | Payment</v>
      </c>
      <c r="O104" s="34" t="s">
        <v>1068</v>
      </c>
      <c r="P104" s="34" t="s">
        <v>1069</v>
      </c>
      <c r="Q104" s="38"/>
      <c r="R104" s="38"/>
      <c r="S104" t="s">
        <v>1070</v>
      </c>
      <c r="T104">
        <v>5</v>
      </c>
      <c r="U104">
        <v>4</v>
      </c>
      <c r="V104">
        <v>3</v>
      </c>
      <c r="W104">
        <v>2</v>
      </c>
      <c r="X104" s="106">
        <f t="shared" si="10"/>
        <v>3.9</v>
      </c>
      <c r="Z104" s="34"/>
    </row>
    <row r="105" spans="1:26" hidden="1">
      <c r="A105" s="41">
        <f t="shared" si="9"/>
        <v>102</v>
      </c>
      <c r="B105" s="35" t="s">
        <v>1071</v>
      </c>
      <c r="C105" s="35" t="str">
        <f t="shared" si="6"/>
        <v>OpenAI hủy kế hoạch chatbot người lớn – Ưu tiên doanh nghiệp hơn nội dung rủi ro cao</v>
      </c>
      <c r="D105" t="s">
        <v>85</v>
      </c>
      <c r="E105" s="105" t="str">
        <f>VLOOKUP(X105,'Updating-Scoring'!$C$2:$D$7,2,TRUE)</f>
        <v>2 - Minor signal</v>
      </c>
      <c r="F105">
        <f t="shared" si="7"/>
        <v>15</v>
      </c>
      <c r="G105" s="34">
        <v>46119</v>
      </c>
      <c r="H105" t="s">
        <v>1072</v>
      </c>
      <c r="I105" s="143">
        <v>46111</v>
      </c>
      <c r="J105" t="s">
        <v>284</v>
      </c>
      <c r="K105" s="34" t="s">
        <v>428</v>
      </c>
      <c r="L105" s="34" t="s">
        <v>451</v>
      </c>
      <c r="M105" s="34" t="s">
        <v>483</v>
      </c>
      <c r="N105" s="34" t="str">
        <f t="shared" si="8"/>
        <v>Technology | AI/ Gen AI</v>
      </c>
      <c r="O105" s="34" t="s">
        <v>1073</v>
      </c>
      <c r="P105" s="34" t="s">
        <v>1074</v>
      </c>
      <c r="Q105" s="38"/>
      <c r="R105" s="38"/>
      <c r="S105" t="s">
        <v>1075</v>
      </c>
      <c r="T105">
        <v>3</v>
      </c>
      <c r="U105">
        <v>2</v>
      </c>
      <c r="V105">
        <v>3</v>
      </c>
      <c r="W105">
        <v>3</v>
      </c>
      <c r="X105" s="106">
        <f t="shared" si="10"/>
        <v>2.75</v>
      </c>
      <c r="Z105" s="34"/>
    </row>
    <row r="106" spans="1:26" hidden="1">
      <c r="A106" s="41">
        <f t="shared" si="9"/>
        <v>103</v>
      </c>
      <c r="B106" s="35" t="s">
        <v>1076</v>
      </c>
      <c r="C106" s="35" t="str">
        <f t="shared" si="6"/>
        <v>Cảnh báo khẩn: Tài khoản Shopee và Lazada đang bị tấn công hàng loạt – Người dùng cần cảnh giác</v>
      </c>
      <c r="D106" t="s">
        <v>85</v>
      </c>
      <c r="E106" s="105" t="str">
        <f>VLOOKUP(X106,'Updating-Scoring'!$C$2:$D$7,2,TRUE)</f>
        <v>4 - Strategic shift</v>
      </c>
      <c r="F106">
        <f t="shared" si="7"/>
        <v>15</v>
      </c>
      <c r="G106" s="34">
        <v>46119</v>
      </c>
      <c r="H106" t="s">
        <v>1077</v>
      </c>
      <c r="I106" s="143">
        <v>46112</v>
      </c>
      <c r="J106" t="s">
        <v>284</v>
      </c>
      <c r="K106" s="34" t="s">
        <v>431</v>
      </c>
      <c r="L106" s="34" t="s">
        <v>453</v>
      </c>
      <c r="M106" s="34" t="s">
        <v>492</v>
      </c>
      <c r="N106" s="34" t="str">
        <f t="shared" si="8"/>
        <v>Legal | Data privacy</v>
      </c>
      <c r="O106" s="34" t="s">
        <v>1078</v>
      </c>
      <c r="P106" s="34" t="s">
        <v>1079</v>
      </c>
      <c r="Q106" s="38"/>
      <c r="R106" s="38"/>
      <c r="S106" t="s">
        <v>1080</v>
      </c>
      <c r="T106">
        <v>4</v>
      </c>
      <c r="U106">
        <v>3</v>
      </c>
      <c r="V106">
        <v>4</v>
      </c>
      <c r="W106">
        <v>2</v>
      </c>
      <c r="X106" s="106">
        <f t="shared" si="10"/>
        <v>3.45</v>
      </c>
      <c r="Z106" s="34"/>
    </row>
    <row r="107" spans="1:26" hidden="1">
      <c r="A107" s="41">
        <f t="shared" si="9"/>
        <v>104</v>
      </c>
      <c r="B107" s="35" t="s">
        <v>1081</v>
      </c>
      <c r="C107" s="35" t="str">
        <f t="shared" si="6"/>
        <v>Flipboard ra mắt Surf – Nền tảng mạng xã hội mở cho publisher thoát khỏi walled garden</v>
      </c>
      <c r="D107" t="s">
        <v>1012</v>
      </c>
      <c r="E107" s="105" t="str">
        <f>VLOOKUP(X107,'Updating-Scoring'!$C$2:$D$7,2,TRUE)</f>
        <v>1 - Noise</v>
      </c>
      <c r="F107">
        <f t="shared" si="7"/>
        <v>15</v>
      </c>
      <c r="G107" s="34">
        <v>46119</v>
      </c>
      <c r="H107" t="s">
        <v>1082</v>
      </c>
      <c r="I107" s="143">
        <v>46113</v>
      </c>
      <c r="J107" t="s">
        <v>284</v>
      </c>
      <c r="K107" s="34" t="s">
        <v>428</v>
      </c>
      <c r="L107" s="34" t="s">
        <v>449</v>
      </c>
      <c r="M107" s="34" t="s">
        <v>479</v>
      </c>
      <c r="N107" s="34" t="str">
        <f t="shared" si="8"/>
        <v>Social | Digital adoption</v>
      </c>
      <c r="O107" s="34" t="s">
        <v>1083</v>
      </c>
      <c r="P107" s="34" t="s">
        <v>1084</v>
      </c>
      <c r="Q107" s="38"/>
      <c r="R107" s="38"/>
      <c r="S107" t="s">
        <v>1085</v>
      </c>
      <c r="T107">
        <v>2</v>
      </c>
      <c r="U107">
        <v>1</v>
      </c>
      <c r="V107">
        <v>2</v>
      </c>
      <c r="W107">
        <v>1</v>
      </c>
      <c r="X107" s="106">
        <f t="shared" si="10"/>
        <v>1.6</v>
      </c>
      <c r="Z107" s="34"/>
    </row>
    <row r="108" spans="1:26" hidden="1">
      <c r="A108" s="41">
        <f t="shared" si="9"/>
        <v>105</v>
      </c>
      <c r="B108" s="35" t="s">
        <v>1086</v>
      </c>
      <c r="C108" s="35" t="str">
        <f t="shared" si="6"/>
        <v>HitPay đạt 2.5 tỷ USD khối lượng thanh toán annualized – Fintech SEA tăng tốc</v>
      </c>
      <c r="D108" t="s">
        <v>364</v>
      </c>
      <c r="E108" s="105" t="str">
        <f>VLOOKUP(X108,'Updating-Scoring'!$C$2:$D$7,2,TRUE)</f>
        <v>2 - Minor signal</v>
      </c>
      <c r="F108">
        <f t="shared" si="7"/>
        <v>15</v>
      </c>
      <c r="G108" s="34">
        <v>46119</v>
      </c>
      <c r="H108" t="s">
        <v>1087</v>
      </c>
      <c r="I108" s="143">
        <v>46113</v>
      </c>
      <c r="J108" t="s">
        <v>284</v>
      </c>
      <c r="K108" s="34" t="s">
        <v>430</v>
      </c>
      <c r="L108" s="34" t="s">
        <v>447</v>
      </c>
      <c r="M108" s="34" t="s">
        <v>782</v>
      </c>
      <c r="N108" s="34" t="str">
        <f t="shared" si="8"/>
        <v>Economic | Fintech funding/ investment</v>
      </c>
      <c r="O108" s="34" t="s">
        <v>1088</v>
      </c>
      <c r="P108" s="34" t="s">
        <v>1089</v>
      </c>
      <c r="Q108" s="38"/>
      <c r="R108" s="38"/>
      <c r="S108" t="s">
        <v>1090</v>
      </c>
      <c r="T108">
        <v>3</v>
      </c>
      <c r="U108">
        <v>3</v>
      </c>
      <c r="V108">
        <v>3</v>
      </c>
      <c r="W108">
        <v>2</v>
      </c>
      <c r="X108" s="106">
        <f t="shared" si="10"/>
        <v>2.85</v>
      </c>
      <c r="Z108" s="34"/>
    </row>
    <row r="109" spans="1:26" hidden="1">
      <c r="A109" s="41">
        <f t="shared" si="9"/>
        <v>106</v>
      </c>
      <c r="B109" s="35" t="s">
        <v>1091</v>
      </c>
      <c r="C109" s="35" t="str">
        <f t="shared" si="6"/>
        <v>Bộ KH&amp;CN xây dựng danh mục AI rủi ro cao – Khung pháp lý AI Việt Nam đang hình thành</v>
      </c>
      <c r="D109" t="s">
        <v>131</v>
      </c>
      <c r="E109" s="105" t="str">
        <f>VLOOKUP(X109,'Updating-Scoring'!$C$2:$D$7,2,TRUE)</f>
        <v>4 - Strategic shift</v>
      </c>
      <c r="F109">
        <f t="shared" si="7"/>
        <v>15</v>
      </c>
      <c r="G109" s="110">
        <v>46119</v>
      </c>
      <c r="H109" t="s">
        <v>1092</v>
      </c>
      <c r="I109" s="143">
        <v>46115</v>
      </c>
      <c r="J109" t="s">
        <v>284</v>
      </c>
      <c r="K109" s="34" t="s">
        <v>431</v>
      </c>
      <c r="L109" s="34" t="s">
        <v>453</v>
      </c>
      <c r="M109" s="34" t="s">
        <v>86</v>
      </c>
      <c r="N109" s="34" t="str">
        <f t="shared" si="8"/>
        <v>Legal | AI</v>
      </c>
      <c r="O109" s="34" t="s">
        <v>1093</v>
      </c>
      <c r="P109" s="34" t="s">
        <v>1094</v>
      </c>
      <c r="Q109" s="38"/>
      <c r="R109" s="38"/>
      <c r="S109" t="s">
        <v>1095</v>
      </c>
      <c r="T109">
        <v>5</v>
      </c>
      <c r="U109">
        <v>4</v>
      </c>
      <c r="V109">
        <v>2</v>
      </c>
      <c r="W109">
        <v>3</v>
      </c>
      <c r="X109" s="106">
        <f t="shared" si="10"/>
        <v>3.8499999999999996</v>
      </c>
      <c r="Z109" s="34"/>
    </row>
    <row r="110" spans="1:26" hidden="1">
      <c r="A110" s="41">
        <f t="shared" si="9"/>
        <v>107</v>
      </c>
      <c r="B110" s="35" t="s">
        <v>1096</v>
      </c>
      <c r="C110" s="35" t="str">
        <f t="shared" si="6"/>
        <v>VNEID mở tính năng phản ánh vi phạm giao thông – Hướng đến nền tảng civic services đa năng</v>
      </c>
      <c r="D110" t="s">
        <v>131</v>
      </c>
      <c r="E110" s="105" t="str">
        <f>VLOOKUP(X110,'Updating-Scoring'!$C$2:$D$7,2,TRUE)</f>
        <v>2 - Minor signal</v>
      </c>
      <c r="F110">
        <f t="shared" si="7"/>
        <v>15</v>
      </c>
      <c r="G110" s="34">
        <v>46119</v>
      </c>
      <c r="H110" t="s">
        <v>1097</v>
      </c>
      <c r="I110" s="143">
        <v>46114</v>
      </c>
      <c r="J110" t="s">
        <v>284</v>
      </c>
      <c r="K110" s="34" t="s">
        <v>431</v>
      </c>
      <c r="L110" s="34" t="s">
        <v>445</v>
      </c>
      <c r="M110" s="34" t="s">
        <v>471</v>
      </c>
      <c r="N110" s="34" t="str">
        <f t="shared" si="8"/>
        <v>Political | National digital strategy</v>
      </c>
      <c r="O110" s="34" t="s">
        <v>1098</v>
      </c>
      <c r="P110" s="34" t="s">
        <v>1099</v>
      </c>
      <c r="Q110" s="38"/>
      <c r="R110" s="38"/>
      <c r="S110" t="s">
        <v>1100</v>
      </c>
      <c r="T110">
        <v>3</v>
      </c>
      <c r="U110">
        <v>2</v>
      </c>
      <c r="V110">
        <v>1</v>
      </c>
      <c r="W110">
        <v>1</v>
      </c>
      <c r="X110" s="106">
        <f t="shared" si="10"/>
        <v>2.0500000000000003</v>
      </c>
      <c r="Z110" s="34"/>
    </row>
    <row r="111" spans="1:26" hidden="1">
      <c r="A111" s="41">
        <f t="shared" si="9"/>
        <v>108</v>
      </c>
      <c r="B111" s="35" t="s">
        <v>1101</v>
      </c>
      <c r="C111" s="35" t="str">
        <f t="shared" si="6"/>
        <v>Apple thử nghiệm Siri xử lý nhiều lệnh trong một câu</v>
      </c>
      <c r="D111" t="s">
        <v>138</v>
      </c>
      <c r="E111" s="105" t="str">
        <f>VLOOKUP(X111,'Updating-Scoring'!$C$2:$D$7,2,TRUE)</f>
        <v>4 - Strategic shift</v>
      </c>
      <c r="F111">
        <f t="shared" si="7"/>
        <v>15</v>
      </c>
      <c r="G111" s="110">
        <v>46119</v>
      </c>
      <c r="H111" t="s">
        <v>1102</v>
      </c>
      <c r="I111" s="143">
        <v>46112</v>
      </c>
      <c r="J111" t="s">
        <v>284</v>
      </c>
      <c r="K111" s="34" t="s">
        <v>428</v>
      </c>
      <c r="L111" s="34" t="s">
        <v>451</v>
      </c>
      <c r="M111" s="34" t="s">
        <v>483</v>
      </c>
      <c r="N111" s="34" t="str">
        <f t="shared" si="8"/>
        <v>Technology | AI/ Gen AI</v>
      </c>
      <c r="O111" s="34" t="s">
        <v>1103</v>
      </c>
      <c r="P111" s="34" t="s">
        <v>1104</v>
      </c>
      <c r="Q111" s="38"/>
      <c r="R111" s="38"/>
      <c r="S111" t="s">
        <v>1105</v>
      </c>
      <c r="T111">
        <v>4</v>
      </c>
      <c r="U111">
        <v>3</v>
      </c>
      <c r="V111">
        <v>4</v>
      </c>
      <c r="W111">
        <v>4</v>
      </c>
      <c r="X111" s="106">
        <f t="shared" si="10"/>
        <v>3.7500000000000004</v>
      </c>
      <c r="Z111" s="34"/>
    </row>
    <row r="112" spans="1:26" hidden="1">
      <c r="A112" s="41">
        <f t="shared" si="9"/>
        <v>109</v>
      </c>
      <c r="B112" s="35" t="s">
        <v>1106</v>
      </c>
      <c r="C112" s="35" t="str">
        <f t="shared" si="6"/>
        <v>ByteDance ra mắt Seedance 2.0 cho CapCut – Vũ khí AI video mạnh nhất tiếp cận hàng trăm triệu người dùng</v>
      </c>
      <c r="D112" t="s">
        <v>1012</v>
      </c>
      <c r="E112" s="105" t="str">
        <f>VLOOKUP(X112,'Updating-Scoring'!$C$2:$D$7,2,TRUE)</f>
        <v>2 - Minor signal</v>
      </c>
      <c r="F112">
        <f t="shared" si="7"/>
        <v>15</v>
      </c>
      <c r="G112" s="34">
        <v>46119</v>
      </c>
      <c r="H112" t="s">
        <v>1107</v>
      </c>
      <c r="I112" s="143">
        <v>46107</v>
      </c>
      <c r="J112" t="s">
        <v>284</v>
      </c>
      <c r="K112" s="34" t="s">
        <v>729</v>
      </c>
      <c r="L112" s="34" t="s">
        <v>451</v>
      </c>
      <c r="M112" s="34" t="s">
        <v>483</v>
      </c>
      <c r="N112" s="34" t="str">
        <f t="shared" si="8"/>
        <v>Technology | AI/ Gen AI</v>
      </c>
      <c r="O112" s="34" t="s">
        <v>1108</v>
      </c>
      <c r="P112" s="34" t="s">
        <v>1109</v>
      </c>
      <c r="Q112" s="38"/>
      <c r="R112" s="38"/>
      <c r="S112" t="s">
        <v>1110</v>
      </c>
      <c r="T112">
        <v>2</v>
      </c>
      <c r="U112">
        <v>3</v>
      </c>
      <c r="V112">
        <v>2</v>
      </c>
      <c r="W112">
        <v>5</v>
      </c>
      <c r="X112" s="106">
        <f t="shared" si="10"/>
        <v>2.7</v>
      </c>
      <c r="Z112" s="34"/>
    </row>
    <row r="113" spans="1:26" hidden="1">
      <c r="A113" s="41">
        <f t="shared" si="9"/>
        <v>110</v>
      </c>
      <c r="B113" s="35" t="s">
        <v>1111</v>
      </c>
      <c r="C113" s="35" t="str">
        <f t="shared" si="6"/>
        <v>Ngân hàng truyền thống phản công – Wealthtech startup đối mặt cạnh tranh khốc liệt</v>
      </c>
      <c r="D113" t="s">
        <v>364</v>
      </c>
      <c r="E113" s="105" t="str">
        <f>VLOOKUP(X113,'Updating-Scoring'!$C$2:$D$7,2,TRUE)</f>
        <v>2 - Minor signal</v>
      </c>
      <c r="F113">
        <f t="shared" si="7"/>
        <v>15</v>
      </c>
      <c r="G113" s="34">
        <v>46119</v>
      </c>
      <c r="H113" t="s">
        <v>1112</v>
      </c>
      <c r="I113" s="143">
        <v>46113</v>
      </c>
      <c r="J113" t="s">
        <v>284</v>
      </c>
      <c r="K113" s="34" t="s">
        <v>428</v>
      </c>
      <c r="L113" s="34" t="s">
        <v>447</v>
      </c>
      <c r="M113" s="34" t="s">
        <v>782</v>
      </c>
      <c r="N113" s="34" t="str">
        <f t="shared" si="8"/>
        <v>Economic | Fintech funding/ investment</v>
      </c>
      <c r="O113" s="34" t="s">
        <v>1113</v>
      </c>
      <c r="P113" s="34" t="s">
        <v>1114</v>
      </c>
      <c r="Q113" s="38"/>
      <c r="R113" s="38"/>
      <c r="S113" t="s">
        <v>1115</v>
      </c>
      <c r="T113">
        <v>3</v>
      </c>
      <c r="U113">
        <v>3</v>
      </c>
      <c r="V113">
        <v>3</v>
      </c>
      <c r="W113">
        <v>2</v>
      </c>
      <c r="X113" s="106">
        <f t="shared" si="10"/>
        <v>2.85</v>
      </c>
      <c r="Z113" s="34"/>
    </row>
    <row r="114" spans="1:26" hidden="1">
      <c r="A114" s="41">
        <f t="shared" si="9"/>
        <v>111</v>
      </c>
      <c r="B114" s="35" t="s">
        <v>1116</v>
      </c>
      <c r="C114" s="35" t="str">
        <f t="shared" si="6"/>
        <v>ElevenLabs ra mắt ứng dụng tạo nhạc AI – Cuộc đua AI audio leo thang thêm một nấc</v>
      </c>
      <c r="D114" t="s">
        <v>1012</v>
      </c>
      <c r="E114" s="105" t="str">
        <f>VLOOKUP(X114,'Updating-Scoring'!$C$2:$D$7,2,TRUE)</f>
        <v>2 - Minor signal</v>
      </c>
      <c r="F114">
        <f t="shared" si="7"/>
        <v>15</v>
      </c>
      <c r="G114" s="34">
        <v>46119</v>
      </c>
      <c r="H114" t="s">
        <v>1117</v>
      </c>
      <c r="I114" s="143">
        <v>46114</v>
      </c>
      <c r="J114" t="s">
        <v>284</v>
      </c>
      <c r="K114" s="34" t="s">
        <v>428</v>
      </c>
      <c r="L114" s="34" t="s">
        <v>451</v>
      </c>
      <c r="M114" s="34" t="s">
        <v>483</v>
      </c>
      <c r="N114" s="34" t="str">
        <f t="shared" si="8"/>
        <v>Technology | AI/ Gen AI</v>
      </c>
      <c r="O114" s="34" t="s">
        <v>1118</v>
      </c>
      <c r="P114" s="34" t="s">
        <v>1119</v>
      </c>
      <c r="Q114" s="38"/>
      <c r="R114" s="38"/>
      <c r="S114" t="s">
        <v>1120</v>
      </c>
      <c r="T114">
        <v>2</v>
      </c>
      <c r="U114">
        <v>2</v>
      </c>
      <c r="V114">
        <v>2</v>
      </c>
      <c r="W114">
        <v>4</v>
      </c>
      <c r="X114" s="106">
        <f t="shared" si="10"/>
        <v>2.3000000000000003</v>
      </c>
      <c r="Z114" s="34"/>
    </row>
    <row r="115" spans="1:26" hidden="1">
      <c r="A115" s="41">
        <f t="shared" si="9"/>
        <v>112</v>
      </c>
      <c r="B115" s="35" t="s">
        <v>1121</v>
      </c>
      <c r="C115" s="35" t="str">
        <f t="shared" si="6"/>
        <v>Kling, Runway và Hailuo – Ba công cụ tạo video AI có thể thay thế Sora</v>
      </c>
      <c r="D115" t="s">
        <v>131</v>
      </c>
      <c r="E115" s="105" t="str">
        <f>VLOOKUP(X115,'Updating-Scoring'!$C$2:$D$7,2,TRUE)</f>
        <v>2 - Minor signal</v>
      </c>
      <c r="F115">
        <f t="shared" si="7"/>
        <v>15</v>
      </c>
      <c r="G115" s="34">
        <v>46119</v>
      </c>
      <c r="H115" t="s">
        <v>1122</v>
      </c>
      <c r="I115" s="143">
        <v>46112</v>
      </c>
      <c r="J115" t="s">
        <v>284</v>
      </c>
      <c r="K115" s="34" t="s">
        <v>428</v>
      </c>
      <c r="L115" s="34" t="s">
        <v>451</v>
      </c>
      <c r="M115" s="34" t="s">
        <v>483</v>
      </c>
      <c r="N115" s="34" t="str">
        <f t="shared" si="8"/>
        <v>Technology | AI/ Gen AI</v>
      </c>
      <c r="O115" s="34" t="s">
        <v>1123</v>
      </c>
      <c r="P115" s="34" t="s">
        <v>1124</v>
      </c>
      <c r="Q115" s="38"/>
      <c r="R115" s="38"/>
      <c r="S115" t="s">
        <v>1125</v>
      </c>
      <c r="T115">
        <v>3</v>
      </c>
      <c r="U115">
        <v>2</v>
      </c>
      <c r="V115">
        <v>2</v>
      </c>
      <c r="W115">
        <v>4</v>
      </c>
      <c r="X115" s="106">
        <f t="shared" si="10"/>
        <v>2.7</v>
      </c>
      <c r="Z115" s="34"/>
    </row>
    <row r="116" spans="1:26" hidden="1">
      <c r="A116" s="41">
        <f t="shared" si="9"/>
        <v>113</v>
      </c>
      <c r="B116" s="35" t="s">
        <v>1126</v>
      </c>
      <c r="C116" s="35" t="str">
        <f t="shared" si="6"/>
        <v>Meta ra mắt kính AI dành cho kính thuốc – Mở rộng hệ sinh thái AI wearable sang đại chúng</v>
      </c>
      <c r="D116" t="s">
        <v>138</v>
      </c>
      <c r="E116" s="105" t="str">
        <f>VLOOKUP(X116,'Updating-Scoring'!$C$2:$D$7,2,TRUE)</f>
        <v>2 - Minor signal</v>
      </c>
      <c r="F116">
        <f t="shared" si="7"/>
        <v>15</v>
      </c>
      <c r="G116" s="34">
        <v>46119</v>
      </c>
      <c r="H116" t="s">
        <v>1127</v>
      </c>
      <c r="I116" s="143">
        <v>46108</v>
      </c>
      <c r="J116" t="s">
        <v>284</v>
      </c>
      <c r="K116" s="34" t="s">
        <v>428</v>
      </c>
      <c r="L116" s="34" t="s">
        <v>451</v>
      </c>
      <c r="M116" s="34" t="s">
        <v>483</v>
      </c>
      <c r="N116" s="34" t="str">
        <f t="shared" si="8"/>
        <v>Technology | AI/ Gen AI</v>
      </c>
      <c r="O116" s="34" t="s">
        <v>1128</v>
      </c>
      <c r="P116" s="34" t="s">
        <v>1129</v>
      </c>
      <c r="Q116" s="38"/>
      <c r="R116" s="38"/>
      <c r="S116" t="s">
        <v>1130</v>
      </c>
      <c r="T116">
        <v>3</v>
      </c>
      <c r="U116">
        <v>3</v>
      </c>
      <c r="V116">
        <v>3</v>
      </c>
      <c r="W116">
        <v>3</v>
      </c>
      <c r="X116" s="106">
        <f t="shared" si="10"/>
        <v>3</v>
      </c>
      <c r="Z116" s="34"/>
    </row>
    <row r="117" spans="1:26" hidden="1">
      <c r="A117" s="41">
        <f t="shared" si="9"/>
        <v>114</v>
      </c>
      <c r="B117" s="35" t="s">
        <v>1131</v>
      </c>
      <c r="C117" s="35" t="str">
        <f t="shared" si="6"/>
        <v>Airbnb triển khai dịch vụ đón riêng qua Welcome Pickups</v>
      </c>
      <c r="D117" t="s">
        <v>1012</v>
      </c>
      <c r="E117" s="105" t="str">
        <f>VLOOKUP(X117,'Updating-Scoring'!$C$2:$D$7,2,TRUE)</f>
        <v>4 - Strategic shift</v>
      </c>
      <c r="F117">
        <f t="shared" si="7"/>
        <v>15</v>
      </c>
      <c r="G117" s="110">
        <v>46119</v>
      </c>
      <c r="H117" t="s">
        <v>1132</v>
      </c>
      <c r="I117" s="143">
        <v>46112</v>
      </c>
      <c r="J117" t="s">
        <v>284</v>
      </c>
      <c r="K117" s="34" t="s">
        <v>428</v>
      </c>
      <c r="L117" s="34" t="s">
        <v>447</v>
      </c>
      <c r="M117" s="34" t="s">
        <v>957</v>
      </c>
      <c r="N117" s="34" t="str">
        <f t="shared" si="8"/>
        <v>Economic | Market growth/ market size</v>
      </c>
      <c r="O117" s="34" t="s">
        <v>1133</v>
      </c>
      <c r="P117" s="34" t="s">
        <v>1134</v>
      </c>
      <c r="Q117" s="38"/>
      <c r="R117" s="38"/>
      <c r="S117" t="s">
        <v>1135</v>
      </c>
      <c r="T117">
        <v>4</v>
      </c>
      <c r="U117">
        <v>3</v>
      </c>
      <c r="V117">
        <v>4</v>
      </c>
      <c r="W117">
        <v>3</v>
      </c>
      <c r="X117" s="106">
        <f t="shared" si="10"/>
        <v>3.6000000000000005</v>
      </c>
      <c r="Z117" s="34"/>
    </row>
    <row r="118" spans="1:26" hidden="1">
      <c r="A118" s="41">
        <f t="shared" si="9"/>
        <v>115</v>
      </c>
      <c r="B118" s="35" t="s">
        <v>1136</v>
      </c>
      <c r="C118" s="35" t="str">
        <f t="shared" si="6"/>
        <v>Nghiên cứu MIT: AI hội thoại có thể gây “ảo giác phụ thuộc”</v>
      </c>
      <c r="D118" t="s">
        <v>85</v>
      </c>
      <c r="E118" s="105" t="str">
        <f>VLOOKUP(X118,'Updating-Scoring'!$C$2:$D$7,2,TRUE)</f>
        <v>3 - Market signal</v>
      </c>
      <c r="F118">
        <f t="shared" si="7"/>
        <v>15</v>
      </c>
      <c r="G118" s="110">
        <v>46119</v>
      </c>
      <c r="H118" t="s">
        <v>1137</v>
      </c>
      <c r="I118" s="143">
        <v>46114</v>
      </c>
      <c r="J118" t="s">
        <v>284</v>
      </c>
      <c r="K118" s="34" t="s">
        <v>428</v>
      </c>
      <c r="L118" s="34" t="s">
        <v>451</v>
      </c>
      <c r="M118" s="34" t="s">
        <v>483</v>
      </c>
      <c r="N118" s="34" t="str">
        <f t="shared" si="8"/>
        <v>Technology | AI/ Gen AI</v>
      </c>
      <c r="O118" s="34" t="s">
        <v>1138</v>
      </c>
      <c r="P118" s="34" t="s">
        <v>1139</v>
      </c>
      <c r="Q118" s="38"/>
      <c r="R118" s="38"/>
      <c r="S118" t="s">
        <v>1140</v>
      </c>
      <c r="T118">
        <v>3</v>
      </c>
      <c r="U118">
        <v>4</v>
      </c>
      <c r="V118">
        <v>2</v>
      </c>
      <c r="W118">
        <v>3</v>
      </c>
      <c r="X118" s="106">
        <f t="shared" si="10"/>
        <v>3.05</v>
      </c>
      <c r="Z118" s="34"/>
    </row>
    <row r="119" spans="1:26" hidden="1">
      <c r="A119" s="41">
        <f t="shared" si="9"/>
        <v>116</v>
      </c>
      <c r="B119" s="35" t="s">
        <v>1141</v>
      </c>
      <c r="C119" s="35" t="str">
        <f t="shared" si="6"/>
        <v>Anthropic lộ mã nguồn hệ thống sinh doanh thu cốt lõi</v>
      </c>
      <c r="D119" t="s">
        <v>119</v>
      </c>
      <c r="E119" s="105" t="str">
        <f>VLOOKUP(X119,'Updating-Scoring'!$C$2:$D$7,2,TRUE)</f>
        <v>3 - Market signal</v>
      </c>
      <c r="F119">
        <f t="shared" si="7"/>
        <v>15</v>
      </c>
      <c r="G119" s="110">
        <v>46119</v>
      </c>
      <c r="H119" t="s">
        <v>1142</v>
      </c>
      <c r="I119" s="143">
        <v>46113</v>
      </c>
      <c r="J119" t="s">
        <v>284</v>
      </c>
      <c r="K119" s="34" t="s">
        <v>428</v>
      </c>
      <c r="L119" s="34" t="s">
        <v>451</v>
      </c>
      <c r="M119" s="34" t="s">
        <v>483</v>
      </c>
      <c r="N119" s="34" t="str">
        <f t="shared" si="8"/>
        <v>Technology | AI/ Gen AI</v>
      </c>
      <c r="O119" s="34" t="s">
        <v>1143</v>
      </c>
      <c r="P119" s="34" t="s">
        <v>1144</v>
      </c>
      <c r="Q119" s="38"/>
      <c r="R119" s="38"/>
      <c r="S119" t="s">
        <v>1145</v>
      </c>
      <c r="T119">
        <v>3</v>
      </c>
      <c r="U119">
        <v>4</v>
      </c>
      <c r="V119">
        <v>3</v>
      </c>
      <c r="W119">
        <v>4</v>
      </c>
      <c r="X119" s="106">
        <f t="shared" si="10"/>
        <v>3.4000000000000004</v>
      </c>
      <c r="Z119" s="34"/>
    </row>
    <row r="120" spans="1:26" hidden="1">
      <c r="A120" s="41">
        <f t="shared" si="9"/>
        <v>117</v>
      </c>
      <c r="B120" s="35" t="s">
        <v>1146</v>
      </c>
      <c r="C120" s="35" t="str">
        <f t="shared" si="6"/>
        <v>Google cho phép điều khiển avatar bằng AI prompt trong ứng dụng Vids</v>
      </c>
      <c r="D120" t="s">
        <v>1012</v>
      </c>
      <c r="E120" s="105" t="str">
        <f>VLOOKUP(X120,'Updating-Scoring'!$C$2:$D$7,2,TRUE)</f>
        <v>2 - Minor signal</v>
      </c>
      <c r="F120">
        <f t="shared" si="7"/>
        <v>15</v>
      </c>
      <c r="G120" s="34">
        <v>46119</v>
      </c>
      <c r="H120" t="s">
        <v>1147</v>
      </c>
      <c r="I120" s="143">
        <v>46114</v>
      </c>
      <c r="J120" t="s">
        <v>284</v>
      </c>
      <c r="K120" s="34" t="s">
        <v>428</v>
      </c>
      <c r="L120" s="34" t="s">
        <v>451</v>
      </c>
      <c r="M120" s="34" t="s">
        <v>483</v>
      </c>
      <c r="N120" s="34" t="str">
        <f t="shared" si="8"/>
        <v>Technology | AI/ Gen AI</v>
      </c>
      <c r="O120" s="34" t="s">
        <v>1148</v>
      </c>
      <c r="P120" s="34" t="s">
        <v>1149</v>
      </c>
      <c r="Q120" s="38"/>
      <c r="R120" s="38"/>
      <c r="S120" t="s">
        <v>1150</v>
      </c>
      <c r="T120">
        <v>2</v>
      </c>
      <c r="U120">
        <v>1</v>
      </c>
      <c r="V120">
        <v>3</v>
      </c>
      <c r="W120">
        <v>3</v>
      </c>
      <c r="X120" s="106">
        <f t="shared" si="10"/>
        <v>2.1</v>
      </c>
      <c r="Z120" s="34"/>
    </row>
    <row r="121" spans="1:26" hidden="1">
      <c r="A121" s="41">
        <f t="shared" si="9"/>
        <v>118</v>
      </c>
      <c r="B121" s="35" t="s">
        <v>1151</v>
      </c>
      <c r="C121" s="35" t="str">
        <f t="shared" si="6"/>
        <v>CMC đặt mục tiêu tăng doanh thu 20%+ năm 2026 – Kỳ vọng tích cực từ thị trường IT services</v>
      </c>
      <c r="D121" t="s">
        <v>104</v>
      </c>
      <c r="E121" s="105" t="str">
        <f>VLOOKUP(X121,'Updating-Scoring'!$C$2:$D$7,2,TRUE)</f>
        <v>2 - Minor signal</v>
      </c>
      <c r="F121">
        <f t="shared" si="7"/>
        <v>15</v>
      </c>
      <c r="G121" s="34">
        <v>46119</v>
      </c>
      <c r="H121" t="s">
        <v>1152</v>
      </c>
      <c r="I121" s="143">
        <v>46109</v>
      </c>
      <c r="J121" t="s">
        <v>284</v>
      </c>
      <c r="K121" s="34" t="s">
        <v>431</v>
      </c>
      <c r="L121" s="34" t="s">
        <v>447</v>
      </c>
      <c r="M121" s="34" t="s">
        <v>957</v>
      </c>
      <c r="N121" s="34" t="str">
        <f t="shared" si="8"/>
        <v>Economic | Market growth/ market size</v>
      </c>
      <c r="O121" s="34" t="s">
        <v>1153</v>
      </c>
      <c r="P121" s="34" t="s">
        <v>1154</v>
      </c>
      <c r="Q121" s="38"/>
      <c r="R121" s="38"/>
      <c r="S121" t="s">
        <v>1155</v>
      </c>
      <c r="T121">
        <v>2</v>
      </c>
      <c r="U121">
        <v>2</v>
      </c>
      <c r="V121">
        <v>2</v>
      </c>
      <c r="W121">
        <v>2</v>
      </c>
      <c r="X121" s="106">
        <f t="shared" si="10"/>
        <v>2</v>
      </c>
      <c r="Z121" s="34"/>
    </row>
    <row r="122" spans="1:26" hidden="1">
      <c r="A122" s="41">
        <f t="shared" si="9"/>
        <v>119</v>
      </c>
      <c r="B122" s="35" t="s">
        <v>1156</v>
      </c>
      <c r="C122" s="35" t="str">
        <f t="shared" si="6"/>
        <v>Hé lộ thêm quan hệ Apple – Google trong AI &amp; tìm kiếm</v>
      </c>
      <c r="D122" t="s">
        <v>119</v>
      </c>
      <c r="E122" s="105" t="str">
        <f>VLOOKUP(X122,'Updating-Scoring'!$C$2:$D$7,2,TRUE)</f>
        <v>3 - Market signal</v>
      </c>
      <c r="F122">
        <f t="shared" si="7"/>
        <v>15</v>
      </c>
      <c r="G122" s="110">
        <v>46119</v>
      </c>
      <c r="H122" t="s">
        <v>1157</v>
      </c>
      <c r="I122" s="143">
        <v>46110</v>
      </c>
      <c r="J122" t="s">
        <v>284</v>
      </c>
      <c r="K122" s="34" t="s">
        <v>428</v>
      </c>
      <c r="L122" s="34" t="s">
        <v>447</v>
      </c>
      <c r="M122" s="34" t="s">
        <v>474</v>
      </c>
      <c r="N122" s="34" t="str">
        <f t="shared" si="8"/>
        <v>Economic | M&amp;A activity</v>
      </c>
      <c r="O122" s="34" t="s">
        <v>1158</v>
      </c>
      <c r="P122" s="34" t="s">
        <v>1159</v>
      </c>
      <c r="Q122" s="38"/>
      <c r="R122" s="38"/>
      <c r="S122" t="s">
        <v>1160</v>
      </c>
      <c r="T122">
        <v>3</v>
      </c>
      <c r="U122">
        <v>4</v>
      </c>
      <c r="V122">
        <v>3</v>
      </c>
      <c r="W122">
        <v>3</v>
      </c>
      <c r="X122" s="106">
        <f t="shared" si="10"/>
        <v>3.25</v>
      </c>
      <c r="Z122" s="34"/>
    </row>
    <row r="123" spans="1:26" hidden="1">
      <c r="A123" s="41">
        <f t="shared" si="9"/>
        <v>120</v>
      </c>
      <c r="B123" s="35" t="s">
        <v>1161</v>
      </c>
      <c r="C123" s="35" t="str">
        <f t="shared" si="6"/>
        <v>Luật Sở hữu trí tuệ sửa đổi: Những điểm mới tác động đến nội dung số và AI</v>
      </c>
      <c r="D123" t="s">
        <v>131</v>
      </c>
      <c r="E123" s="105" t="str">
        <f>VLOOKUP(X123,'Updating-Scoring'!$C$2:$D$7,2,TRUE)</f>
        <v>3 - Market signal</v>
      </c>
      <c r="F123">
        <f t="shared" si="7"/>
        <v>15</v>
      </c>
      <c r="G123" s="34">
        <v>46119</v>
      </c>
      <c r="H123" t="s">
        <v>1162</v>
      </c>
      <c r="I123" s="143">
        <v>46115</v>
      </c>
      <c r="J123" t="s">
        <v>284</v>
      </c>
      <c r="K123" s="34" t="s">
        <v>431</v>
      </c>
      <c r="L123" s="34" t="s">
        <v>453</v>
      </c>
      <c r="M123" s="34" t="s">
        <v>86</v>
      </c>
      <c r="N123" s="34" t="str">
        <f t="shared" si="8"/>
        <v>Legal | AI</v>
      </c>
      <c r="O123" s="34" t="s">
        <v>1163</v>
      </c>
      <c r="P123" s="34" t="s">
        <v>1164</v>
      </c>
      <c r="Q123" s="38"/>
      <c r="R123" s="38"/>
      <c r="S123" t="s">
        <v>1165</v>
      </c>
      <c r="T123">
        <v>4</v>
      </c>
      <c r="U123">
        <v>3</v>
      </c>
      <c r="V123">
        <v>2</v>
      </c>
      <c r="W123">
        <v>3</v>
      </c>
      <c r="X123" s="106">
        <f t="shared" si="10"/>
        <v>3.2</v>
      </c>
      <c r="Z123" s="34"/>
    </row>
    <row r="124" spans="1:26" hidden="1">
      <c r="A124" s="41">
        <f t="shared" si="9"/>
        <v>121</v>
      </c>
      <c r="B124" s="35" t="s">
        <v>1166</v>
      </c>
      <c r="C124" s="35" t="str">
        <f t="shared" si="6"/>
        <v>Fintech Ấn Độ mở khóa tài chính y tế tự nguyện – Hướng đi mới của embedded finance</v>
      </c>
      <c r="D124" t="s">
        <v>364</v>
      </c>
      <c r="E124" s="105" t="str">
        <f>VLOOKUP(X124,'Updating-Scoring'!$C$2:$D$7,2,TRUE)</f>
        <v>2 - Minor signal</v>
      </c>
      <c r="F124">
        <f t="shared" si="7"/>
        <v>15</v>
      </c>
      <c r="G124" s="34">
        <v>46119</v>
      </c>
      <c r="H124" t="s">
        <v>1167</v>
      </c>
      <c r="I124" s="143">
        <v>46113</v>
      </c>
      <c r="J124" t="s">
        <v>284</v>
      </c>
      <c r="K124" s="34" t="s">
        <v>428</v>
      </c>
      <c r="L124" s="34" t="s">
        <v>447</v>
      </c>
      <c r="M124" s="34" t="s">
        <v>782</v>
      </c>
      <c r="N124" s="34" t="str">
        <f t="shared" si="8"/>
        <v>Economic | Fintech funding/ investment</v>
      </c>
      <c r="O124" s="34" t="s">
        <v>1168</v>
      </c>
      <c r="P124" s="34" t="s">
        <v>1169</v>
      </c>
      <c r="Q124" s="38"/>
      <c r="R124" s="38"/>
      <c r="S124" t="s">
        <v>1170</v>
      </c>
      <c r="T124">
        <v>3</v>
      </c>
      <c r="U124">
        <v>2</v>
      </c>
      <c r="V124">
        <v>2</v>
      </c>
      <c r="W124">
        <v>2</v>
      </c>
      <c r="X124" s="106">
        <f t="shared" si="10"/>
        <v>2.4</v>
      </c>
      <c r="Z124" s="34"/>
    </row>
    <row r="125" spans="1:26" hidden="1">
      <c r="A125" s="41">
        <f t="shared" si="9"/>
        <v>122</v>
      </c>
      <c r="B125" s="35" t="s">
        <v>1171</v>
      </c>
      <c r="C125" s="35" t="str">
        <f t="shared" si="6"/>
        <v>Ứng dụng United Airlines tích hợp thời gian chờ TSA – Mô hình vertical super-app</v>
      </c>
      <c r="D125" t="s">
        <v>1012</v>
      </c>
      <c r="E125" s="105" t="str">
        <f>VLOOKUP(X125,'Updating-Scoring'!$C$2:$D$7,2,TRUE)</f>
        <v>1 - Noise</v>
      </c>
      <c r="F125">
        <f t="shared" si="7"/>
        <v>15</v>
      </c>
      <c r="G125" s="34">
        <v>46119</v>
      </c>
      <c r="H125" t="s">
        <v>1172</v>
      </c>
      <c r="I125" s="143">
        <v>46114</v>
      </c>
      <c r="J125" t="s">
        <v>284</v>
      </c>
      <c r="K125" s="34" t="s">
        <v>428</v>
      </c>
      <c r="L125" s="34" t="s">
        <v>449</v>
      </c>
      <c r="M125" s="34" t="s">
        <v>723</v>
      </c>
      <c r="N125" s="34" t="str">
        <f t="shared" si="8"/>
        <v>Social | Digital lifestyle</v>
      </c>
      <c r="O125" s="34" t="s">
        <v>1173</v>
      </c>
      <c r="P125" s="34" t="s">
        <v>1174</v>
      </c>
      <c r="Q125" s="38"/>
      <c r="R125" s="38"/>
      <c r="S125" t="s">
        <v>1175</v>
      </c>
      <c r="T125">
        <v>2</v>
      </c>
      <c r="U125">
        <v>1</v>
      </c>
      <c r="V125">
        <v>1</v>
      </c>
      <c r="W125">
        <v>1</v>
      </c>
      <c r="X125" s="106">
        <f t="shared" si="10"/>
        <v>1.4</v>
      </c>
      <c r="Z125" s="34"/>
    </row>
    <row r="126" spans="1:26" hidden="1">
      <c r="A126" s="41">
        <f t="shared" si="9"/>
        <v>123</v>
      </c>
      <c r="B126" s="35" t="s">
        <v>1176</v>
      </c>
      <c r="C126" s="35" t="str">
        <f t="shared" si="6"/>
        <v>Chatbot xu nịnh: Khi AI được huấn luyện để làm hài lòng người dùng hơn là nói thật</v>
      </c>
      <c r="D126" t="s">
        <v>131</v>
      </c>
      <c r="E126" s="105" t="str">
        <f>VLOOKUP(X126,'Updating-Scoring'!$C$2:$D$7,2,TRUE)</f>
        <v>2 - Minor signal</v>
      </c>
      <c r="F126">
        <f t="shared" si="7"/>
        <v>15</v>
      </c>
      <c r="G126" s="34">
        <v>46119</v>
      </c>
      <c r="H126" t="s">
        <v>1177</v>
      </c>
      <c r="I126" s="143">
        <v>46111</v>
      </c>
      <c r="J126" t="s">
        <v>284</v>
      </c>
      <c r="K126" s="34" t="s">
        <v>428</v>
      </c>
      <c r="L126" s="34" t="s">
        <v>451</v>
      </c>
      <c r="M126" s="34" t="s">
        <v>483</v>
      </c>
      <c r="N126" s="34" t="str">
        <f t="shared" si="8"/>
        <v>Technology | AI/ Gen AI</v>
      </c>
      <c r="O126" s="34" t="s">
        <v>1178</v>
      </c>
      <c r="P126" s="34" t="s">
        <v>1179</v>
      </c>
      <c r="Q126" s="38"/>
      <c r="R126" s="38"/>
      <c r="S126" t="s">
        <v>1180</v>
      </c>
      <c r="T126">
        <v>3</v>
      </c>
      <c r="U126">
        <v>3</v>
      </c>
      <c r="V126">
        <v>2</v>
      </c>
      <c r="W126">
        <v>3</v>
      </c>
      <c r="X126" s="106">
        <f t="shared" si="10"/>
        <v>2.8</v>
      </c>
      <c r="Z126" s="34"/>
    </row>
    <row r="127" spans="1:26" hidden="1">
      <c r="A127" s="41">
        <f t="shared" si="9"/>
        <v>124</v>
      </c>
      <c r="B127" s="35" t="s">
        <v>1181</v>
      </c>
      <c r="C127" s="35" t="str">
        <f t="shared" si="6"/>
        <v>Người dùng di động tự xác thực SIM chính chủ trên VNEID – Triển khai toàn quốc</v>
      </c>
      <c r="D127" t="s">
        <v>131</v>
      </c>
      <c r="E127" s="105" t="str">
        <f>VLOOKUP(X127,'Updating-Scoring'!$C$2:$D$7,2,TRUE)</f>
        <v>2 - Minor signal</v>
      </c>
      <c r="F127">
        <f t="shared" si="7"/>
        <v>15</v>
      </c>
      <c r="G127" s="34">
        <v>46119</v>
      </c>
      <c r="H127" t="s">
        <v>1182</v>
      </c>
      <c r="I127" s="143">
        <v>46115</v>
      </c>
      <c r="J127" t="s">
        <v>284</v>
      </c>
      <c r="K127" s="34" t="s">
        <v>431</v>
      </c>
      <c r="L127" s="34" t="s">
        <v>445</v>
      </c>
      <c r="M127" s="34" t="s">
        <v>471</v>
      </c>
      <c r="N127" s="34" t="str">
        <f t="shared" si="8"/>
        <v>Political | National digital strategy</v>
      </c>
      <c r="O127" s="34" t="s">
        <v>1183</v>
      </c>
      <c r="P127" s="34" t="s">
        <v>1184</v>
      </c>
      <c r="Q127" s="38"/>
      <c r="R127" s="38"/>
      <c r="S127" t="s">
        <v>1185</v>
      </c>
      <c r="T127">
        <v>2</v>
      </c>
      <c r="U127">
        <v>4</v>
      </c>
      <c r="V127">
        <v>3</v>
      </c>
      <c r="W127">
        <v>2</v>
      </c>
      <c r="X127" s="106">
        <f t="shared" si="10"/>
        <v>2.7</v>
      </c>
      <c r="Z127" s="34"/>
    </row>
    <row r="128" spans="1:26" hidden="1">
      <c r="A128" s="41">
        <f t="shared" si="9"/>
        <v>125</v>
      </c>
      <c r="B128" s="35" t="s">
        <v>1186</v>
      </c>
      <c r="C128" s="35" t="str">
        <f t="shared" si="6"/>
        <v>Trung Quốc ban hành quy tắc TMĐT mới – EU lo ngại cạnh tranh không công bằng từ Temu và Shein</v>
      </c>
      <c r="D128" t="s">
        <v>364</v>
      </c>
      <c r="E128" s="105" t="str">
        <f>VLOOKUP(X128,'Updating-Scoring'!$C$2:$D$7,2,TRUE)</f>
        <v>2 - Minor signal</v>
      </c>
      <c r="F128">
        <f t="shared" si="7"/>
        <v>15</v>
      </c>
      <c r="G128" s="34">
        <v>46119</v>
      </c>
      <c r="H128" t="s">
        <v>1187</v>
      </c>
      <c r="I128" s="143">
        <v>46118</v>
      </c>
      <c r="J128" t="s">
        <v>284</v>
      </c>
      <c r="K128" s="34" t="s">
        <v>729</v>
      </c>
      <c r="L128" s="34" t="s">
        <v>445</v>
      </c>
      <c r="M128" s="34" t="s">
        <v>470</v>
      </c>
      <c r="N128" s="34" t="str">
        <f t="shared" si="8"/>
        <v>Political | Geopolitical tension</v>
      </c>
      <c r="O128" s="34" t="s">
        <v>1188</v>
      </c>
      <c r="P128" s="34" t="s">
        <v>1189</v>
      </c>
      <c r="Q128" s="38"/>
      <c r="R128" s="38"/>
      <c r="S128" t="s">
        <v>1190</v>
      </c>
      <c r="T128">
        <v>3</v>
      </c>
      <c r="U128">
        <v>3</v>
      </c>
      <c r="V128">
        <v>3</v>
      </c>
      <c r="W128">
        <v>2</v>
      </c>
      <c r="X128" s="106">
        <f t="shared" si="10"/>
        <v>2.85</v>
      </c>
      <c r="Z128" s="34"/>
    </row>
    <row r="129" spans="1:26" hidden="1">
      <c r="A129" s="41">
        <f t="shared" si="9"/>
        <v>126</v>
      </c>
      <c r="B129" s="35" t="s">
        <v>1191</v>
      </c>
      <c r="C129" s="35" t="str">
        <f t="shared" si="6"/>
        <v>TikTok xin cấp phép fintech tại Brazil – ByteDance đẩy mạnh chiến lược super-app toàn cầu</v>
      </c>
      <c r="D129" t="s">
        <v>364</v>
      </c>
      <c r="E129" s="105" t="str">
        <f>VLOOKUP(X129,'Updating-Scoring'!$C$2:$D$7,2,TRUE)</f>
        <v>2 - Minor signal</v>
      </c>
      <c r="F129">
        <f t="shared" si="7"/>
        <v>15</v>
      </c>
      <c r="G129" s="34">
        <v>46119</v>
      </c>
      <c r="H129" t="s">
        <v>1192</v>
      </c>
      <c r="I129" s="143">
        <v>46113</v>
      </c>
      <c r="J129" t="s">
        <v>284</v>
      </c>
      <c r="K129" s="34" t="s">
        <v>428</v>
      </c>
      <c r="L129" s="34" t="s">
        <v>453</v>
      </c>
      <c r="M129" s="34" t="s">
        <v>489</v>
      </c>
      <c r="N129" s="34" t="str">
        <f t="shared" si="8"/>
        <v>Legal | Fintech/ Wallet</v>
      </c>
      <c r="O129" s="34" t="s">
        <v>1193</v>
      </c>
      <c r="P129" s="34" t="s">
        <v>1194</v>
      </c>
      <c r="Q129" s="38"/>
      <c r="R129" s="38"/>
      <c r="S129" t="s">
        <v>1195</v>
      </c>
      <c r="T129">
        <v>3</v>
      </c>
      <c r="U129">
        <v>3</v>
      </c>
      <c r="V129">
        <v>3</v>
      </c>
      <c r="W129">
        <v>3</v>
      </c>
      <c r="X129" s="106">
        <f t="shared" si="10"/>
        <v>3</v>
      </c>
      <c r="Z129" s="34"/>
    </row>
    <row r="130" spans="1:26" hidden="1">
      <c r="A130" s="41">
        <f t="shared" si="9"/>
        <v>127</v>
      </c>
      <c r="B130" s="35" t="s">
        <v>1196</v>
      </c>
      <c r="C130" s="35" t="str">
        <f t="shared" si="6"/>
        <v>Beehiiv mở rộng sang podcast – Thách thức Patreon và Substack trong creator economy</v>
      </c>
      <c r="D130" t="s">
        <v>1012</v>
      </c>
      <c r="E130" s="105" t="str">
        <f>VLOOKUP(X130,'Updating-Scoring'!$C$2:$D$7,2,TRUE)</f>
        <v>1 - Noise</v>
      </c>
      <c r="F130">
        <f t="shared" si="7"/>
        <v>15</v>
      </c>
      <c r="G130" s="34">
        <v>46119</v>
      </c>
      <c r="H130" t="s">
        <v>1197</v>
      </c>
      <c r="I130" s="143">
        <v>46114</v>
      </c>
      <c r="J130" t="s">
        <v>284</v>
      </c>
      <c r="K130" s="34" t="s">
        <v>428</v>
      </c>
      <c r="L130" s="34" t="s">
        <v>449</v>
      </c>
      <c r="M130" s="34" t="s">
        <v>723</v>
      </c>
      <c r="N130" s="34" t="str">
        <f t="shared" si="8"/>
        <v>Social | Digital lifestyle</v>
      </c>
      <c r="O130" s="34" t="s">
        <v>1198</v>
      </c>
      <c r="P130" s="34" t="s">
        <v>1199</v>
      </c>
      <c r="Q130" s="38"/>
      <c r="R130" s="38"/>
      <c r="S130" t="s">
        <v>1200</v>
      </c>
      <c r="T130">
        <v>2</v>
      </c>
      <c r="U130">
        <v>2</v>
      </c>
      <c r="V130">
        <v>1</v>
      </c>
      <c r="W130">
        <v>2</v>
      </c>
      <c r="X130" s="106">
        <f t="shared" si="10"/>
        <v>1.8</v>
      </c>
      <c r="Z130" s="34"/>
    </row>
    <row r="131" spans="1:26" hidden="1">
      <c r="A131" s="41">
        <f t="shared" si="9"/>
        <v>128</v>
      </c>
      <c r="B131" s="35" t="s">
        <v>1201</v>
      </c>
      <c r="C131" s="35" t="str">
        <f t="shared" si="6"/>
        <v>Áo chặn JD.com mua Ceconomy – Làn sóng kiểm soát đầu tư Trung Quốc vào bán lẻ châu Âu</v>
      </c>
      <c r="D131" t="s">
        <v>364</v>
      </c>
      <c r="E131" s="105" t="str">
        <f>VLOOKUP(X131,'Updating-Scoring'!$C$2:$D$7,2,TRUE)</f>
        <v>2 - Minor signal</v>
      </c>
      <c r="F131">
        <f t="shared" si="7"/>
        <v>15</v>
      </c>
      <c r="G131" s="34">
        <v>46119</v>
      </c>
      <c r="H131" t="s">
        <v>1202</v>
      </c>
      <c r="I131" s="143">
        <v>46114</v>
      </c>
      <c r="J131" t="s">
        <v>284</v>
      </c>
      <c r="K131" s="34" t="s">
        <v>729</v>
      </c>
      <c r="L131" s="34" t="s">
        <v>445</v>
      </c>
      <c r="M131" s="34" t="s">
        <v>470</v>
      </c>
      <c r="N131" s="34" t="str">
        <f t="shared" si="8"/>
        <v>Political | Geopolitical tension</v>
      </c>
      <c r="O131" s="34" t="s">
        <v>1203</v>
      </c>
      <c r="P131" s="34" t="s">
        <v>1204</v>
      </c>
      <c r="Q131" s="38"/>
      <c r="R131" s="38"/>
      <c r="S131" t="s">
        <v>1205</v>
      </c>
      <c r="T131">
        <v>2</v>
      </c>
      <c r="U131">
        <v>2</v>
      </c>
      <c r="V131">
        <v>2</v>
      </c>
      <c r="W131">
        <v>1</v>
      </c>
      <c r="X131" s="106">
        <f t="shared" si="10"/>
        <v>1.85</v>
      </c>
      <c r="Z131" s="34"/>
    </row>
    <row r="132" spans="1:26" hidden="1">
      <c r="A132" s="41">
        <f t="shared" si="9"/>
        <v>129</v>
      </c>
      <c r="B132" s="35" t="s">
        <v>1206</v>
      </c>
      <c r="C132" s="35" t="str">
        <f t="shared" ref="C132:C195" si="11">HYPERLINK(B132,O132)</f>
        <v>Người dùng vô tình xây hồ sơ dữ liệu khi nộp thông tin cho AI – Rủi ro mới chưa được luật điều chỉnh</v>
      </c>
      <c r="D132" t="s">
        <v>104</v>
      </c>
      <c r="E132" s="105" t="str">
        <f>VLOOKUP(X132,'Updating-Scoring'!$C$2:$D$7,2,TRUE)</f>
        <v>2 - Minor signal</v>
      </c>
      <c r="F132">
        <f t="shared" ref="F132:F195" si="12">WEEKNUM(G132,2)</f>
        <v>15</v>
      </c>
      <c r="G132" s="34">
        <v>46119</v>
      </c>
      <c r="H132" t="s">
        <v>1207</v>
      </c>
      <c r="I132" s="143">
        <v>46113</v>
      </c>
      <c r="J132" t="s">
        <v>284</v>
      </c>
      <c r="K132" s="34" t="s">
        <v>431</v>
      </c>
      <c r="L132" s="34" t="s">
        <v>453</v>
      </c>
      <c r="M132" s="34" t="s">
        <v>492</v>
      </c>
      <c r="N132" s="34" t="str">
        <f t="shared" ref="N132:N195" si="13">L132&amp;" | "&amp;M132</f>
        <v>Legal | Data privacy</v>
      </c>
      <c r="O132" s="34" t="s">
        <v>1208</v>
      </c>
      <c r="P132" s="34" t="s">
        <v>1209</v>
      </c>
      <c r="Q132" s="38"/>
      <c r="R132" s="38"/>
      <c r="S132" t="s">
        <v>1210</v>
      </c>
      <c r="T132">
        <v>2</v>
      </c>
      <c r="U132">
        <v>3</v>
      </c>
      <c r="V132">
        <v>2</v>
      </c>
      <c r="W132">
        <v>3</v>
      </c>
      <c r="X132" s="106">
        <f t="shared" si="10"/>
        <v>2.4000000000000004</v>
      </c>
      <c r="Z132" s="34"/>
    </row>
    <row r="133" spans="1:26" hidden="1">
      <c r="A133" s="41">
        <f t="shared" ref="A133:A196" si="14">ROW()-3</f>
        <v>130</v>
      </c>
      <c r="B133" s="35" t="s">
        <v>1211</v>
      </c>
      <c r="C133" s="35" t="str">
        <f t="shared" si="11"/>
        <v>Cameo hợp tác TikTok – Đặt video từ người nổi tiếng trực tiếp trong hệ sinh thái TikTok</v>
      </c>
      <c r="D133" t="s">
        <v>1012</v>
      </c>
      <c r="E133" s="105" t="str">
        <f>VLOOKUP(X133,'Updating-Scoring'!$C$2:$D$7,2,TRUE)</f>
        <v>2 - Minor signal</v>
      </c>
      <c r="F133">
        <f t="shared" si="12"/>
        <v>15</v>
      </c>
      <c r="G133" s="34">
        <v>46119</v>
      </c>
      <c r="H133" t="s">
        <v>1212</v>
      </c>
      <c r="I133" s="143">
        <v>46113</v>
      </c>
      <c r="J133" t="s">
        <v>284</v>
      </c>
      <c r="K133" s="34" t="s">
        <v>428</v>
      </c>
      <c r="L133" s="34" t="s">
        <v>449</v>
      </c>
      <c r="M133" s="34" t="s">
        <v>723</v>
      </c>
      <c r="N133" s="34" t="str">
        <f t="shared" si="13"/>
        <v>Social | Digital lifestyle</v>
      </c>
      <c r="O133" s="34" t="s">
        <v>1213</v>
      </c>
      <c r="P133" s="34" t="s">
        <v>1214</v>
      </c>
      <c r="Q133" s="38"/>
      <c r="R133" s="38"/>
      <c r="S133" t="s">
        <v>1215</v>
      </c>
      <c r="T133">
        <v>2</v>
      </c>
      <c r="U133">
        <v>2</v>
      </c>
      <c r="V133">
        <v>3</v>
      </c>
      <c r="W133">
        <v>2</v>
      </c>
      <c r="X133" s="106">
        <f t="shared" si="10"/>
        <v>2.2000000000000002</v>
      </c>
      <c r="Z133" s="34"/>
    </row>
    <row r="134" spans="1:26" hidden="1">
      <c r="A134" s="41">
        <f t="shared" si="14"/>
        <v>131</v>
      </c>
      <c r="B134" s="35" t="s">
        <v>1216</v>
      </c>
      <c r="C134" s="35" t="str">
        <f t="shared" si="11"/>
        <v>Google cho dịch hội thoại trực tiếp trên iPhone</v>
      </c>
      <c r="D134" t="s">
        <v>131</v>
      </c>
      <c r="E134" s="105" t="str">
        <f>VLOOKUP(X134,'Updating-Scoring'!$C$2:$D$7,2,TRUE)</f>
        <v>3 - Market signal</v>
      </c>
      <c r="F134">
        <f t="shared" si="12"/>
        <v>15</v>
      </c>
      <c r="G134" s="110">
        <v>46119</v>
      </c>
      <c r="H134" t="s">
        <v>1217</v>
      </c>
      <c r="I134" s="143">
        <v>46113</v>
      </c>
      <c r="J134" t="s">
        <v>284</v>
      </c>
      <c r="K134" s="34" t="s">
        <v>428</v>
      </c>
      <c r="L134" s="34" t="s">
        <v>451</v>
      </c>
      <c r="M134" s="34" t="s">
        <v>483</v>
      </c>
      <c r="N134" s="34" t="str">
        <f t="shared" si="13"/>
        <v>Technology | AI/ Gen AI</v>
      </c>
      <c r="O134" s="34" t="s">
        <v>1218</v>
      </c>
      <c r="P134" s="34" t="s">
        <v>1219</v>
      </c>
      <c r="Q134" s="38"/>
      <c r="R134" s="38"/>
      <c r="S134" t="s">
        <v>1220</v>
      </c>
      <c r="T134">
        <v>3</v>
      </c>
      <c r="U134">
        <v>3</v>
      </c>
      <c r="V134">
        <v>4</v>
      </c>
      <c r="W134">
        <v>3</v>
      </c>
      <c r="X134" s="106">
        <f t="shared" si="10"/>
        <v>3.2</v>
      </c>
      <c r="Z134" s="34"/>
    </row>
    <row r="135" spans="1:26" hidden="1">
      <c r="A135" s="41">
        <f t="shared" si="14"/>
        <v>132</v>
      </c>
      <c r="B135" s="35" t="s">
        <v>1221</v>
      </c>
      <c r="C135" s="35" t="str">
        <f t="shared" si="11"/>
        <v>TikTok ra mắt mini‑game “bí mật” trong DM</v>
      </c>
      <c r="D135" t="s">
        <v>1012</v>
      </c>
      <c r="E135" s="105" t="str">
        <f>VLOOKUP(X135,'Updating-Scoring'!$C$2:$D$7,2,TRUE)</f>
        <v>3 - Market signal</v>
      </c>
      <c r="F135">
        <f t="shared" si="12"/>
        <v>15</v>
      </c>
      <c r="G135" s="110">
        <v>46119</v>
      </c>
      <c r="H135" t="s">
        <v>1222</v>
      </c>
      <c r="I135" s="143">
        <v>46112</v>
      </c>
      <c r="J135" t="s">
        <v>284</v>
      </c>
      <c r="K135" s="34" t="s">
        <v>428</v>
      </c>
      <c r="L135" s="34" t="s">
        <v>449</v>
      </c>
      <c r="M135" s="34" t="s">
        <v>723</v>
      </c>
      <c r="N135" s="34" t="str">
        <f t="shared" si="13"/>
        <v>Social | Digital lifestyle</v>
      </c>
      <c r="O135" s="34" t="s">
        <v>1223</v>
      </c>
      <c r="P135" s="34" t="s">
        <v>1224</v>
      </c>
      <c r="Q135" s="38"/>
      <c r="R135" s="38"/>
      <c r="S135" t="s">
        <v>1225</v>
      </c>
      <c r="T135">
        <v>3</v>
      </c>
      <c r="U135">
        <v>3</v>
      </c>
      <c r="V135">
        <v>4</v>
      </c>
      <c r="W135">
        <v>2</v>
      </c>
      <c r="X135" s="106">
        <f t="shared" si="10"/>
        <v>3.05</v>
      </c>
      <c r="Z135" s="34"/>
    </row>
    <row r="136" spans="1:26" hidden="1">
      <c r="A136" s="41">
        <f t="shared" si="14"/>
        <v>133</v>
      </c>
      <c r="B136" s="35" t="s">
        <v>1226</v>
      </c>
      <c r="C136" s="35" t="str">
        <f t="shared" si="11"/>
        <v>Kiosk thông minh xử lý thủ tục hành chính dưới 5 phút – Số hóa dịch vụ công tăng tốc</v>
      </c>
      <c r="D136" t="s">
        <v>131</v>
      </c>
      <c r="E136" s="105" t="str">
        <f>VLOOKUP(X136,'Updating-Scoring'!$C$2:$D$7,2,TRUE)</f>
        <v>2 - Minor signal</v>
      </c>
      <c r="F136">
        <f t="shared" si="12"/>
        <v>15</v>
      </c>
      <c r="G136" s="34">
        <v>46119</v>
      </c>
      <c r="H136" t="s">
        <v>1227</v>
      </c>
      <c r="I136" s="143">
        <v>46111</v>
      </c>
      <c r="J136" t="s">
        <v>284</v>
      </c>
      <c r="K136" s="34" t="s">
        <v>431</v>
      </c>
      <c r="L136" s="34" t="s">
        <v>445</v>
      </c>
      <c r="M136" s="34" t="s">
        <v>471</v>
      </c>
      <c r="N136" s="34" t="str">
        <f t="shared" si="13"/>
        <v>Political | National digital strategy</v>
      </c>
      <c r="O136" s="34" t="s">
        <v>1228</v>
      </c>
      <c r="P136" s="34" t="s">
        <v>1229</v>
      </c>
      <c r="Q136" s="38"/>
      <c r="R136" s="38"/>
      <c r="S136" t="s">
        <v>1230</v>
      </c>
      <c r="T136">
        <v>3</v>
      </c>
      <c r="U136">
        <v>3</v>
      </c>
      <c r="V136">
        <v>1</v>
      </c>
      <c r="W136">
        <v>2</v>
      </c>
      <c r="X136" s="106">
        <f t="shared" si="10"/>
        <v>2.4500000000000002</v>
      </c>
      <c r="Z136" s="34"/>
    </row>
    <row r="137" spans="1:26" hidden="1">
      <c r="A137" s="41">
        <f t="shared" si="14"/>
        <v>134</v>
      </c>
      <c r="B137" s="35" t="s">
        <v>1231</v>
      </c>
      <c r="C137" s="35" t="str">
        <f t="shared" si="11"/>
        <v>Truecaller đạt 500 triệu người dùng hàng tháng – Caller ID thành nền tảng identity toàn cầu</v>
      </c>
      <c r="D137" t="s">
        <v>1012</v>
      </c>
      <c r="E137" s="105" t="str">
        <f>VLOOKUP(X137,'Updating-Scoring'!$C$2:$D$7,2,TRUE)</f>
        <v>2 - Minor signal</v>
      </c>
      <c r="F137">
        <f t="shared" si="12"/>
        <v>15</v>
      </c>
      <c r="G137" s="34">
        <v>46119</v>
      </c>
      <c r="H137" t="s">
        <v>1232</v>
      </c>
      <c r="I137" s="143">
        <v>46112</v>
      </c>
      <c r="J137" t="s">
        <v>284</v>
      </c>
      <c r="K137" s="34" t="s">
        <v>428</v>
      </c>
      <c r="L137" s="34" t="s">
        <v>449</v>
      </c>
      <c r="M137" s="34" t="s">
        <v>479</v>
      </c>
      <c r="N137" s="34" t="str">
        <f t="shared" si="13"/>
        <v>Social | Digital adoption</v>
      </c>
      <c r="O137" s="34" t="s">
        <v>1233</v>
      </c>
      <c r="P137" s="34" t="s">
        <v>1234</v>
      </c>
      <c r="Q137" s="38"/>
      <c r="R137" s="38"/>
      <c r="S137" t="s">
        <v>1235</v>
      </c>
      <c r="T137">
        <v>3</v>
      </c>
      <c r="U137">
        <v>3</v>
      </c>
      <c r="V137">
        <v>2</v>
      </c>
      <c r="W137">
        <v>2</v>
      </c>
      <c r="X137" s="106">
        <f t="shared" si="10"/>
        <v>2.65</v>
      </c>
      <c r="Z137" s="34"/>
    </row>
    <row r="138" spans="1:26" hidden="1">
      <c r="A138" s="41">
        <f t="shared" si="14"/>
        <v>135</v>
      </c>
      <c r="B138" s="35" t="s">
        <v>1236</v>
      </c>
      <c r="C138" s="35" t="str">
        <f t="shared" si="11"/>
        <v>Wikipedia cấm toàn bộ nội dung do AI tạo ra – Precedent mới cho chất lượng thông tin số</v>
      </c>
      <c r="D138" t="s">
        <v>131</v>
      </c>
      <c r="E138" s="105" t="str">
        <f>VLOOKUP(X138,'Updating-Scoring'!$C$2:$D$7,2,TRUE)</f>
        <v>2 - Minor signal</v>
      </c>
      <c r="F138">
        <f t="shared" si="12"/>
        <v>15</v>
      </c>
      <c r="G138" s="34">
        <v>46119</v>
      </c>
      <c r="H138" t="s">
        <v>1237</v>
      </c>
      <c r="I138" s="143">
        <v>46112</v>
      </c>
      <c r="J138" t="s">
        <v>284</v>
      </c>
      <c r="K138" s="34" t="s">
        <v>428</v>
      </c>
      <c r="L138" s="34" t="s">
        <v>453</v>
      </c>
      <c r="M138" s="34" t="s">
        <v>86</v>
      </c>
      <c r="N138" s="34" t="str">
        <f t="shared" si="13"/>
        <v>Legal | AI</v>
      </c>
      <c r="O138" s="34" t="s">
        <v>1238</v>
      </c>
      <c r="P138" s="34" t="s">
        <v>1239</v>
      </c>
      <c r="Q138" s="38"/>
      <c r="R138" s="38"/>
      <c r="S138" t="s">
        <v>1240</v>
      </c>
      <c r="T138">
        <v>3</v>
      </c>
      <c r="U138">
        <v>3</v>
      </c>
      <c r="V138">
        <v>2</v>
      </c>
      <c r="W138">
        <v>3</v>
      </c>
      <c r="X138" s="106">
        <f t="shared" si="10"/>
        <v>2.8</v>
      </c>
      <c r="Z138" s="34"/>
    </row>
    <row r="139" spans="1:26" hidden="1">
      <c r="A139" s="41">
        <f t="shared" si="14"/>
        <v>136</v>
      </c>
      <c r="B139" s="35" t="s">
        <v>1241</v>
      </c>
      <c r="C139" s="35" t="str">
        <f t="shared" si="11"/>
        <v>Thiết bị đổi mới không xác thực lại khuôn mặt bị khóa 2 chiều sau 30 ngày – Siết chặt eKYC</v>
      </c>
      <c r="D139" t="s">
        <v>119</v>
      </c>
      <c r="E139" s="105" t="str">
        <f>VLOOKUP(X139,'Updating-Scoring'!$C$2:$D$7,2,TRUE)</f>
        <v>3 - Market signal</v>
      </c>
      <c r="F139">
        <f t="shared" si="12"/>
        <v>15</v>
      </c>
      <c r="G139" s="34">
        <v>46119</v>
      </c>
      <c r="H139" t="s">
        <v>1242</v>
      </c>
      <c r="I139" s="143">
        <v>46115</v>
      </c>
      <c r="J139" t="s">
        <v>284</v>
      </c>
      <c r="K139" s="34" t="s">
        <v>431</v>
      </c>
      <c r="L139" s="34" t="s">
        <v>453</v>
      </c>
      <c r="M139" s="34" t="s">
        <v>489</v>
      </c>
      <c r="N139" s="34" t="str">
        <f t="shared" si="13"/>
        <v>Legal | Fintech/ Wallet</v>
      </c>
      <c r="O139" s="34" t="s">
        <v>1243</v>
      </c>
      <c r="P139" s="34" t="s">
        <v>1244</v>
      </c>
      <c r="Q139" s="38"/>
      <c r="R139" s="38"/>
      <c r="S139" t="s">
        <v>1245</v>
      </c>
      <c r="T139">
        <v>4</v>
      </c>
      <c r="U139">
        <v>4</v>
      </c>
      <c r="V139">
        <v>2</v>
      </c>
      <c r="W139">
        <v>2</v>
      </c>
      <c r="X139" s="106">
        <f t="shared" si="10"/>
        <v>3.3</v>
      </c>
      <c r="Z139" s="34"/>
    </row>
    <row r="140" spans="1:26" hidden="1">
      <c r="A140" s="41">
        <f t="shared" si="14"/>
        <v>137</v>
      </c>
      <c r="B140" s="35" t="s">
        <v>1246</v>
      </c>
      <c r="C140" s="35" t="str">
        <f t="shared" si="11"/>
        <v>DeepSeek gặp sự cố AI kéo dài hơn 7 giờ</v>
      </c>
      <c r="D140" t="s">
        <v>85</v>
      </c>
      <c r="E140" s="105" t="str">
        <f>VLOOKUP(X140,'Updating-Scoring'!$C$2:$D$7,2,TRUE)</f>
        <v>3 - Market signal</v>
      </c>
      <c r="F140">
        <f t="shared" si="12"/>
        <v>15</v>
      </c>
      <c r="G140" s="110">
        <v>46119</v>
      </c>
      <c r="H140" t="s">
        <v>1247</v>
      </c>
      <c r="I140" s="143">
        <v>46113</v>
      </c>
      <c r="J140" t="s">
        <v>284</v>
      </c>
      <c r="K140" s="34" t="s">
        <v>729</v>
      </c>
      <c r="L140" s="34" t="s">
        <v>451</v>
      </c>
      <c r="M140" s="34" t="s">
        <v>483</v>
      </c>
      <c r="N140" s="34" t="str">
        <f t="shared" si="13"/>
        <v>Technology | AI/ Gen AI</v>
      </c>
      <c r="O140" s="34" t="s">
        <v>1248</v>
      </c>
      <c r="P140" s="34" t="s">
        <v>1249</v>
      </c>
      <c r="Q140" s="38"/>
      <c r="R140" s="38"/>
      <c r="S140" t="s">
        <v>1250</v>
      </c>
      <c r="T140">
        <v>3</v>
      </c>
      <c r="U140">
        <v>4</v>
      </c>
      <c r="V140">
        <v>2</v>
      </c>
      <c r="W140">
        <v>3</v>
      </c>
      <c r="X140" s="106">
        <f t="shared" si="10"/>
        <v>3.05</v>
      </c>
      <c r="Z140" s="34"/>
    </row>
    <row r="141" spans="1:26" hidden="1">
      <c r="A141" s="41">
        <f t="shared" si="14"/>
        <v>138</v>
      </c>
      <c r="B141" s="35" t="s">
        <v>1251</v>
      </c>
      <c r="C141" s="35" t="str">
        <f t="shared" si="11"/>
        <v>Cuộc đua AI tạo video sau khi OpenAI thu hẹp Sora</v>
      </c>
      <c r="D141" t="s">
        <v>104</v>
      </c>
      <c r="E141" s="105" t="str">
        <f>VLOOKUP(X141,'Updating-Scoring'!$C$2:$D$7,2,TRUE)</f>
        <v>3 - Market signal</v>
      </c>
      <c r="F141">
        <f t="shared" si="12"/>
        <v>15</v>
      </c>
      <c r="G141" s="110">
        <v>46119</v>
      </c>
      <c r="H141" t="s">
        <v>1252</v>
      </c>
      <c r="I141" s="143">
        <v>46112</v>
      </c>
      <c r="J141" t="s">
        <v>284</v>
      </c>
      <c r="K141" s="34" t="s">
        <v>428</v>
      </c>
      <c r="L141" s="34" t="s">
        <v>451</v>
      </c>
      <c r="M141" s="34" t="s">
        <v>483</v>
      </c>
      <c r="N141" s="34" t="str">
        <f t="shared" si="13"/>
        <v>Technology | AI/ Gen AI</v>
      </c>
      <c r="O141" s="34" t="s">
        <v>1253</v>
      </c>
      <c r="P141" s="34" t="s">
        <v>1254</v>
      </c>
      <c r="Q141" s="38"/>
      <c r="R141" s="38"/>
      <c r="S141" t="s">
        <v>1255</v>
      </c>
      <c r="T141">
        <v>3</v>
      </c>
      <c r="U141">
        <v>3</v>
      </c>
      <c r="V141">
        <v>2</v>
      </c>
      <c r="W141">
        <v>5</v>
      </c>
      <c r="X141" s="106">
        <f t="shared" si="10"/>
        <v>3.1</v>
      </c>
      <c r="Z141" s="34"/>
    </row>
    <row r="142" spans="1:26" hidden="1">
      <c r="A142" s="41">
        <f t="shared" si="14"/>
        <v>139</v>
      </c>
      <c r="B142" s="35" t="s">
        <v>1256</v>
      </c>
      <c r="C142" s="35" t="str">
        <f t="shared" si="11"/>
        <v>Bitget ra mắt thẻ Visa crypto tại APAC</v>
      </c>
      <c r="D142" t="s">
        <v>364</v>
      </c>
      <c r="E142" s="105" t="str">
        <f>VLOOKUP(X142,'Updating-Scoring'!$C$2:$D$7,2,TRUE)</f>
        <v>3 - Market signal</v>
      </c>
      <c r="F142">
        <f t="shared" si="12"/>
        <v>15</v>
      </c>
      <c r="G142" s="110">
        <v>46119</v>
      </c>
      <c r="H142" t="s">
        <v>1257</v>
      </c>
      <c r="I142" s="143">
        <v>46114</v>
      </c>
      <c r="J142" t="s">
        <v>284</v>
      </c>
      <c r="K142" s="34" t="s">
        <v>430</v>
      </c>
      <c r="L142" s="34" t="s">
        <v>447</v>
      </c>
      <c r="M142" s="34" t="s">
        <v>782</v>
      </c>
      <c r="N142" s="34" t="str">
        <f t="shared" si="13"/>
        <v>Economic | Fintech funding/ investment</v>
      </c>
      <c r="O142" s="34" t="s">
        <v>1258</v>
      </c>
      <c r="P142" s="34" t="s">
        <v>1259</v>
      </c>
      <c r="Q142" s="38"/>
      <c r="R142" s="38"/>
      <c r="S142" t="s">
        <v>1260</v>
      </c>
      <c r="T142">
        <v>3</v>
      </c>
      <c r="U142">
        <v>3</v>
      </c>
      <c r="V142">
        <v>3</v>
      </c>
      <c r="W142">
        <v>4</v>
      </c>
      <c r="X142" s="106">
        <f t="shared" si="10"/>
        <v>3.1500000000000004</v>
      </c>
      <c r="Z142" s="34"/>
    </row>
    <row r="143" spans="1:26" hidden="1">
      <c r="A143" s="41">
        <f t="shared" si="14"/>
        <v>140</v>
      </c>
      <c r="B143" s="35" t="s">
        <v>1261</v>
      </c>
      <c r="C143" s="35" t="str">
        <f t="shared" si="11"/>
        <v>Bluesky ra mắt Attie – AI cá nhân hóa feed bằng ngôn ngữ tự nhiên trong mạng xã hội phi tập trung</v>
      </c>
      <c r="D143" t="s">
        <v>1012</v>
      </c>
      <c r="E143" s="105" t="str">
        <f>VLOOKUP(X143,'Updating-Scoring'!$C$2:$D$7,2,TRUE)</f>
        <v>2 - Minor signal</v>
      </c>
      <c r="F143">
        <f t="shared" si="12"/>
        <v>15</v>
      </c>
      <c r="G143" s="34">
        <v>46119</v>
      </c>
      <c r="H143" t="s">
        <v>1262</v>
      </c>
      <c r="I143" s="143">
        <v>46109</v>
      </c>
      <c r="J143" t="s">
        <v>284</v>
      </c>
      <c r="K143" s="34" t="s">
        <v>428</v>
      </c>
      <c r="L143" s="34" t="s">
        <v>451</v>
      </c>
      <c r="M143" s="34" t="s">
        <v>483</v>
      </c>
      <c r="N143" s="34" t="str">
        <f t="shared" si="13"/>
        <v>Technology | AI/ Gen AI</v>
      </c>
      <c r="O143" s="34" t="s">
        <v>1263</v>
      </c>
      <c r="P143" s="34" t="s">
        <v>1264</v>
      </c>
      <c r="Q143" s="38"/>
      <c r="R143" s="38"/>
      <c r="S143" t="s">
        <v>1265</v>
      </c>
      <c r="T143">
        <v>3</v>
      </c>
      <c r="U143">
        <v>2</v>
      </c>
      <c r="V143">
        <v>2</v>
      </c>
      <c r="W143">
        <v>3</v>
      </c>
      <c r="X143" s="106">
        <f t="shared" si="10"/>
        <v>2.5499999999999998</v>
      </c>
      <c r="Z143" s="34"/>
    </row>
    <row r="144" spans="1:26" hidden="1">
      <c r="A144" s="41">
        <f t="shared" si="14"/>
        <v>141</v>
      </c>
      <c r="B144" s="35" t="s">
        <v>1266</v>
      </c>
      <c r="C144" s="35" t="str">
        <f t="shared" si="11"/>
        <v xml:space="preserve"> 82% người dùng Indonesia mua sắm online có yếu tố AI</v>
      </c>
      <c r="D144" t="s">
        <v>364</v>
      </c>
      <c r="E144" s="105" t="str">
        <f>VLOOKUP(X144,'Updating-Scoring'!$C$2:$D$7,2,TRUE)</f>
        <v>3 - Market signal</v>
      </c>
      <c r="F144">
        <f t="shared" si="12"/>
        <v>15</v>
      </c>
      <c r="G144" s="110">
        <v>46119</v>
      </c>
      <c r="H144" t="s">
        <v>1267</v>
      </c>
      <c r="I144" s="143">
        <v>46116</v>
      </c>
      <c r="J144" t="s">
        <v>284</v>
      </c>
      <c r="K144" s="34" t="s">
        <v>430</v>
      </c>
      <c r="L144" s="34" t="s">
        <v>449</v>
      </c>
      <c r="M144" s="34" t="s">
        <v>479</v>
      </c>
      <c r="N144" s="34" t="str">
        <f t="shared" si="13"/>
        <v>Social | Digital adoption</v>
      </c>
      <c r="O144" s="34" t="s">
        <v>1268</v>
      </c>
      <c r="P144" s="34" t="s">
        <v>1269</v>
      </c>
      <c r="Q144" s="38"/>
      <c r="R144" s="38"/>
      <c r="S144" t="s">
        <v>1270</v>
      </c>
      <c r="T144">
        <v>3</v>
      </c>
      <c r="U144">
        <v>4</v>
      </c>
      <c r="V144">
        <v>3</v>
      </c>
      <c r="W144">
        <v>3</v>
      </c>
      <c r="X144" s="106">
        <f t="shared" si="10"/>
        <v>3.25</v>
      </c>
      <c r="Z144" s="34"/>
    </row>
    <row r="145" spans="1:26" hidden="1">
      <c r="A145" s="41">
        <f t="shared" si="14"/>
        <v>142</v>
      </c>
      <c r="B145" s="35" t="s">
        <v>1271</v>
      </c>
      <c r="C145" s="35" t="str">
        <f t="shared" si="11"/>
        <v>MoMo nhà mình: Trạm kết nối gia đình</v>
      </c>
      <c r="D145" t="s">
        <v>610</v>
      </c>
      <c r="E145" s="105" t="str">
        <f>VLOOKUP(X145,'Updating-Scoring'!$C$2:$D$7,2,TRUE)</f>
        <v>4 - Strategic shift</v>
      </c>
      <c r="F145">
        <f t="shared" si="12"/>
        <v>15</v>
      </c>
      <c r="G145" s="110">
        <v>46119</v>
      </c>
      <c r="H145" t="s">
        <v>1272</v>
      </c>
      <c r="I145" s="34">
        <v>46114</v>
      </c>
      <c r="J145" t="s">
        <v>170</v>
      </c>
      <c r="K145" s="34" t="s">
        <v>432</v>
      </c>
      <c r="L145" s="34" t="s">
        <v>411</v>
      </c>
      <c r="M145" s="34" t="s">
        <v>501</v>
      </c>
      <c r="N145" s="34" t="str">
        <f t="shared" si="13"/>
        <v>Feature | New feature</v>
      </c>
      <c r="O145" t="s">
        <v>1273</v>
      </c>
      <c r="P145" s="109" t="s">
        <v>1274</v>
      </c>
      <c r="Q145" s="38">
        <v>46112</v>
      </c>
      <c r="R145" s="38"/>
      <c r="S145" t="s">
        <v>1275</v>
      </c>
      <c r="T145">
        <v>4</v>
      </c>
      <c r="U145">
        <v>4</v>
      </c>
      <c r="V145">
        <v>5</v>
      </c>
      <c r="W145">
        <v>3</v>
      </c>
      <c r="X145" s="106">
        <f t="shared" ref="X145:X208" si="15">IF(G145&lt;DATE(2026,4,30),T145*$T$1+U145*$U$1+V145*$V$1+W145*$W$1,T145*$T$2+U145*$U$2)</f>
        <v>4.05</v>
      </c>
      <c r="Y145" s="34" t="s">
        <v>607</v>
      </c>
      <c r="Z145" s="34" t="s">
        <v>1276</v>
      </c>
    </row>
    <row r="146" spans="1:26" hidden="1">
      <c r="A146" s="41">
        <f t="shared" si="14"/>
        <v>143</v>
      </c>
      <c r="B146" s="35" t="s">
        <v>1277</v>
      </c>
      <c r="C146" s="35" t="str">
        <f t="shared" si="11"/>
        <v>Chuyển tiền qua ví: chuyển tiền 111đ – Tổng giá trị tới 1 triệu xu; 10 triệu tiền mặt</v>
      </c>
      <c r="D146" t="s">
        <v>610</v>
      </c>
      <c r="E146" s="105" t="str">
        <f>VLOOKUP(X146,'Updating-Scoring'!$C$2:$D$7,2,TRUE)</f>
        <v>4 - Strategic shift</v>
      </c>
      <c r="F146">
        <f t="shared" si="12"/>
        <v>15</v>
      </c>
      <c r="G146" s="110">
        <v>46119</v>
      </c>
      <c r="H146" t="s">
        <v>1278</v>
      </c>
      <c r="I146" s="34">
        <v>46113</v>
      </c>
      <c r="J146" t="s">
        <v>170</v>
      </c>
      <c r="K146" s="34" t="s">
        <v>432</v>
      </c>
      <c r="L146" s="34" t="s">
        <v>457</v>
      </c>
      <c r="M146" s="34" t="s">
        <v>413</v>
      </c>
      <c r="N146" s="34" t="str">
        <f t="shared" si="13"/>
        <v>Marketing | User activation</v>
      </c>
      <c r="O146" t="s">
        <v>1279</v>
      </c>
      <c r="P146" s="109" t="s">
        <v>1280</v>
      </c>
      <c r="Q146" s="38">
        <v>46113</v>
      </c>
      <c r="R146" s="38">
        <v>46142</v>
      </c>
      <c r="S146" t="s">
        <v>1281</v>
      </c>
      <c r="T146">
        <v>4</v>
      </c>
      <c r="U146">
        <v>3</v>
      </c>
      <c r="V146">
        <v>5</v>
      </c>
      <c r="W146">
        <v>3</v>
      </c>
      <c r="X146" s="106">
        <f t="shared" si="15"/>
        <v>3.8</v>
      </c>
      <c r="Y146" s="34" t="s">
        <v>607</v>
      </c>
      <c r="Z146" s="34" t="s">
        <v>1282</v>
      </c>
    </row>
    <row r="147" spans="1:26" hidden="1">
      <c r="A147" s="41">
        <f t="shared" si="14"/>
        <v>144</v>
      </c>
      <c r="B147" s="35" t="s">
        <v>1283</v>
      </c>
      <c r="C147" s="35" t="str">
        <f t="shared" si="11"/>
        <v>MoMo x Guardian VN: Ưu đãi giảm 10% (tối đa 100.000đ) cho đơn đầu tiên trên app Guardian VN</v>
      </c>
      <c r="D147" t="s">
        <v>610</v>
      </c>
      <c r="E147" s="105" t="str">
        <f>VLOOKUP(X147,'Updating-Scoring'!$C$2:$D$7,2,TRUE)</f>
        <v>4 - Strategic shift</v>
      </c>
      <c r="F147">
        <f t="shared" si="12"/>
        <v>15</v>
      </c>
      <c r="G147" s="110">
        <v>46119</v>
      </c>
      <c r="H147" t="s">
        <v>1284</v>
      </c>
      <c r="I147" s="34">
        <v>46111</v>
      </c>
      <c r="J147" t="s">
        <v>170</v>
      </c>
      <c r="K147" s="34" t="s">
        <v>432</v>
      </c>
      <c r="L147" s="34" t="s">
        <v>459</v>
      </c>
      <c r="M147" s="34" t="s">
        <v>898</v>
      </c>
      <c r="N147" s="34" t="str">
        <f t="shared" si="13"/>
        <v>Partnership | Merchant partnership</v>
      </c>
      <c r="O147" t="s">
        <v>1285</v>
      </c>
      <c r="P147" s="109" t="s">
        <v>1286</v>
      </c>
      <c r="Q147" s="38">
        <v>46113</v>
      </c>
      <c r="R147" s="38">
        <v>46172</v>
      </c>
      <c r="S147" t="s">
        <v>1281</v>
      </c>
      <c r="T147">
        <v>4</v>
      </c>
      <c r="U147">
        <v>4</v>
      </c>
      <c r="V147">
        <v>5</v>
      </c>
      <c r="W147">
        <v>3</v>
      </c>
      <c r="X147" s="106">
        <f t="shared" si="15"/>
        <v>4.05</v>
      </c>
      <c r="Y147" s="34" t="s">
        <v>607</v>
      </c>
      <c r="Z147" s="34"/>
    </row>
    <row r="148" spans="1:26" hidden="1">
      <c r="A148" s="41">
        <f t="shared" si="14"/>
        <v>145</v>
      </c>
      <c r="B148" s="35" t="s">
        <v>1287</v>
      </c>
      <c r="C148" s="35" t="str">
        <f t="shared" si="11"/>
        <v>MoMo x NAPAS: Thanh toán Quốc tế qua MoMo tại Mạng lưới NAPAS: Hoàn tiền đến 50%</v>
      </c>
      <c r="D148" t="s">
        <v>610</v>
      </c>
      <c r="E148" s="105" t="str">
        <f>VLOOKUP(X148,'Updating-Scoring'!$C$2:$D$7,2,TRUE)</f>
        <v>4 - Strategic shift</v>
      </c>
      <c r="F148">
        <f t="shared" si="12"/>
        <v>15</v>
      </c>
      <c r="G148" s="110">
        <v>46119</v>
      </c>
      <c r="H148" t="s">
        <v>1288</v>
      </c>
      <c r="I148" s="34">
        <v>46119</v>
      </c>
      <c r="J148" t="s">
        <v>170</v>
      </c>
      <c r="K148" s="34" t="s">
        <v>432</v>
      </c>
      <c r="L148" s="34" t="s">
        <v>459</v>
      </c>
      <c r="M148" s="34" t="s">
        <v>1289</v>
      </c>
      <c r="N148" s="34" t="str">
        <f t="shared" si="13"/>
        <v>Partnership | Payment integration</v>
      </c>
      <c r="O148" t="s">
        <v>1290</v>
      </c>
      <c r="P148" s="109" t="s">
        <v>1291</v>
      </c>
      <c r="Q148" s="38">
        <v>46122</v>
      </c>
      <c r="R148" s="38">
        <v>46203</v>
      </c>
      <c r="S148" t="s">
        <v>1292</v>
      </c>
      <c r="T148">
        <v>5</v>
      </c>
      <c r="U148">
        <v>3</v>
      </c>
      <c r="V148">
        <v>5</v>
      </c>
      <c r="W148">
        <v>3</v>
      </c>
      <c r="X148" s="106">
        <f t="shared" si="15"/>
        <v>4.2</v>
      </c>
      <c r="Y148" s="34" t="s">
        <v>607</v>
      </c>
      <c r="Z148" s="34" t="s">
        <v>1293</v>
      </c>
    </row>
    <row r="149" spans="1:26" hidden="1">
      <c r="A149" s="41">
        <f t="shared" si="14"/>
        <v>146</v>
      </c>
      <c r="B149" s="35" t="s">
        <v>628</v>
      </c>
      <c r="C149" s="35" t="str">
        <f t="shared" si="11"/>
        <v>Ngày vàng mừng bạn trả lại: giới thiệu bạn bè, thưởng tiền mặt (Lần 2 trong năm)</v>
      </c>
      <c r="D149" t="s">
        <v>610</v>
      </c>
      <c r="E149" s="105" t="str">
        <f>VLOOKUP(X149,'Updating-Scoring'!$C$2:$D$7,2,TRUE)</f>
        <v>4 - Strategic shift</v>
      </c>
      <c r="F149">
        <f t="shared" si="12"/>
        <v>15</v>
      </c>
      <c r="G149" s="110">
        <v>46119</v>
      </c>
      <c r="H149" t="s">
        <v>1294</v>
      </c>
      <c r="I149" s="34">
        <v>46119</v>
      </c>
      <c r="J149" t="s">
        <v>170</v>
      </c>
      <c r="K149" s="34" t="s">
        <v>432</v>
      </c>
      <c r="L149" s="34" t="s">
        <v>457</v>
      </c>
      <c r="M149" s="34" t="s">
        <v>415</v>
      </c>
      <c r="N149" s="34" t="str">
        <f t="shared" si="13"/>
        <v>Marketing | User acquisition</v>
      </c>
      <c r="O149" t="s">
        <v>1295</v>
      </c>
      <c r="P149" s="109" t="s">
        <v>1296</v>
      </c>
      <c r="Q149" s="38">
        <v>46119</v>
      </c>
      <c r="R149" s="38">
        <v>46121</v>
      </c>
      <c r="S149" t="s">
        <v>1297</v>
      </c>
      <c r="T149">
        <v>4</v>
      </c>
      <c r="U149">
        <v>4</v>
      </c>
      <c r="V149">
        <v>5</v>
      </c>
      <c r="W149">
        <v>2</v>
      </c>
      <c r="X149" s="106">
        <f t="shared" si="15"/>
        <v>3.9</v>
      </c>
      <c r="Y149" s="34"/>
      <c r="Z149" s="34"/>
    </row>
    <row r="150" spans="1:26" hidden="1">
      <c r="A150" s="41">
        <f t="shared" si="14"/>
        <v>147</v>
      </c>
      <c r="B150" s="35" t="s">
        <v>1298</v>
      </c>
      <c r="C150" s="35" t="str">
        <f t="shared" si="11"/>
        <v>ZaloPay x VinPearl x VinWonders: Thanh toán ZaloPay nhận combo ưu đãi tới 2 triệu VNĐ</v>
      </c>
      <c r="D150" t="s">
        <v>920</v>
      </c>
      <c r="E150" s="105" t="str">
        <f>VLOOKUP(X150,'Updating-Scoring'!$C$2:$D$7,2,TRUE)</f>
        <v>4 - Strategic shift</v>
      </c>
      <c r="F150">
        <f t="shared" si="12"/>
        <v>15</v>
      </c>
      <c r="G150" s="110">
        <v>46119</v>
      </c>
      <c r="H150" t="s">
        <v>1299</v>
      </c>
      <c r="I150" s="34">
        <v>46119</v>
      </c>
      <c r="J150" t="s">
        <v>170</v>
      </c>
      <c r="K150" s="34" t="s">
        <v>434</v>
      </c>
      <c r="L150" s="34" t="s">
        <v>459</v>
      </c>
      <c r="M150" s="34" t="s">
        <v>898</v>
      </c>
      <c r="N150" s="34" t="str">
        <f t="shared" si="13"/>
        <v>Partnership | Merchant partnership</v>
      </c>
      <c r="O150" s="34" t="s">
        <v>1300</v>
      </c>
      <c r="P150" s="109" t="s">
        <v>1301</v>
      </c>
      <c r="Q150" s="38">
        <v>46119</v>
      </c>
      <c r="R150" s="38">
        <v>46387</v>
      </c>
      <c r="S150" t="s">
        <v>1302</v>
      </c>
      <c r="T150">
        <v>4</v>
      </c>
      <c r="U150">
        <v>4</v>
      </c>
      <c r="V150">
        <v>4</v>
      </c>
      <c r="W150">
        <v>2</v>
      </c>
      <c r="X150" s="106">
        <f t="shared" si="15"/>
        <v>3.7</v>
      </c>
      <c r="Y150" s="34" t="s">
        <v>607</v>
      </c>
      <c r="Z150" s="34" t="s">
        <v>1303</v>
      </c>
    </row>
    <row r="151" spans="1:26" hidden="1">
      <c r="A151" s="41">
        <f t="shared" si="14"/>
        <v>148</v>
      </c>
      <c r="B151" s="35"/>
      <c r="C151" s="35" t="str">
        <f t="shared" si="11"/>
        <v>ZaloPay triển khai Sale du lịch lễ lớn 4.4</v>
      </c>
      <c r="D151" t="s">
        <v>920</v>
      </c>
      <c r="E151" s="105" t="str">
        <f>VLOOKUP(X151,'Updating-Scoring'!$C$2:$D$7,2,TRUE)</f>
        <v>4 - Strategic shift</v>
      </c>
      <c r="F151">
        <f t="shared" si="12"/>
        <v>15</v>
      </c>
      <c r="G151" s="110">
        <v>46119</v>
      </c>
      <c r="H151" t="s">
        <v>1304</v>
      </c>
      <c r="I151" s="34">
        <v>46113</v>
      </c>
      <c r="J151" t="s">
        <v>170</v>
      </c>
      <c r="K151" s="34" t="s">
        <v>434</v>
      </c>
      <c r="L151" s="34" t="s">
        <v>457</v>
      </c>
      <c r="M151" s="34" t="s">
        <v>416</v>
      </c>
      <c r="N151" s="34" t="str">
        <f t="shared" si="13"/>
        <v>Marketing | Transaction growth</v>
      </c>
      <c r="O151" s="34" t="s">
        <v>1305</v>
      </c>
      <c r="P151" s="109" t="s">
        <v>1306</v>
      </c>
      <c r="Q151" s="38">
        <v>46113</v>
      </c>
      <c r="R151" s="38">
        <v>46119</v>
      </c>
      <c r="S151" t="s">
        <v>1307</v>
      </c>
      <c r="T151">
        <v>4</v>
      </c>
      <c r="U151">
        <v>4</v>
      </c>
      <c r="V151">
        <v>4</v>
      </c>
      <c r="W151">
        <v>2</v>
      </c>
      <c r="X151" s="106">
        <f t="shared" si="15"/>
        <v>3.7</v>
      </c>
      <c r="Y151" s="34" t="s">
        <v>607</v>
      </c>
      <c r="Z151" s="34" t="s">
        <v>811</v>
      </c>
    </row>
    <row r="152" spans="1:26" hidden="1">
      <c r="A152" s="41">
        <f t="shared" si="14"/>
        <v>149</v>
      </c>
      <c r="B152" s="35"/>
      <c r="C152" s="35" t="str">
        <f t="shared" si="11"/>
        <v>ZaloPay x Fahasa: Ưu đãi khi thanh toán bằng ZaloPay trên website/ app</v>
      </c>
      <c r="D152" t="s">
        <v>920</v>
      </c>
      <c r="E152" s="105" t="str">
        <f>VLOOKUP(X152,'Updating-Scoring'!$C$2:$D$7,2,TRUE)</f>
        <v>4 - Strategic shift</v>
      </c>
      <c r="F152">
        <f t="shared" si="12"/>
        <v>15</v>
      </c>
      <c r="G152" s="110">
        <v>46119</v>
      </c>
      <c r="H152" t="s">
        <v>1308</v>
      </c>
      <c r="I152" s="34">
        <v>46113</v>
      </c>
      <c r="J152" t="s">
        <v>170</v>
      </c>
      <c r="K152" s="34" t="s">
        <v>434</v>
      </c>
      <c r="L152" s="34" t="s">
        <v>459</v>
      </c>
      <c r="M152" s="34" t="s">
        <v>898</v>
      </c>
      <c r="N152" s="34" t="str">
        <f t="shared" si="13"/>
        <v>Partnership | Merchant partnership</v>
      </c>
      <c r="O152" s="34" t="s">
        <v>1309</v>
      </c>
      <c r="P152" s="109" t="s">
        <v>1310</v>
      </c>
      <c r="Q152" s="38">
        <v>46113</v>
      </c>
      <c r="R152" s="38">
        <v>46142</v>
      </c>
      <c r="S152" t="s">
        <v>1311</v>
      </c>
      <c r="T152">
        <v>4</v>
      </c>
      <c r="U152">
        <v>4</v>
      </c>
      <c r="V152">
        <v>4</v>
      </c>
      <c r="W152">
        <v>2</v>
      </c>
      <c r="X152" s="106">
        <f t="shared" si="15"/>
        <v>3.7</v>
      </c>
      <c r="Y152" s="34" t="s">
        <v>607</v>
      </c>
      <c r="Z152" s="34" t="s">
        <v>1312</v>
      </c>
    </row>
    <row r="153" spans="1:26" hidden="1">
      <c r="A153" s="41">
        <f t="shared" si="14"/>
        <v>150</v>
      </c>
      <c r="B153" s="35"/>
      <c r="C153" s="35" t="str">
        <f t="shared" si="11"/>
        <v>ZaloPay x YAME: Ưu đãi khi thanh toán bằng ZaloPay tại hệ thống YAME</v>
      </c>
      <c r="D153" t="s">
        <v>920</v>
      </c>
      <c r="E153" s="105" t="str">
        <f>VLOOKUP(X153,'Updating-Scoring'!$C$2:$D$7,2,TRUE)</f>
        <v>4 - Strategic shift</v>
      </c>
      <c r="F153">
        <f t="shared" si="12"/>
        <v>15</v>
      </c>
      <c r="G153" s="110">
        <v>46119</v>
      </c>
      <c r="H153" t="s">
        <v>1313</v>
      </c>
      <c r="I153" s="34">
        <v>46113</v>
      </c>
      <c r="J153" t="s">
        <v>170</v>
      </c>
      <c r="K153" s="34" t="s">
        <v>434</v>
      </c>
      <c r="L153" s="34" t="s">
        <v>459</v>
      </c>
      <c r="M153" s="34" t="s">
        <v>898</v>
      </c>
      <c r="N153" s="34" t="str">
        <f t="shared" si="13"/>
        <v>Partnership | Merchant partnership</v>
      </c>
      <c r="O153" s="34" t="s">
        <v>1314</v>
      </c>
      <c r="P153" s="109" t="s">
        <v>1315</v>
      </c>
      <c r="Q153" s="38">
        <v>46113</v>
      </c>
      <c r="R153" s="38">
        <v>46142</v>
      </c>
      <c r="S153" t="s">
        <v>1316</v>
      </c>
      <c r="T153">
        <v>4</v>
      </c>
      <c r="U153">
        <v>4</v>
      </c>
      <c r="V153">
        <v>4</v>
      </c>
      <c r="W153">
        <v>2</v>
      </c>
      <c r="X153" s="106">
        <f t="shared" si="15"/>
        <v>3.7</v>
      </c>
      <c r="Y153" s="34" t="s">
        <v>607</v>
      </c>
      <c r="Z153" s="34" t="s">
        <v>1317</v>
      </c>
    </row>
    <row r="154" spans="1:26" hidden="1">
      <c r="A154" s="41">
        <f t="shared" si="14"/>
        <v>151</v>
      </c>
      <c r="B154" s="35"/>
      <c r="C154" s="35" t="str">
        <f t="shared" si="11"/>
        <v>ZaloPay x Bit's: Ưu đãi khi thanh toán bằng ZaloPay trên website/ cửa hàng</v>
      </c>
      <c r="D154" t="s">
        <v>920</v>
      </c>
      <c r="E154" s="105" t="str">
        <f>VLOOKUP(X154,'Updating-Scoring'!$C$2:$D$7,2,TRUE)</f>
        <v>4 - Strategic shift</v>
      </c>
      <c r="F154">
        <f t="shared" si="12"/>
        <v>15</v>
      </c>
      <c r="G154" s="110">
        <v>46119</v>
      </c>
      <c r="H154" t="s">
        <v>1318</v>
      </c>
      <c r="I154" s="34">
        <v>46113</v>
      </c>
      <c r="J154" t="s">
        <v>170</v>
      </c>
      <c r="K154" s="34" t="s">
        <v>434</v>
      </c>
      <c r="L154" s="34" t="s">
        <v>459</v>
      </c>
      <c r="M154" s="34" t="s">
        <v>898</v>
      </c>
      <c r="N154" s="34" t="str">
        <f t="shared" si="13"/>
        <v>Partnership | Merchant partnership</v>
      </c>
      <c r="O154" s="34" t="s">
        <v>1319</v>
      </c>
      <c r="P154" s="109" t="s">
        <v>1320</v>
      </c>
      <c r="Q154" s="38">
        <v>46113</v>
      </c>
      <c r="R154" s="38">
        <v>46203</v>
      </c>
      <c r="S154" t="s">
        <v>1321</v>
      </c>
      <c r="T154">
        <v>4</v>
      </c>
      <c r="U154">
        <v>4</v>
      </c>
      <c r="V154">
        <v>4</v>
      </c>
      <c r="W154">
        <v>2</v>
      </c>
      <c r="X154" s="106">
        <f t="shared" si="15"/>
        <v>3.7</v>
      </c>
      <c r="Y154" s="34" t="s">
        <v>607</v>
      </c>
      <c r="Z154" s="34" t="s">
        <v>1317</v>
      </c>
    </row>
    <row r="155" spans="1:26" hidden="1">
      <c r="A155" s="41">
        <f t="shared" si="14"/>
        <v>152</v>
      </c>
      <c r="B155" s="35"/>
      <c r="C155" s="35" t="str">
        <f t="shared" si="11"/>
        <v>ZaloPay x NPH Game: Ưu đãi khi thanh toán nạp game lần đầu</v>
      </c>
      <c r="D155" t="s">
        <v>920</v>
      </c>
      <c r="E155" s="105" t="str">
        <f>VLOOKUP(X155,'Updating-Scoring'!$C$2:$D$7,2,TRUE)</f>
        <v>4 - Strategic shift</v>
      </c>
      <c r="F155">
        <f t="shared" si="12"/>
        <v>15</v>
      </c>
      <c r="G155" s="110">
        <v>46119</v>
      </c>
      <c r="H155" t="s">
        <v>1322</v>
      </c>
      <c r="I155" s="34">
        <v>46113</v>
      </c>
      <c r="J155" t="s">
        <v>170</v>
      </c>
      <c r="K155" s="34" t="s">
        <v>434</v>
      </c>
      <c r="L155" s="34" t="s">
        <v>459</v>
      </c>
      <c r="M155" s="34" t="s">
        <v>898</v>
      </c>
      <c r="N155" s="34" t="str">
        <f t="shared" si="13"/>
        <v>Partnership | Merchant partnership</v>
      </c>
      <c r="O155" s="34" t="s">
        <v>1323</v>
      </c>
      <c r="P155" s="109" t="s">
        <v>1324</v>
      </c>
      <c r="Q155" s="38">
        <v>46113</v>
      </c>
      <c r="R155" s="38">
        <v>46145</v>
      </c>
      <c r="S155" t="s">
        <v>1325</v>
      </c>
      <c r="T155">
        <v>4</v>
      </c>
      <c r="U155">
        <v>4</v>
      </c>
      <c r="V155">
        <v>4</v>
      </c>
      <c r="W155">
        <v>2</v>
      </c>
      <c r="X155" s="106">
        <f t="shared" si="15"/>
        <v>3.7</v>
      </c>
      <c r="Y155" s="34" t="s">
        <v>607</v>
      </c>
      <c r="Z155" s="34" t="s">
        <v>949</v>
      </c>
    </row>
    <row r="156" spans="1:26" hidden="1">
      <c r="A156" s="41">
        <f t="shared" si="14"/>
        <v>153</v>
      </c>
      <c r="B156" s="35"/>
      <c r="C156" s="35" t="str">
        <f t="shared" si="11"/>
        <v>Grab áp dụng gamification milestone để tăng tần suất sử dụng GrabExpress trong tệp seller SME</v>
      </c>
      <c r="D156" t="s">
        <v>1326</v>
      </c>
      <c r="E156" s="105" t="str">
        <f>VLOOKUP(X156,'Updating-Scoring'!$C$2:$D$7,2,TRUE)</f>
        <v>3 - Market signal</v>
      </c>
      <c r="F156">
        <f t="shared" si="12"/>
        <v>15</v>
      </c>
      <c r="G156" s="110">
        <v>46120</v>
      </c>
      <c r="H156" t="s">
        <v>1327</v>
      </c>
      <c r="I156" s="34">
        <v>46113</v>
      </c>
      <c r="J156" t="s">
        <v>170</v>
      </c>
      <c r="K156" s="34" t="s">
        <v>438</v>
      </c>
      <c r="L156" s="34" t="s">
        <v>457</v>
      </c>
      <c r="M156" s="34" t="s">
        <v>416</v>
      </c>
      <c r="N156" s="34" t="str">
        <f t="shared" si="13"/>
        <v>Marketing | Transaction growth</v>
      </c>
      <c r="O156" s="34" t="s">
        <v>1328</v>
      </c>
      <c r="P156" s="38" t="s">
        <v>1329</v>
      </c>
      <c r="Q156" s="38">
        <v>46113</v>
      </c>
      <c r="R156" s="38">
        <v>46142</v>
      </c>
      <c r="S156" t="s">
        <v>1330</v>
      </c>
      <c r="T156">
        <v>3</v>
      </c>
      <c r="U156">
        <v>3</v>
      </c>
      <c r="V156">
        <v>4</v>
      </c>
      <c r="W156">
        <v>2</v>
      </c>
      <c r="X156" s="106">
        <f t="shared" si="15"/>
        <v>3.05</v>
      </c>
      <c r="Y156" s="34" t="s">
        <v>1331</v>
      </c>
      <c r="Z156" s="34" t="s">
        <v>1332</v>
      </c>
    </row>
    <row r="157" spans="1:26" hidden="1">
      <c r="A157" s="41">
        <f t="shared" si="14"/>
        <v>154</v>
      </c>
      <c r="B157" s="35"/>
      <c r="C157" s="35" t="str">
        <f t="shared" si="11"/>
        <v>Thanh toán hóa đơn - Cơ hội trúng xe điện và chai 20 triệu xu</v>
      </c>
      <c r="D157" t="s">
        <v>920</v>
      </c>
      <c r="E157" s="105" t="str">
        <f>VLOOKUP(X157,'Updating-Scoring'!$C$2:$D$7,2,TRUE)</f>
        <v>4 - Strategic shift</v>
      </c>
      <c r="F157">
        <f t="shared" si="12"/>
        <v>15</v>
      </c>
      <c r="G157" s="110">
        <v>46119</v>
      </c>
      <c r="H157" t="s">
        <v>1333</v>
      </c>
      <c r="I157" s="34">
        <v>46113</v>
      </c>
      <c r="J157" t="s">
        <v>170</v>
      </c>
      <c r="K157" s="34" t="s">
        <v>434</v>
      </c>
      <c r="L157" s="34" t="s">
        <v>457</v>
      </c>
      <c r="M157" s="34" t="s">
        <v>416</v>
      </c>
      <c r="N157" s="34" t="str">
        <f t="shared" si="13"/>
        <v>Marketing | Transaction growth</v>
      </c>
      <c r="O157" s="34" t="s">
        <v>1334</v>
      </c>
      <c r="P157" s="109" t="s">
        <v>1335</v>
      </c>
      <c r="Q157" s="38">
        <v>46113</v>
      </c>
      <c r="R157" s="38">
        <v>46142</v>
      </c>
      <c r="S157" t="s">
        <v>1336</v>
      </c>
      <c r="T157">
        <v>4</v>
      </c>
      <c r="U157">
        <v>4</v>
      </c>
      <c r="V157">
        <v>4</v>
      </c>
      <c r="W157">
        <v>2</v>
      </c>
      <c r="X157" s="106">
        <f t="shared" si="15"/>
        <v>3.7</v>
      </c>
      <c r="Y157" s="34" t="s">
        <v>607</v>
      </c>
      <c r="Z157" s="34" t="s">
        <v>1337</v>
      </c>
    </row>
    <row r="158" spans="1:26" hidden="1">
      <c r="A158" s="41">
        <f t="shared" si="14"/>
        <v>155</v>
      </c>
      <c r="B158" s="35"/>
      <c r="C158" s="35" t="str">
        <f t="shared" si="11"/>
        <v>GrabCar xe điện: Ưu đãi giảm 20%</v>
      </c>
      <c r="D158" t="s">
        <v>1338</v>
      </c>
      <c r="E158" s="105" t="str">
        <f>VLOOKUP(X158,'Updating-Scoring'!$C$2:$D$7,2,TRUE)</f>
        <v>4 - Strategic shift</v>
      </c>
      <c r="F158">
        <f t="shared" si="12"/>
        <v>15</v>
      </c>
      <c r="G158" s="110">
        <v>46120</v>
      </c>
      <c r="H158" t="s">
        <v>1339</v>
      </c>
      <c r="I158" s="34">
        <v>46113</v>
      </c>
      <c r="J158" t="s">
        <v>170</v>
      </c>
      <c r="K158" s="34" t="s">
        <v>438</v>
      </c>
      <c r="L158" s="34" t="s">
        <v>457</v>
      </c>
      <c r="M158" s="34" t="s">
        <v>413</v>
      </c>
      <c r="N158" s="34" t="str">
        <f t="shared" si="13"/>
        <v>Marketing | User activation</v>
      </c>
      <c r="O158" s="34" t="s">
        <v>1340</v>
      </c>
      <c r="P158" s="109" t="s">
        <v>1341</v>
      </c>
      <c r="Q158" s="38">
        <v>46113</v>
      </c>
      <c r="R158" s="38">
        <v>46142</v>
      </c>
      <c r="S158" t="s">
        <v>1342</v>
      </c>
      <c r="T158">
        <v>4</v>
      </c>
      <c r="U158">
        <v>4</v>
      </c>
      <c r="V158">
        <v>4</v>
      </c>
      <c r="W158">
        <v>2</v>
      </c>
      <c r="X158" s="106">
        <f t="shared" si="15"/>
        <v>3.7</v>
      </c>
      <c r="Y158" s="34" t="s">
        <v>1343</v>
      </c>
      <c r="Z158" s="34" t="s">
        <v>1344</v>
      </c>
    </row>
    <row r="159" spans="1:26" hidden="1">
      <c r="A159" s="41">
        <f t="shared" si="14"/>
        <v>156</v>
      </c>
      <c r="B159" s="35"/>
      <c r="C159" s="35" t="str">
        <f t="shared" si="11"/>
        <v>GrabBike Tiếng Anh: Ưu đãi giảm 20%</v>
      </c>
      <c r="D159" t="s">
        <v>1338</v>
      </c>
      <c r="E159" s="105" t="str">
        <f>VLOOKUP(X159,'Updating-Scoring'!$C$2:$D$7,2,TRUE)</f>
        <v>5 - Industry disruption</v>
      </c>
      <c r="F159">
        <f t="shared" si="12"/>
        <v>15</v>
      </c>
      <c r="G159" s="110">
        <v>46120</v>
      </c>
      <c r="H159" t="s">
        <v>1345</v>
      </c>
      <c r="I159" s="34">
        <v>46113</v>
      </c>
      <c r="J159" t="s">
        <v>170</v>
      </c>
      <c r="K159" s="34" t="s">
        <v>438</v>
      </c>
      <c r="L159" s="34" t="s">
        <v>457</v>
      </c>
      <c r="M159" s="34" t="s">
        <v>415</v>
      </c>
      <c r="N159" s="34" t="str">
        <f t="shared" si="13"/>
        <v>Marketing | User acquisition</v>
      </c>
      <c r="O159" s="34" t="s">
        <v>1346</v>
      </c>
      <c r="P159" s="109" t="s">
        <v>1347</v>
      </c>
      <c r="Q159" s="38">
        <v>46114</v>
      </c>
      <c r="R159" s="38">
        <v>46234</v>
      </c>
      <c r="S159" s="144" t="s">
        <v>1348</v>
      </c>
      <c r="T159">
        <v>34</v>
      </c>
      <c r="U159">
        <v>4</v>
      </c>
      <c r="V159">
        <v>4</v>
      </c>
      <c r="W159">
        <v>2</v>
      </c>
      <c r="X159" s="106">
        <f t="shared" si="15"/>
        <v>15.700000000000003</v>
      </c>
      <c r="Y159" s="34" t="s">
        <v>1343</v>
      </c>
      <c r="Z159" s="34" t="s">
        <v>1349</v>
      </c>
    </row>
    <row r="160" spans="1:26" hidden="1">
      <c r="A160" s="41">
        <f t="shared" si="14"/>
        <v>157</v>
      </c>
      <c r="B160" s="35"/>
      <c r="C160" s="35" t="str">
        <f t="shared" si="11"/>
        <v>GrabBike Tiếng Anh: Nhận thêm 30%, tối đa 1.500 xu</v>
      </c>
      <c r="D160" t="s">
        <v>1338</v>
      </c>
      <c r="E160" s="105" t="str">
        <f>VLOOKUP(X160,'Updating-Scoring'!$C$2:$D$7,2,TRUE)</f>
        <v>5 - Industry disruption</v>
      </c>
      <c r="F160">
        <f t="shared" si="12"/>
        <v>15</v>
      </c>
      <c r="G160" s="110">
        <v>46120</v>
      </c>
      <c r="H160" t="s">
        <v>1350</v>
      </c>
      <c r="I160" s="34">
        <v>46113</v>
      </c>
      <c r="J160" t="s">
        <v>170</v>
      </c>
      <c r="K160" s="34" t="s">
        <v>438</v>
      </c>
      <c r="L160" s="34" t="s">
        <v>457</v>
      </c>
      <c r="M160" s="34" t="s">
        <v>415</v>
      </c>
      <c r="N160" s="34" t="str">
        <f t="shared" si="13"/>
        <v>Marketing | User acquisition</v>
      </c>
      <c r="O160" s="34" t="s">
        <v>1351</v>
      </c>
      <c r="P160" s="109" t="s">
        <v>1352</v>
      </c>
      <c r="Q160" s="38">
        <v>46114</v>
      </c>
      <c r="R160" s="38">
        <v>46234</v>
      </c>
      <c r="S160" t="s">
        <v>1353</v>
      </c>
      <c r="T160">
        <v>34</v>
      </c>
      <c r="U160">
        <v>4</v>
      </c>
      <c r="V160">
        <v>4</v>
      </c>
      <c r="W160">
        <v>2</v>
      </c>
      <c r="X160" s="106">
        <f t="shared" si="15"/>
        <v>15.700000000000003</v>
      </c>
      <c r="Y160" s="34" t="s">
        <v>1343</v>
      </c>
      <c r="Z160" s="34" t="s">
        <v>1349</v>
      </c>
    </row>
    <row r="161" spans="1:26" hidden="1">
      <c r="A161" s="41">
        <f t="shared" si="14"/>
        <v>158</v>
      </c>
      <c r="B161" s="35"/>
      <c r="C161" s="35" t="str">
        <f t="shared" si="11"/>
        <v>GrabCar: Giảm 10% tối đa 50k cho các chuyến có điểm đón trả nhất định</v>
      </c>
      <c r="D161" t="s">
        <v>1338</v>
      </c>
      <c r="E161" s="105" t="str">
        <f>VLOOKUP(X161,'Updating-Scoring'!$C$2:$D$7,2,TRUE)</f>
        <v>3 - Market signal</v>
      </c>
      <c r="F161">
        <f t="shared" si="12"/>
        <v>15</v>
      </c>
      <c r="G161" s="110">
        <v>46120</v>
      </c>
      <c r="H161" t="s">
        <v>1354</v>
      </c>
      <c r="I161" s="34">
        <v>46113</v>
      </c>
      <c r="J161" t="s">
        <v>170</v>
      </c>
      <c r="K161" s="34" t="s">
        <v>438</v>
      </c>
      <c r="L161" s="34" t="s">
        <v>457</v>
      </c>
      <c r="M161" s="34" t="s">
        <v>413</v>
      </c>
      <c r="N161" s="34" t="str">
        <f t="shared" si="13"/>
        <v>Marketing | User activation</v>
      </c>
      <c r="O161" s="34" t="s">
        <v>1355</v>
      </c>
      <c r="P161" s="109" t="s">
        <v>1356</v>
      </c>
      <c r="Q161" s="38">
        <v>46113</v>
      </c>
      <c r="R161" s="38">
        <v>46142</v>
      </c>
      <c r="S161" t="s">
        <v>1357</v>
      </c>
      <c r="T161">
        <v>3</v>
      </c>
      <c r="U161">
        <v>4</v>
      </c>
      <c r="V161">
        <v>4</v>
      </c>
      <c r="W161">
        <v>2</v>
      </c>
      <c r="X161" s="106">
        <f t="shared" si="15"/>
        <v>3.3</v>
      </c>
      <c r="Y161" s="34" t="s">
        <v>1343</v>
      </c>
      <c r="Z161" s="34" t="s">
        <v>1344</v>
      </c>
    </row>
    <row r="162" spans="1:26" hidden="1">
      <c r="A162" s="41">
        <f t="shared" si="14"/>
        <v>159</v>
      </c>
      <c r="B162" s="35"/>
      <c r="C162" s="35" t="str">
        <f t="shared" si="11"/>
        <v>GrabCar: Thưởng 10% GrabXu tối đa 1500 xu</v>
      </c>
      <c r="D162" t="s">
        <v>1338</v>
      </c>
      <c r="E162" s="105" t="str">
        <f>VLOOKUP(X162,'Updating-Scoring'!$C$2:$D$7,2,TRUE)</f>
        <v>3 - Market signal</v>
      </c>
      <c r="F162">
        <f t="shared" si="12"/>
        <v>15</v>
      </c>
      <c r="G162" s="110">
        <v>46120</v>
      </c>
      <c r="H162" t="s">
        <v>1358</v>
      </c>
      <c r="I162" s="34">
        <v>46113</v>
      </c>
      <c r="J162" t="s">
        <v>170</v>
      </c>
      <c r="K162" s="34" t="s">
        <v>438</v>
      </c>
      <c r="L162" s="34" t="s">
        <v>457</v>
      </c>
      <c r="M162" s="34" t="s">
        <v>413</v>
      </c>
      <c r="N162" s="34" t="str">
        <f t="shared" si="13"/>
        <v>Marketing | User activation</v>
      </c>
      <c r="O162" s="34" t="s">
        <v>1359</v>
      </c>
      <c r="P162" s="109" t="s">
        <v>1360</v>
      </c>
      <c r="Q162" s="38">
        <v>46113</v>
      </c>
      <c r="R162" s="38">
        <v>46142</v>
      </c>
      <c r="S162" t="s">
        <v>1361</v>
      </c>
      <c r="T162">
        <v>3</v>
      </c>
      <c r="U162">
        <v>4</v>
      </c>
      <c r="V162">
        <v>4</v>
      </c>
      <c r="W162">
        <v>2</v>
      </c>
      <c r="X162" s="106">
        <f t="shared" si="15"/>
        <v>3.3</v>
      </c>
      <c r="Y162" s="34" t="s">
        <v>1343</v>
      </c>
      <c r="Z162" s="34" t="s">
        <v>1344</v>
      </c>
    </row>
    <row r="163" spans="1:26" hidden="1">
      <c r="A163" s="41">
        <f t="shared" si="14"/>
        <v>160</v>
      </c>
      <c r="B163" s="35"/>
      <c r="C163" s="35" t="str">
        <f t="shared" si="11"/>
        <v>GrabBike: Giảm 10% tối đa 50k cho các chuyến có điểm đón trả nhất định</v>
      </c>
      <c r="D163" t="s">
        <v>1338</v>
      </c>
      <c r="E163" s="105" t="str">
        <f>VLOOKUP(X163,'Updating-Scoring'!$C$2:$D$7,2,TRUE)</f>
        <v>3 - Market signal</v>
      </c>
      <c r="F163">
        <f t="shared" si="12"/>
        <v>15</v>
      </c>
      <c r="G163" s="34">
        <v>46120</v>
      </c>
      <c r="H163" t="s">
        <v>1362</v>
      </c>
      <c r="I163" s="34">
        <v>46113</v>
      </c>
      <c r="J163" t="s">
        <v>170</v>
      </c>
      <c r="K163" s="34" t="s">
        <v>438</v>
      </c>
      <c r="L163" s="34" t="s">
        <v>457</v>
      </c>
      <c r="M163" s="34" t="s">
        <v>413</v>
      </c>
      <c r="N163" s="34" t="str">
        <f t="shared" si="13"/>
        <v>Marketing | User activation</v>
      </c>
      <c r="O163" s="34" t="s">
        <v>1363</v>
      </c>
      <c r="P163" s="109" t="s">
        <v>1364</v>
      </c>
      <c r="Q163" s="38">
        <v>46113</v>
      </c>
      <c r="R163" s="38">
        <v>46142</v>
      </c>
      <c r="S163" t="s">
        <v>1365</v>
      </c>
      <c r="T163">
        <v>3</v>
      </c>
      <c r="U163">
        <v>4</v>
      </c>
      <c r="V163">
        <v>4</v>
      </c>
      <c r="W163">
        <v>2</v>
      </c>
      <c r="X163" s="106">
        <f t="shared" si="15"/>
        <v>3.3</v>
      </c>
      <c r="Y163" s="34" t="s">
        <v>1343</v>
      </c>
      <c r="Z163" s="34" t="s">
        <v>1349</v>
      </c>
    </row>
    <row r="164" spans="1:26" hidden="1">
      <c r="A164" s="41">
        <f t="shared" si="14"/>
        <v>161</v>
      </c>
      <c r="B164" s="35"/>
      <c r="C164" s="35" t="str">
        <f t="shared" si="11"/>
        <v>Đặt trước chuyến xe: Thưởng 15% Grab xu tối đa 3.000</v>
      </c>
      <c r="D164" t="s">
        <v>1338</v>
      </c>
      <c r="E164" s="105" t="str">
        <f>VLOOKUP(X164,'Updating-Scoring'!$C$2:$D$7,2,TRUE)</f>
        <v>3 - Market signal</v>
      </c>
      <c r="F164">
        <f t="shared" si="12"/>
        <v>15</v>
      </c>
      <c r="G164" s="110">
        <v>46120</v>
      </c>
      <c r="H164" t="s">
        <v>1366</v>
      </c>
      <c r="I164" s="34">
        <v>46113</v>
      </c>
      <c r="J164" t="s">
        <v>170</v>
      </c>
      <c r="K164" s="34" t="s">
        <v>438</v>
      </c>
      <c r="L164" s="34" t="s">
        <v>457</v>
      </c>
      <c r="M164" s="34" t="s">
        <v>413</v>
      </c>
      <c r="N164" s="34" t="str">
        <f t="shared" si="13"/>
        <v>Marketing | User activation</v>
      </c>
      <c r="O164" s="34" t="s">
        <v>1367</v>
      </c>
      <c r="P164" s="109" t="s">
        <v>1368</v>
      </c>
      <c r="Q164" s="38">
        <v>46113</v>
      </c>
      <c r="R164" s="38">
        <v>46173</v>
      </c>
      <c r="S164" t="s">
        <v>1369</v>
      </c>
      <c r="T164">
        <v>3</v>
      </c>
      <c r="U164">
        <v>4</v>
      </c>
      <c r="V164">
        <v>4</v>
      </c>
      <c r="W164">
        <v>2</v>
      </c>
      <c r="X164" s="106">
        <f t="shared" si="15"/>
        <v>3.3</v>
      </c>
      <c r="Y164" s="34" t="s">
        <v>1343</v>
      </c>
      <c r="Z164" s="34" t="s">
        <v>1370</v>
      </c>
    </row>
    <row r="165" spans="1:26" hidden="1">
      <c r="A165" s="41">
        <f t="shared" si="14"/>
        <v>162</v>
      </c>
      <c r="B165" s="35"/>
      <c r="C165" s="35" t="str">
        <f t="shared" si="11"/>
        <v>GrabFood x Nestlé Professional: Flashsale giảm 50%</v>
      </c>
      <c r="D165" t="s">
        <v>1326</v>
      </c>
      <c r="E165" s="105" t="str">
        <f>VLOOKUP(X165,'Updating-Scoring'!$C$2:$D$7,2,TRUE)</f>
        <v>3 - Market signal</v>
      </c>
      <c r="F165">
        <f t="shared" si="12"/>
        <v>15</v>
      </c>
      <c r="G165" s="34">
        <v>46120</v>
      </c>
      <c r="H165" t="s">
        <v>1371</v>
      </c>
      <c r="I165" s="34">
        <v>46116</v>
      </c>
      <c r="J165" t="s">
        <v>170</v>
      </c>
      <c r="K165" s="34" t="s">
        <v>438</v>
      </c>
      <c r="L165" s="34" t="s">
        <v>459</v>
      </c>
      <c r="M165" s="34" t="s">
        <v>898</v>
      </c>
      <c r="N165" s="34" t="str">
        <f t="shared" si="13"/>
        <v>Partnership | Merchant partnership</v>
      </c>
      <c r="O165" s="34" t="s">
        <v>1372</v>
      </c>
      <c r="P165" s="38" t="s">
        <v>1373</v>
      </c>
      <c r="Q165" s="38">
        <v>46117</v>
      </c>
      <c r="R165" s="38">
        <v>46118</v>
      </c>
      <c r="S165" s="38" t="s">
        <v>1374</v>
      </c>
      <c r="T165">
        <v>3</v>
      </c>
      <c r="U165">
        <v>4</v>
      </c>
      <c r="V165">
        <v>4</v>
      </c>
      <c r="W165">
        <v>2</v>
      </c>
      <c r="X165" s="106">
        <f t="shared" si="15"/>
        <v>3.3</v>
      </c>
      <c r="Y165" s="34" t="s">
        <v>1343</v>
      </c>
      <c r="Z165" s="34"/>
    </row>
    <row r="166" spans="1:26" hidden="1">
      <c r="A166" s="41">
        <f t="shared" si="14"/>
        <v>163</v>
      </c>
      <c r="B166" s="35"/>
      <c r="C166" s="35" t="str">
        <f t="shared" si="11"/>
        <v>GrabFood x Cocacola: Combo ưu đãi ngày Cá tháng tư</v>
      </c>
      <c r="D166" t="s">
        <v>1326</v>
      </c>
      <c r="E166" s="105" t="str">
        <f>VLOOKUP(X166,'Updating-Scoring'!$C$2:$D$7,2,TRUE)</f>
        <v>4 - Strategic shift</v>
      </c>
      <c r="F166">
        <f t="shared" si="12"/>
        <v>15</v>
      </c>
      <c r="G166" s="110">
        <v>46120</v>
      </c>
      <c r="H166" t="s">
        <v>1375</v>
      </c>
      <c r="I166" s="34">
        <v>46113</v>
      </c>
      <c r="J166" t="s">
        <v>170</v>
      </c>
      <c r="K166" s="34" t="s">
        <v>438</v>
      </c>
      <c r="L166" s="34" t="s">
        <v>459</v>
      </c>
      <c r="M166" s="34" t="s">
        <v>898</v>
      </c>
      <c r="N166" s="34" t="str">
        <f t="shared" si="13"/>
        <v>Partnership | Merchant partnership</v>
      </c>
      <c r="O166" s="34" t="s">
        <v>1376</v>
      </c>
      <c r="P166" s="164" t="s">
        <v>1377</v>
      </c>
      <c r="Q166" s="38">
        <v>46113</v>
      </c>
      <c r="R166" s="38">
        <v>46119</v>
      </c>
      <c r="S166" t="s">
        <v>1378</v>
      </c>
      <c r="T166">
        <v>4</v>
      </c>
      <c r="U166">
        <v>4</v>
      </c>
      <c r="V166">
        <v>4</v>
      </c>
      <c r="W166">
        <v>2</v>
      </c>
      <c r="X166" s="106">
        <f t="shared" si="15"/>
        <v>3.7</v>
      </c>
      <c r="Y166" s="34"/>
      <c r="Z166" s="34"/>
    </row>
    <row r="167" spans="1:26" hidden="1">
      <c r="A167" s="41">
        <f t="shared" si="14"/>
        <v>164</v>
      </c>
      <c r="B167" s="35"/>
      <c r="C167" s="35" t="str">
        <f t="shared" si="11"/>
        <v>Grab cập nhật chương trình "Hội chủ shop VIP GrabExpress"</v>
      </c>
      <c r="D167" t="s">
        <v>1326</v>
      </c>
      <c r="E167" s="105" t="str">
        <f>VLOOKUP(X167,'Updating-Scoring'!$C$2:$D$7,2,TRUE)</f>
        <v>5 - Industry disruption</v>
      </c>
      <c r="F167">
        <f t="shared" si="12"/>
        <v>15</v>
      </c>
      <c r="G167" s="110">
        <v>46119</v>
      </c>
      <c r="H167" t="s">
        <v>1379</v>
      </c>
      <c r="I167" s="34">
        <v>46112</v>
      </c>
      <c r="J167" t="s">
        <v>170</v>
      </c>
      <c r="K167" s="34" t="s">
        <v>438</v>
      </c>
      <c r="L167" s="34" t="s">
        <v>410</v>
      </c>
      <c r="M167" s="34" t="s">
        <v>496</v>
      </c>
      <c r="N167" s="34" t="str">
        <f t="shared" si="13"/>
        <v>Product | Product update</v>
      </c>
      <c r="O167" s="34" t="s">
        <v>1380</v>
      </c>
      <c r="P167" s="109" t="s">
        <v>1381</v>
      </c>
      <c r="Q167" s="38">
        <v>46113</v>
      </c>
      <c r="R167" s="38"/>
      <c r="S167" t="s">
        <v>1382</v>
      </c>
      <c r="T167">
        <v>5</v>
      </c>
      <c r="U167">
        <v>4</v>
      </c>
      <c r="V167">
        <v>5</v>
      </c>
      <c r="W167">
        <v>2</v>
      </c>
      <c r="X167" s="106">
        <f t="shared" si="15"/>
        <v>4.3</v>
      </c>
      <c r="Y167" s="34" t="s">
        <v>1383</v>
      </c>
      <c r="Z167" s="34" t="s">
        <v>1384</v>
      </c>
    </row>
    <row r="168" spans="1:26" hidden="1">
      <c r="A168" s="41">
        <f t="shared" si="14"/>
        <v>165</v>
      </c>
      <c r="B168" s="35"/>
      <c r="C168" s="35" t="str">
        <f t="shared" si="11"/>
        <v>Grab ra mắt dịch vụ GrabBike Tiếng Anh</v>
      </c>
      <c r="D168" t="s">
        <v>1326</v>
      </c>
      <c r="E168" s="105" t="str">
        <f>VLOOKUP(X168,'Updating-Scoring'!$C$2:$D$7,2,TRUE)</f>
        <v>4 - Strategic shift</v>
      </c>
      <c r="F168">
        <f t="shared" si="12"/>
        <v>15</v>
      </c>
      <c r="G168" s="110">
        <v>46120</v>
      </c>
      <c r="H168" t="s">
        <v>1385</v>
      </c>
      <c r="I168" s="34">
        <v>46113</v>
      </c>
      <c r="J168" t="s">
        <v>170</v>
      </c>
      <c r="K168" s="34" t="s">
        <v>438</v>
      </c>
      <c r="L168" s="34" t="s">
        <v>410</v>
      </c>
      <c r="M168" s="34" t="s">
        <v>495</v>
      </c>
      <c r="N168" s="34" t="str">
        <f t="shared" si="13"/>
        <v>Product | Product launch</v>
      </c>
      <c r="O168" s="34" t="s">
        <v>1386</v>
      </c>
      <c r="P168" s="38" t="s">
        <v>1387</v>
      </c>
      <c r="Q168" s="38">
        <v>46114</v>
      </c>
      <c r="R168" s="38"/>
      <c r="S168" s="38" t="s">
        <v>1388</v>
      </c>
      <c r="T168">
        <v>4</v>
      </c>
      <c r="U168">
        <v>4</v>
      </c>
      <c r="V168">
        <v>4</v>
      </c>
      <c r="W168">
        <v>2</v>
      </c>
      <c r="X168" s="106">
        <f t="shared" si="15"/>
        <v>3.7</v>
      </c>
      <c r="Y168" s="34" t="s">
        <v>1383</v>
      </c>
      <c r="Z168" s="34" t="s">
        <v>1384</v>
      </c>
    </row>
    <row r="169" spans="1:26" hidden="1">
      <c r="A169" s="41">
        <f t="shared" si="14"/>
        <v>166</v>
      </c>
      <c r="B169" s="35" t="s">
        <v>1389</v>
      </c>
      <c r="C169" s="35" t="str">
        <f t="shared" si="11"/>
        <v>Grab chính thức phủ sóng dịch vụ toàn quốc với tối thiểu 3 dịch vụ tại mỗi địa phương</v>
      </c>
      <c r="D169" t="s">
        <v>1326</v>
      </c>
      <c r="E169" s="105" t="str">
        <f>VLOOKUP(X169,'Updating-Scoring'!$C$2:$D$7,2,TRUE)</f>
        <v>5 - Industry disruption</v>
      </c>
      <c r="F169">
        <f t="shared" si="12"/>
        <v>15</v>
      </c>
      <c r="G169" s="110">
        <v>46119</v>
      </c>
      <c r="H169" t="s">
        <v>1390</v>
      </c>
      <c r="I169" s="34">
        <v>46113</v>
      </c>
      <c r="J169" t="s">
        <v>170</v>
      </c>
      <c r="K169" s="34" t="s">
        <v>438</v>
      </c>
      <c r="L169" s="34" t="s">
        <v>409</v>
      </c>
      <c r="M169" s="34" t="s">
        <v>515</v>
      </c>
      <c r="N169" s="34" t="str">
        <f t="shared" si="13"/>
        <v>Strategy | Market expansion</v>
      </c>
      <c r="O169" s="34" t="s">
        <v>1391</v>
      </c>
      <c r="P169" s="109" t="s">
        <v>1392</v>
      </c>
      <c r="Q169" s="38">
        <v>46086</v>
      </c>
      <c r="R169" s="38"/>
      <c r="S169" t="s">
        <v>1382</v>
      </c>
      <c r="T169">
        <v>5</v>
      </c>
      <c r="U169">
        <v>4</v>
      </c>
      <c r="V169">
        <v>5</v>
      </c>
      <c r="W169">
        <v>2</v>
      </c>
      <c r="X169" s="106">
        <f t="shared" si="15"/>
        <v>4.3</v>
      </c>
      <c r="Y169" s="34"/>
      <c r="Z169" s="34"/>
    </row>
    <row r="170" spans="1:26" hidden="1">
      <c r="A170" s="41">
        <f t="shared" si="14"/>
        <v>167</v>
      </c>
      <c r="B170" s="35"/>
      <c r="C170" s="35" t="str">
        <f t="shared" si="11"/>
        <v>Grab thử nghiệm mua thuốc OTC và thực phẩm chức năng qua GrabMart</v>
      </c>
      <c r="D170" t="s">
        <v>1326</v>
      </c>
      <c r="E170" s="105" t="str">
        <f>VLOOKUP(X170,'Updating-Scoring'!$C$2:$D$7,2,TRUE)</f>
        <v>5 - Industry disruption</v>
      </c>
      <c r="F170">
        <f t="shared" si="12"/>
        <v>15</v>
      </c>
      <c r="G170" s="34">
        <v>46119</v>
      </c>
      <c r="H170" t="s">
        <v>1393</v>
      </c>
      <c r="I170" s="34">
        <v>46113</v>
      </c>
      <c r="J170" t="s">
        <v>170</v>
      </c>
      <c r="K170" s="34" t="s">
        <v>438</v>
      </c>
      <c r="L170" s="34" t="s">
        <v>409</v>
      </c>
      <c r="M170" s="34" t="s">
        <v>513</v>
      </c>
      <c r="N170" s="34" t="str">
        <f t="shared" si="13"/>
        <v>Strategy | Ecosystem expansion</v>
      </c>
      <c r="O170" s="34" t="s">
        <v>1394</v>
      </c>
      <c r="P170" s="109" t="s">
        <v>1395</v>
      </c>
      <c r="Q170" s="38"/>
      <c r="R170" s="38"/>
      <c r="S170" t="s">
        <v>1382</v>
      </c>
      <c r="T170">
        <v>5</v>
      </c>
      <c r="U170">
        <v>4</v>
      </c>
      <c r="V170">
        <v>5</v>
      </c>
      <c r="W170">
        <v>2</v>
      </c>
      <c r="X170" s="106">
        <f t="shared" si="15"/>
        <v>4.3</v>
      </c>
      <c r="Y170" s="34" t="s">
        <v>1331</v>
      </c>
      <c r="Z170" s="34" t="s">
        <v>1332</v>
      </c>
    </row>
    <row r="171" spans="1:26" hidden="1">
      <c r="A171" s="41">
        <f t="shared" si="14"/>
        <v>168</v>
      </c>
      <c r="B171" s="35"/>
      <c r="C171" s="35" t="str">
        <f t="shared" si="11"/>
        <v>Grab x Ngày hội du lịch TP.HCM: Chuỗi hoạt động trải nghiệm và ưu đãi</v>
      </c>
      <c r="D171" t="s">
        <v>1326</v>
      </c>
      <c r="E171" s="105" t="str">
        <f>VLOOKUP(X171,'Updating-Scoring'!$C$2:$D$7,2,TRUE)</f>
        <v>4 - Strategic shift</v>
      </c>
      <c r="F171">
        <f t="shared" si="12"/>
        <v>15</v>
      </c>
      <c r="G171" s="110">
        <v>46120</v>
      </c>
      <c r="H171" s="88" t="s">
        <v>1396</v>
      </c>
      <c r="I171" s="34">
        <v>46113</v>
      </c>
      <c r="J171" t="s">
        <v>170</v>
      </c>
      <c r="K171" s="34" t="s">
        <v>438</v>
      </c>
      <c r="L171" s="34" t="s">
        <v>409</v>
      </c>
      <c r="M171" s="34" t="s">
        <v>513</v>
      </c>
      <c r="N171" s="34" t="str">
        <f t="shared" si="13"/>
        <v>Strategy | Ecosystem expansion</v>
      </c>
      <c r="O171" s="34" t="s">
        <v>1397</v>
      </c>
      <c r="P171" s="38" t="s">
        <v>1398</v>
      </c>
      <c r="Q171" s="38">
        <v>46114</v>
      </c>
      <c r="R171" s="38">
        <v>46146</v>
      </c>
      <c r="S171" t="s">
        <v>1399</v>
      </c>
      <c r="T171">
        <v>4</v>
      </c>
      <c r="U171">
        <v>4</v>
      </c>
      <c r="V171">
        <v>4</v>
      </c>
      <c r="W171">
        <v>2</v>
      </c>
      <c r="X171" s="106">
        <f t="shared" si="15"/>
        <v>3.7</v>
      </c>
      <c r="Y171" s="34" t="s">
        <v>1343</v>
      </c>
      <c r="Z171" s="34" t="s">
        <v>1349</v>
      </c>
    </row>
    <row r="172" spans="1:26" hidden="1">
      <c r="A172" s="41">
        <f t="shared" si="14"/>
        <v>169</v>
      </c>
      <c r="B172" s="35"/>
      <c r="C172" s="35" t="str">
        <f t="shared" si="11"/>
        <v>Grab di chuyển: Ưu đãi giảm 20 - 25% khi đặt điểm đến tại GrabHotSot</v>
      </c>
      <c r="D172" t="s">
        <v>438</v>
      </c>
      <c r="E172" s="105" t="str">
        <f>VLOOKUP(X172,'Updating-Scoring'!$C$2:$D$7,2,TRUE)</f>
        <v>3 - Market signal</v>
      </c>
      <c r="F172">
        <f t="shared" si="12"/>
        <v>16</v>
      </c>
      <c r="G172" s="34">
        <v>46125</v>
      </c>
      <c r="H172" t="s">
        <v>1400</v>
      </c>
      <c r="I172" s="34">
        <v>46118</v>
      </c>
      <c r="J172" t="s">
        <v>170</v>
      </c>
      <c r="K172" s="34" t="s">
        <v>438</v>
      </c>
      <c r="L172" s="34" t="s">
        <v>457</v>
      </c>
      <c r="M172" s="34" t="s">
        <v>416</v>
      </c>
      <c r="N172" s="34" t="str">
        <f t="shared" si="13"/>
        <v>Marketing | Transaction growth</v>
      </c>
      <c r="O172" s="34" t="s">
        <v>1401</v>
      </c>
      <c r="P172" s="109" t="s">
        <v>1402</v>
      </c>
      <c r="Q172" s="38">
        <v>46113</v>
      </c>
      <c r="R172" s="38">
        <v>46258</v>
      </c>
      <c r="S172" s="88"/>
      <c r="T172">
        <v>3</v>
      </c>
      <c r="U172">
        <v>3</v>
      </c>
      <c r="V172">
        <v>4</v>
      </c>
      <c r="W172">
        <v>3</v>
      </c>
      <c r="X172" s="106">
        <f t="shared" si="15"/>
        <v>3.2</v>
      </c>
      <c r="Y172" s="34"/>
      <c r="Z172" s="34"/>
    </row>
    <row r="173" spans="1:26" hidden="1">
      <c r="A173" s="41">
        <f t="shared" si="14"/>
        <v>170</v>
      </c>
      <c r="B173" s="35" t="s">
        <v>1403</v>
      </c>
      <c r="C173" s="35" t="str">
        <f t="shared" si="11"/>
        <v>Tencent siết chặt kiểm soát nội dung AI trên WeChat – Tiền lệ quản trị AI-generated content trong super-app</v>
      </c>
      <c r="D173" t="s">
        <v>197</v>
      </c>
      <c r="E173" s="105" t="str">
        <f>VLOOKUP(X173,'Updating-Scoring'!$C$2:$D$7,2,TRUE)</f>
        <v>5 - Industry disruption</v>
      </c>
      <c r="F173">
        <f t="shared" si="12"/>
        <v>16</v>
      </c>
      <c r="G173" s="110">
        <v>46125</v>
      </c>
      <c r="H173" t="s">
        <v>1404</v>
      </c>
      <c r="I173" s="34">
        <v>46121</v>
      </c>
      <c r="J173" t="s">
        <v>284</v>
      </c>
      <c r="K173" s="34" t="s">
        <v>729</v>
      </c>
      <c r="L173" s="34" t="s">
        <v>453</v>
      </c>
      <c r="M173" s="34" t="s">
        <v>86</v>
      </c>
      <c r="N173" s="34" t="str">
        <f t="shared" si="13"/>
        <v>Legal | AI</v>
      </c>
      <c r="O173" t="s">
        <v>1405</v>
      </c>
      <c r="P173" s="109" t="s">
        <v>1406</v>
      </c>
      <c r="Q173" s="38"/>
      <c r="R173" s="38"/>
      <c r="S173" t="s">
        <v>1407</v>
      </c>
      <c r="T173">
        <v>5</v>
      </c>
      <c r="U173">
        <v>5</v>
      </c>
      <c r="V173">
        <v>5</v>
      </c>
      <c r="W173">
        <v>3</v>
      </c>
      <c r="X173" s="106">
        <f t="shared" si="15"/>
        <v>4.7</v>
      </c>
      <c r="Y173" s="34"/>
      <c r="Z173" s="34"/>
    </row>
    <row r="174" spans="1:26" hidden="1">
      <c r="A174" s="41">
        <f t="shared" si="14"/>
        <v>171</v>
      </c>
      <c r="B174" s="35" t="s">
        <v>1408</v>
      </c>
      <c r="C174" s="35" t="str">
        <f t="shared" si="11"/>
        <v>Grab ra mắt AI assistant – Đẩy mạnh tích hợp AI vào toàn hệ sinh thái super-app SEA</v>
      </c>
      <c r="D174" t="s">
        <v>364</v>
      </c>
      <c r="E174" s="105" t="str">
        <f>VLOOKUP(X174,'Updating-Scoring'!$C$2:$D$7,2,TRUE)</f>
        <v>5 - Industry disruption</v>
      </c>
      <c r="F174">
        <f t="shared" si="12"/>
        <v>16</v>
      </c>
      <c r="G174" s="110">
        <v>46125</v>
      </c>
      <c r="H174" t="s">
        <v>1409</v>
      </c>
      <c r="I174" s="34">
        <v>46121</v>
      </c>
      <c r="J174" t="s">
        <v>284</v>
      </c>
      <c r="K174" s="34" t="s">
        <v>430</v>
      </c>
      <c r="L174" s="34" t="s">
        <v>451</v>
      </c>
      <c r="M174" s="34" t="s">
        <v>483</v>
      </c>
      <c r="N174" s="34" t="str">
        <f t="shared" si="13"/>
        <v>Technology | AI/ Gen AI</v>
      </c>
      <c r="O174" t="s">
        <v>1410</v>
      </c>
      <c r="P174" s="109" t="s">
        <v>1411</v>
      </c>
      <c r="Q174" s="38"/>
      <c r="R174" s="38"/>
      <c r="S174" t="s">
        <v>1412</v>
      </c>
      <c r="T174">
        <v>5</v>
      </c>
      <c r="U174">
        <v>4</v>
      </c>
      <c r="V174">
        <v>5</v>
      </c>
      <c r="W174">
        <v>4</v>
      </c>
      <c r="X174" s="106">
        <f t="shared" si="15"/>
        <v>4.5999999999999996</v>
      </c>
      <c r="Y174" s="34"/>
      <c r="Z174" s="34"/>
    </row>
    <row r="175" spans="1:26" hidden="1">
      <c r="A175" s="41">
        <f t="shared" si="14"/>
        <v>172</v>
      </c>
      <c r="B175" s="35" t="s">
        <v>1413</v>
      </c>
      <c r="C175" s="35" t="str">
        <f t="shared" si="11"/>
        <v>Grab dùng AI bản địa đánh bại Google và Apple Maps tại SEA – Lợi thế local data trong bản đồ số</v>
      </c>
      <c r="D175" t="s">
        <v>85</v>
      </c>
      <c r="E175" s="105" t="str">
        <f>VLOOKUP(X175,'Updating-Scoring'!$C$2:$D$7,2,TRUE)</f>
        <v>5 - Industry disruption</v>
      </c>
      <c r="F175">
        <f t="shared" si="12"/>
        <v>16</v>
      </c>
      <c r="G175" s="110">
        <v>46125</v>
      </c>
      <c r="H175" t="s">
        <v>1414</v>
      </c>
      <c r="I175" s="34">
        <v>46122</v>
      </c>
      <c r="J175" t="s">
        <v>284</v>
      </c>
      <c r="K175" s="34" t="s">
        <v>430</v>
      </c>
      <c r="L175" s="34" t="s">
        <v>451</v>
      </c>
      <c r="M175" s="34" t="s">
        <v>483</v>
      </c>
      <c r="N175" s="34" t="str">
        <f t="shared" si="13"/>
        <v>Technology | AI/ Gen AI</v>
      </c>
      <c r="O175" t="s">
        <v>1415</v>
      </c>
      <c r="P175" s="109" t="s">
        <v>1416</v>
      </c>
      <c r="Q175" s="38"/>
      <c r="R175" s="38"/>
      <c r="S175" t="s">
        <v>1417</v>
      </c>
      <c r="T175">
        <v>4</v>
      </c>
      <c r="U175">
        <v>5</v>
      </c>
      <c r="V175">
        <v>5</v>
      </c>
      <c r="W175">
        <v>4</v>
      </c>
      <c r="X175" s="106">
        <f t="shared" si="15"/>
        <v>4.45</v>
      </c>
      <c r="Y175" s="34"/>
      <c r="Z175" s="34"/>
    </row>
    <row r="176" spans="1:26" hidden="1">
      <c r="A176" s="41">
        <f t="shared" si="14"/>
        <v>173</v>
      </c>
      <c r="B176" s="35" t="s">
        <v>1418</v>
      </c>
      <c r="C176" s="35" t="str">
        <f t="shared" si="11"/>
        <v>Meta ra mắt AI tự động trả lời tin nhắn bán hàng tại Việt Nam – AI commerce đến thẳng tay seller nhỏ</v>
      </c>
      <c r="D176" t="s">
        <v>131</v>
      </c>
      <c r="E176" s="105" t="str">
        <f>VLOOKUP(X176,'Updating-Scoring'!$C$2:$D$7,2,TRUE)</f>
        <v>5 - Industry disruption</v>
      </c>
      <c r="F176">
        <f t="shared" si="12"/>
        <v>16</v>
      </c>
      <c r="G176" s="110">
        <v>46125</v>
      </c>
      <c r="H176" t="s">
        <v>1419</v>
      </c>
      <c r="I176" s="34">
        <v>46120</v>
      </c>
      <c r="J176" t="s">
        <v>284</v>
      </c>
      <c r="K176" s="34" t="s">
        <v>431</v>
      </c>
      <c r="L176" s="34" t="s">
        <v>451</v>
      </c>
      <c r="M176" s="34" t="s">
        <v>483</v>
      </c>
      <c r="N176" s="34" t="str">
        <f t="shared" si="13"/>
        <v>Technology | AI/ Gen AI</v>
      </c>
      <c r="O176" t="s">
        <v>1420</v>
      </c>
      <c r="P176" s="109" t="s">
        <v>1421</v>
      </c>
      <c r="Q176" s="38"/>
      <c r="R176" s="38"/>
      <c r="S176" t="s">
        <v>1422</v>
      </c>
      <c r="T176">
        <v>4</v>
      </c>
      <c r="U176">
        <v>5</v>
      </c>
      <c r="V176">
        <v>4</v>
      </c>
      <c r="W176">
        <v>4</v>
      </c>
      <c r="X176" s="106">
        <f t="shared" si="15"/>
        <v>4.25</v>
      </c>
      <c r="Y176" s="34"/>
      <c r="Z176" s="34"/>
    </row>
    <row r="177" spans="1:26" hidden="1">
      <c r="A177" s="41">
        <f t="shared" si="14"/>
        <v>174</v>
      </c>
      <c r="B177" s="35" t="s">
        <v>1423</v>
      </c>
      <c r="C177" s="35" t="str">
        <f t="shared" si="11"/>
        <v>Meta AI app leo hạng 5 App Store sau khi ra mắt Muse Spark – Tốc độ adoption AI consumer tăng tốc</v>
      </c>
      <c r="D177" t="s">
        <v>1012</v>
      </c>
      <c r="E177" s="105" t="str">
        <f>VLOOKUP(X177,'Updating-Scoring'!$C$2:$D$7,2,TRUE)</f>
        <v>5 - Industry disruption</v>
      </c>
      <c r="F177">
        <f t="shared" si="12"/>
        <v>16</v>
      </c>
      <c r="G177" s="110">
        <v>46125</v>
      </c>
      <c r="H177" t="s">
        <v>1424</v>
      </c>
      <c r="I177" s="34">
        <v>46121</v>
      </c>
      <c r="J177" t="s">
        <v>284</v>
      </c>
      <c r="K177" s="34" t="s">
        <v>428</v>
      </c>
      <c r="L177" s="34" t="s">
        <v>451</v>
      </c>
      <c r="M177" s="34" t="s">
        <v>483</v>
      </c>
      <c r="N177" s="34" t="str">
        <f t="shared" si="13"/>
        <v>Technology | AI/ Gen AI</v>
      </c>
      <c r="O177" t="s">
        <v>1425</v>
      </c>
      <c r="P177" s="109" t="s">
        <v>1426</v>
      </c>
      <c r="Q177" s="38"/>
      <c r="R177" s="38"/>
      <c r="S177" t="s">
        <v>1427</v>
      </c>
      <c r="T177">
        <v>5</v>
      </c>
      <c r="U177">
        <v>4</v>
      </c>
      <c r="V177">
        <v>4</v>
      </c>
      <c r="W177">
        <v>3</v>
      </c>
      <c r="X177" s="106">
        <f t="shared" si="15"/>
        <v>4.25</v>
      </c>
      <c r="Y177" s="34"/>
      <c r="Z177" s="34"/>
    </row>
    <row r="178" spans="1:26" hidden="1">
      <c r="A178" s="41">
        <f t="shared" si="14"/>
        <v>175</v>
      </c>
      <c r="B178" s="35" t="s">
        <v>1428</v>
      </c>
      <c r="C178" s="35" t="str">
        <f t="shared" si="11"/>
        <v>Meta và WhatsApp bị khởi kiện vì quảng cáo trong tin nhắn mã hóa đầu cuối – Mâu thuẫn giữa privacy và monetization</v>
      </c>
      <c r="D178" t="s">
        <v>85</v>
      </c>
      <c r="E178" s="105" t="str">
        <f>VLOOKUP(X178,'Updating-Scoring'!$C$2:$D$7,2,TRUE)</f>
        <v>4 - Strategic shift</v>
      </c>
      <c r="F178">
        <f t="shared" si="12"/>
        <v>16</v>
      </c>
      <c r="G178" s="110">
        <v>46125</v>
      </c>
      <c r="H178" t="s">
        <v>1429</v>
      </c>
      <c r="I178" s="34">
        <v>46122</v>
      </c>
      <c r="J178" t="s">
        <v>284</v>
      </c>
      <c r="K178" s="34" t="s">
        <v>428</v>
      </c>
      <c r="L178" s="34" t="s">
        <v>453</v>
      </c>
      <c r="M178" s="34" t="s">
        <v>492</v>
      </c>
      <c r="N178" s="34" t="str">
        <f t="shared" si="13"/>
        <v>Legal | Data privacy</v>
      </c>
      <c r="O178" t="s">
        <v>1430</v>
      </c>
      <c r="P178" s="109" t="s">
        <v>1431</v>
      </c>
      <c r="Q178" s="38"/>
      <c r="R178" s="38"/>
      <c r="S178" t="s">
        <v>1432</v>
      </c>
      <c r="T178">
        <v>4</v>
      </c>
      <c r="U178">
        <v>4</v>
      </c>
      <c r="V178">
        <v>5</v>
      </c>
      <c r="W178">
        <v>3</v>
      </c>
      <c r="X178" s="106">
        <f t="shared" si="15"/>
        <v>4.05</v>
      </c>
      <c r="Y178" s="34"/>
      <c r="Z178" s="34"/>
    </row>
    <row r="179" spans="1:26" hidden="1">
      <c r="A179" s="41">
        <f t="shared" si="14"/>
        <v>176</v>
      </c>
      <c r="B179" s="35" t="s">
        <v>1433</v>
      </c>
      <c r="C179" s="35" t="str">
        <f t="shared" si="11"/>
        <v>Qwen của Alibaba chiếm hơn 50% lượt tải mô hình AI open-source toàn cầu</v>
      </c>
      <c r="D179" t="s">
        <v>197</v>
      </c>
      <c r="E179" s="105" t="str">
        <f>VLOOKUP(X179,'Updating-Scoring'!$C$2:$D$7,2,TRUE)</f>
        <v>4 - Strategic shift</v>
      </c>
      <c r="F179">
        <f t="shared" si="12"/>
        <v>16</v>
      </c>
      <c r="G179" s="110">
        <v>46125</v>
      </c>
      <c r="H179" t="s">
        <v>1434</v>
      </c>
      <c r="I179" s="34">
        <v>46121</v>
      </c>
      <c r="J179" t="s">
        <v>284</v>
      </c>
      <c r="K179" s="34" t="s">
        <v>729</v>
      </c>
      <c r="L179" s="34" t="s">
        <v>451</v>
      </c>
      <c r="M179" s="34" t="s">
        <v>483</v>
      </c>
      <c r="N179" s="34" t="str">
        <f t="shared" si="13"/>
        <v>Technology | AI/ Gen AI</v>
      </c>
      <c r="O179" t="s">
        <v>1435</v>
      </c>
      <c r="P179" s="109" t="s">
        <v>1436</v>
      </c>
      <c r="Q179" s="38"/>
      <c r="R179" s="38"/>
      <c r="S179" t="s">
        <v>1437</v>
      </c>
      <c r="T179">
        <v>4</v>
      </c>
      <c r="U179">
        <v>4</v>
      </c>
      <c r="V179">
        <v>4</v>
      </c>
      <c r="W179">
        <v>4</v>
      </c>
      <c r="X179" s="106">
        <f t="shared" si="15"/>
        <v>4</v>
      </c>
      <c r="Y179" s="34"/>
      <c r="Z179" s="34"/>
    </row>
    <row r="180" spans="1:26" hidden="1">
      <c r="A180" s="41">
        <f t="shared" si="14"/>
        <v>177</v>
      </c>
      <c r="B180" s="35" t="s">
        <v>1438</v>
      </c>
      <c r="C180" s="35" t="str">
        <f t="shared" si="11"/>
        <v>ShopBack đạt tăng trưởng 30% FY2026 nhờ kết hợp shopping và gaming</v>
      </c>
      <c r="D180" t="s">
        <v>364</v>
      </c>
      <c r="E180" s="105" t="str">
        <f>VLOOKUP(X180,'Updating-Scoring'!$C$2:$D$7,2,TRUE)</f>
        <v>4 - Strategic shift</v>
      </c>
      <c r="F180">
        <f t="shared" si="12"/>
        <v>16</v>
      </c>
      <c r="G180" s="110">
        <v>46125</v>
      </c>
      <c r="H180" t="s">
        <v>1439</v>
      </c>
      <c r="I180" s="34">
        <v>46121</v>
      </c>
      <c r="J180" t="s">
        <v>284</v>
      </c>
      <c r="K180" s="34" t="s">
        <v>430</v>
      </c>
      <c r="L180" s="34" t="s">
        <v>447</v>
      </c>
      <c r="M180" s="34" t="s">
        <v>957</v>
      </c>
      <c r="N180" s="34" t="str">
        <f t="shared" si="13"/>
        <v>Economic | Market growth/ market size</v>
      </c>
      <c r="O180" t="s">
        <v>1440</v>
      </c>
      <c r="P180" s="109" t="s">
        <v>1441</v>
      </c>
      <c r="Q180" s="38"/>
      <c r="R180" s="38"/>
      <c r="S180" t="s">
        <v>1442</v>
      </c>
      <c r="T180">
        <v>4</v>
      </c>
      <c r="U180">
        <v>4</v>
      </c>
      <c r="V180">
        <v>4</v>
      </c>
      <c r="W180">
        <v>2</v>
      </c>
      <c r="X180" s="106">
        <f t="shared" si="15"/>
        <v>3.7</v>
      </c>
      <c r="Y180" s="34"/>
      <c r="Z180" s="34"/>
    </row>
    <row r="181" spans="1:26" hidden="1">
      <c r="A181" s="41">
        <f t="shared" si="14"/>
        <v>178</v>
      </c>
      <c r="B181" s="35" t="s">
        <v>1443</v>
      </c>
      <c r="C181" s="35" t="str">
        <f t="shared" si="11"/>
        <v>ShopBack thử nghiệm gamification – Chiến lược tăng engagement bằng mô hình 'Ready Player'</v>
      </c>
      <c r="D181" t="s">
        <v>364</v>
      </c>
      <c r="E181" s="105" t="str">
        <f>VLOOKUP(X181,'Updating-Scoring'!$C$2:$D$7,2,TRUE)</f>
        <v>4 - Strategic shift</v>
      </c>
      <c r="F181">
        <f t="shared" si="12"/>
        <v>16</v>
      </c>
      <c r="G181" s="34">
        <v>46125</v>
      </c>
      <c r="H181" t="s">
        <v>1444</v>
      </c>
      <c r="I181" s="34">
        <v>46121</v>
      </c>
      <c r="J181" t="s">
        <v>284</v>
      </c>
      <c r="K181" s="34" t="s">
        <v>430</v>
      </c>
      <c r="L181" s="34" t="s">
        <v>449</v>
      </c>
      <c r="M181" s="34" t="s">
        <v>479</v>
      </c>
      <c r="N181" s="34" t="str">
        <f t="shared" si="13"/>
        <v>Social | Digital adoption</v>
      </c>
      <c r="O181" t="s">
        <v>1445</v>
      </c>
      <c r="P181" s="109" t="s">
        <v>1446</v>
      </c>
      <c r="Q181" s="38"/>
      <c r="R181" s="38"/>
      <c r="S181" t="s">
        <v>1447</v>
      </c>
      <c r="T181">
        <v>4</v>
      </c>
      <c r="U181">
        <v>4</v>
      </c>
      <c r="V181">
        <v>4</v>
      </c>
      <c r="W181">
        <v>2</v>
      </c>
      <c r="X181" s="106">
        <f t="shared" si="15"/>
        <v>3.7</v>
      </c>
      <c r="Y181" s="34"/>
      <c r="Z181" s="34"/>
    </row>
    <row r="182" spans="1:26" hidden="1">
      <c r="A182" s="41">
        <f t="shared" si="14"/>
        <v>179</v>
      </c>
      <c r="B182" s="35" t="s">
        <v>1448</v>
      </c>
      <c r="C182" s="35" t="str">
        <f t="shared" si="11"/>
        <v>OpenAI, Google và Anthropic liên minh ngăn Trung Quốc sao chép công nghệ AI – Địa chính trị AI leo thang</v>
      </c>
      <c r="D182" t="s">
        <v>85</v>
      </c>
      <c r="E182" s="105" t="str">
        <f>VLOOKUP(X182,'Updating-Scoring'!$C$2:$D$7,2,TRUE)</f>
        <v>4 - Strategic shift</v>
      </c>
      <c r="F182">
        <f t="shared" si="12"/>
        <v>16</v>
      </c>
      <c r="G182" s="110">
        <v>46125</v>
      </c>
      <c r="H182" t="s">
        <v>1449</v>
      </c>
      <c r="I182" s="34">
        <v>46120</v>
      </c>
      <c r="J182" t="s">
        <v>284</v>
      </c>
      <c r="K182" s="34" t="s">
        <v>428</v>
      </c>
      <c r="L182" s="34" t="s">
        <v>445</v>
      </c>
      <c r="M182" s="34" t="s">
        <v>470</v>
      </c>
      <c r="N182" s="34" t="str">
        <f t="shared" si="13"/>
        <v>Political | Geopolitical tension</v>
      </c>
      <c r="O182" t="s">
        <v>1450</v>
      </c>
      <c r="P182" s="109" t="s">
        <v>1451</v>
      </c>
      <c r="Q182" s="38"/>
      <c r="R182" s="38"/>
      <c r="S182" t="s">
        <v>1452</v>
      </c>
      <c r="T182">
        <v>4</v>
      </c>
      <c r="U182">
        <v>3</v>
      </c>
      <c r="V182">
        <v>4</v>
      </c>
      <c r="W182">
        <v>3</v>
      </c>
      <c r="X182" s="106">
        <f t="shared" si="15"/>
        <v>3.6000000000000005</v>
      </c>
      <c r="Y182" s="34"/>
      <c r="Z182" s="34"/>
    </row>
    <row r="183" spans="1:26" hidden="1">
      <c r="A183" s="41">
        <f t="shared" si="14"/>
        <v>180</v>
      </c>
      <c r="B183" s="35" t="s">
        <v>1453</v>
      </c>
      <c r="C183" s="35" t="str">
        <f t="shared" si="11"/>
        <v>Nghiên cứu: AI có thể nói dối và gian lận để bảo vệ lẫn nhau – Rủi ro alignment mới</v>
      </c>
      <c r="D183" t="s">
        <v>85</v>
      </c>
      <c r="E183" s="105" t="str">
        <f>VLOOKUP(X183,'Updating-Scoring'!$C$2:$D$7,2,TRUE)</f>
        <v>4 - Strategic shift</v>
      </c>
      <c r="F183">
        <f t="shared" si="12"/>
        <v>16</v>
      </c>
      <c r="G183" s="110">
        <v>46125</v>
      </c>
      <c r="H183" t="s">
        <v>1454</v>
      </c>
      <c r="I183" s="34">
        <v>46117</v>
      </c>
      <c r="J183" t="s">
        <v>284</v>
      </c>
      <c r="K183" s="34" t="s">
        <v>428</v>
      </c>
      <c r="L183" s="34" t="s">
        <v>451</v>
      </c>
      <c r="M183" s="34" t="s">
        <v>483</v>
      </c>
      <c r="N183" s="34" t="str">
        <f t="shared" si="13"/>
        <v>Technology | AI/ Gen AI</v>
      </c>
      <c r="O183" t="s">
        <v>1455</v>
      </c>
      <c r="P183" s="109" t="s">
        <v>1456</v>
      </c>
      <c r="Q183" s="38"/>
      <c r="R183" s="38"/>
      <c r="S183" t="s">
        <v>1457</v>
      </c>
      <c r="T183">
        <v>3</v>
      </c>
      <c r="U183">
        <v>4</v>
      </c>
      <c r="V183">
        <v>4</v>
      </c>
      <c r="W183">
        <v>4</v>
      </c>
      <c r="X183" s="106">
        <f t="shared" si="15"/>
        <v>3.6</v>
      </c>
      <c r="Y183" s="34"/>
      <c r="Z183" s="34"/>
    </row>
    <row r="184" spans="1:26" hidden="1">
      <c r="A184" s="41">
        <f t="shared" si="14"/>
        <v>181</v>
      </c>
      <c r="B184" s="35" t="s">
        <v>1458</v>
      </c>
      <c r="C184" s="35" t="str">
        <f t="shared" si="11"/>
        <v>Công ty Trung Quốc giới thiệu gói thuê bao token AI – Mô hình pricing mới cạnh tranh với per-call API</v>
      </c>
      <c r="D184" t="s">
        <v>104</v>
      </c>
      <c r="E184" s="105" t="str">
        <f>VLOOKUP(X184,'Updating-Scoring'!$C$2:$D$7,2,TRUE)</f>
        <v>4 - Strategic shift</v>
      </c>
      <c r="F184">
        <f t="shared" si="12"/>
        <v>16</v>
      </c>
      <c r="G184" s="34">
        <v>46125</v>
      </c>
      <c r="H184" t="s">
        <v>1459</v>
      </c>
      <c r="I184" s="34">
        <v>46120</v>
      </c>
      <c r="J184" t="s">
        <v>284</v>
      </c>
      <c r="K184" s="34" t="s">
        <v>729</v>
      </c>
      <c r="L184" s="34" t="s">
        <v>451</v>
      </c>
      <c r="M184" s="34" t="s">
        <v>483</v>
      </c>
      <c r="N184" s="34" t="str">
        <f t="shared" si="13"/>
        <v>Technology | AI/ Gen AI</v>
      </c>
      <c r="O184" t="s">
        <v>1460</v>
      </c>
      <c r="P184" s="109" t="s">
        <v>1461</v>
      </c>
      <c r="Q184" s="38"/>
      <c r="R184" s="38"/>
      <c r="S184" t="s">
        <v>1462</v>
      </c>
      <c r="T184">
        <v>4</v>
      </c>
      <c r="U184">
        <v>3</v>
      </c>
      <c r="V184">
        <v>3</v>
      </c>
      <c r="W184">
        <v>4</v>
      </c>
      <c r="X184" s="106">
        <f t="shared" si="15"/>
        <v>3.5500000000000003</v>
      </c>
      <c r="Y184" s="34"/>
      <c r="Z184" s="34"/>
    </row>
    <row r="185" spans="1:26" hidden="1">
      <c r="A185" s="41">
        <f t="shared" si="14"/>
        <v>182</v>
      </c>
      <c r="B185" s="35" t="s">
        <v>1463</v>
      </c>
      <c r="C185" s="35" t="str">
        <f t="shared" si="11"/>
        <v>Google tích hợp công cụ sức khỏe tâm thần vào Gemini sau vụ kiện – Pháp lý định hình tính năng AI</v>
      </c>
      <c r="D185" t="s">
        <v>138</v>
      </c>
      <c r="E185" s="105" t="str">
        <f>VLOOKUP(X185,'Updating-Scoring'!$C$2:$D$7,2,TRUE)</f>
        <v>4 - Strategic shift</v>
      </c>
      <c r="F185">
        <f t="shared" si="12"/>
        <v>16</v>
      </c>
      <c r="G185" s="110">
        <v>46125</v>
      </c>
      <c r="H185" t="s">
        <v>1464</v>
      </c>
      <c r="I185" s="34">
        <v>46119</v>
      </c>
      <c r="J185" t="s">
        <v>284</v>
      </c>
      <c r="K185" s="34" t="s">
        <v>428</v>
      </c>
      <c r="L185" s="34" t="s">
        <v>453</v>
      </c>
      <c r="M185" s="34" t="s">
        <v>86</v>
      </c>
      <c r="N185" s="34" t="str">
        <f t="shared" si="13"/>
        <v>Legal | AI</v>
      </c>
      <c r="O185" t="s">
        <v>1465</v>
      </c>
      <c r="P185" s="109" t="s">
        <v>1466</v>
      </c>
      <c r="Q185" s="38"/>
      <c r="R185" s="38"/>
      <c r="S185" t="s">
        <v>1467</v>
      </c>
      <c r="T185">
        <v>4</v>
      </c>
      <c r="U185">
        <v>4</v>
      </c>
      <c r="V185">
        <v>2</v>
      </c>
      <c r="W185">
        <v>3</v>
      </c>
      <c r="X185" s="106">
        <f t="shared" si="15"/>
        <v>3.45</v>
      </c>
      <c r="Y185" s="34"/>
      <c r="Z185" s="34"/>
    </row>
    <row r="186" spans="1:26" hidden="1">
      <c r="A186" s="41">
        <f t="shared" si="14"/>
        <v>183</v>
      </c>
      <c r="B186" s="35" t="s">
        <v>1468</v>
      </c>
      <c r="C186" s="35" t="str">
        <f t="shared" si="11"/>
        <v>Cisco tái định hình bảo mật cho kỷ nguyên AI agent – Zero-trust mở rộng sang non-human identity</v>
      </c>
      <c r="D186" t="s">
        <v>85</v>
      </c>
      <c r="E186" s="105" t="str">
        <f>VLOOKUP(X186,'Updating-Scoring'!$C$2:$D$7,2,TRUE)</f>
        <v>3 - Market signal</v>
      </c>
      <c r="F186">
        <f t="shared" si="12"/>
        <v>16</v>
      </c>
      <c r="G186" s="110">
        <v>46125</v>
      </c>
      <c r="H186" t="s">
        <v>1469</v>
      </c>
      <c r="I186" s="34">
        <v>46121</v>
      </c>
      <c r="J186" t="s">
        <v>284</v>
      </c>
      <c r="K186" s="34" t="s">
        <v>428</v>
      </c>
      <c r="L186" s="34" t="s">
        <v>451</v>
      </c>
      <c r="M186" s="34" t="s">
        <v>483</v>
      </c>
      <c r="N186" s="34" t="str">
        <f t="shared" si="13"/>
        <v>Technology | AI/ Gen AI</v>
      </c>
      <c r="O186" t="s">
        <v>1470</v>
      </c>
      <c r="P186" s="109" t="s">
        <v>1471</v>
      </c>
      <c r="Q186" s="38"/>
      <c r="R186" s="38"/>
      <c r="S186" t="s">
        <v>1472</v>
      </c>
      <c r="T186">
        <v>3</v>
      </c>
      <c r="U186">
        <v>4</v>
      </c>
      <c r="V186">
        <v>3</v>
      </c>
      <c r="W186">
        <v>4</v>
      </c>
      <c r="X186" s="106">
        <f t="shared" si="15"/>
        <v>3.4000000000000004</v>
      </c>
      <c r="Y186" s="34"/>
      <c r="Z186" s="34"/>
    </row>
    <row r="187" spans="1:26" hidden="1">
      <c r="A187" s="41">
        <f t="shared" si="14"/>
        <v>184</v>
      </c>
      <c r="B187" s="35" t="s">
        <v>1473</v>
      </c>
      <c r="C187" s="35" t="str">
        <f t="shared" si="11"/>
        <v>VOVO TMĐT đồng hành Tết Run 2026 – Mô hình kết hợp sự kiện cộng đồng và thương mại điện tử</v>
      </c>
      <c r="D187" t="s">
        <v>85</v>
      </c>
      <c r="E187" s="105" t="str">
        <f>VLOOKUP(X187,'Updating-Scoring'!$C$2:$D$7,2,TRUE)</f>
        <v>3 - Market signal</v>
      </c>
      <c r="F187">
        <f t="shared" si="12"/>
        <v>16</v>
      </c>
      <c r="G187" s="34">
        <v>46125</v>
      </c>
      <c r="H187" t="s">
        <v>1474</v>
      </c>
      <c r="I187" s="34">
        <v>46121</v>
      </c>
      <c r="J187" t="s">
        <v>284</v>
      </c>
      <c r="K187" s="34" t="s">
        <v>431</v>
      </c>
      <c r="L187" s="34" t="s">
        <v>449</v>
      </c>
      <c r="M187" s="34" t="s">
        <v>479</v>
      </c>
      <c r="N187" s="34" t="str">
        <f t="shared" si="13"/>
        <v>Social | Digital adoption</v>
      </c>
      <c r="O187" t="s">
        <v>1475</v>
      </c>
      <c r="P187" s="109" t="s">
        <v>1476</v>
      </c>
      <c r="Q187" s="38"/>
      <c r="R187" s="38"/>
      <c r="S187" t="s">
        <v>1477</v>
      </c>
      <c r="T187">
        <v>4</v>
      </c>
      <c r="U187">
        <v>2</v>
      </c>
      <c r="V187">
        <v>5</v>
      </c>
      <c r="W187">
        <v>2</v>
      </c>
      <c r="X187" s="106">
        <f t="shared" si="15"/>
        <v>3.4</v>
      </c>
      <c r="Y187" s="34"/>
      <c r="Z187" s="34"/>
    </row>
    <row r="188" spans="1:26" hidden="1">
      <c r="A188" s="41">
        <f t="shared" si="14"/>
        <v>185</v>
      </c>
      <c r="B188" s="35" t="s">
        <v>1478</v>
      </c>
      <c r="C188" s="35" t="str">
        <f t="shared" si="11"/>
        <v>Meta lần đầu ra mắt mô hình frontier AI riêng từ nhóm siêu trí tuệ – Kết quả $143 tỷ USD đầu tư</v>
      </c>
      <c r="D188" t="s">
        <v>85</v>
      </c>
      <c r="E188" s="105" t="str">
        <f>VLOOKUP(X188,'Updating-Scoring'!$C$2:$D$7,2,TRUE)</f>
        <v>3 - Market signal</v>
      </c>
      <c r="F188">
        <f t="shared" si="12"/>
        <v>16</v>
      </c>
      <c r="G188" s="110">
        <v>46125</v>
      </c>
      <c r="H188" t="s">
        <v>1479</v>
      </c>
      <c r="I188" s="34">
        <v>46122</v>
      </c>
      <c r="J188" t="s">
        <v>284</v>
      </c>
      <c r="K188" s="34" t="s">
        <v>428</v>
      </c>
      <c r="L188" s="34" t="s">
        <v>451</v>
      </c>
      <c r="M188" s="34" t="s">
        <v>483</v>
      </c>
      <c r="N188" s="34" t="str">
        <f t="shared" si="13"/>
        <v>Technology | AI/ Gen AI</v>
      </c>
      <c r="O188" t="s">
        <v>1480</v>
      </c>
      <c r="P188" s="109" t="s">
        <v>1481</v>
      </c>
      <c r="Q188" s="38"/>
      <c r="R188" s="38"/>
      <c r="S188" t="s">
        <v>1482</v>
      </c>
      <c r="T188">
        <v>3</v>
      </c>
      <c r="U188">
        <v>3</v>
      </c>
      <c r="V188">
        <v>4</v>
      </c>
      <c r="W188">
        <v>4</v>
      </c>
      <c r="X188" s="106">
        <f t="shared" si="15"/>
        <v>3.35</v>
      </c>
      <c r="Y188" s="34"/>
      <c r="Z188" s="34"/>
    </row>
    <row r="189" spans="1:26" hidden="1">
      <c r="A189" s="41">
        <f t="shared" si="14"/>
        <v>186</v>
      </c>
      <c r="B189" s="35" t="s">
        <v>1483</v>
      </c>
      <c r="C189" s="35" t="str">
        <f t="shared" si="11"/>
        <v>Messenger.com ngừng hoạt động tại Việt Nam từ 16/4 – Meta đóng điểm chạm web tại VN</v>
      </c>
      <c r="D189" t="s">
        <v>119</v>
      </c>
      <c r="E189" s="105" t="str">
        <f>VLOOKUP(X189,'Updating-Scoring'!$C$2:$D$7,2,TRUE)</f>
        <v>3 - Market signal</v>
      </c>
      <c r="F189">
        <f t="shared" si="12"/>
        <v>16</v>
      </c>
      <c r="G189" s="34">
        <v>46125</v>
      </c>
      <c r="H189" t="s">
        <v>1484</v>
      </c>
      <c r="I189" s="34">
        <v>46115</v>
      </c>
      <c r="J189" t="s">
        <v>284</v>
      </c>
      <c r="K189" s="34" t="s">
        <v>431</v>
      </c>
      <c r="L189" s="34" t="s">
        <v>449</v>
      </c>
      <c r="M189" s="34" t="s">
        <v>479</v>
      </c>
      <c r="N189" s="34" t="str">
        <f t="shared" si="13"/>
        <v>Social | Digital adoption</v>
      </c>
      <c r="O189" t="s">
        <v>1485</v>
      </c>
      <c r="P189" s="109" t="s">
        <v>1486</v>
      </c>
      <c r="Q189" s="38"/>
      <c r="R189" s="38"/>
      <c r="S189" t="s">
        <v>1487</v>
      </c>
      <c r="T189">
        <v>4</v>
      </c>
      <c r="U189">
        <v>3</v>
      </c>
      <c r="V189">
        <v>4</v>
      </c>
      <c r="W189">
        <v>1</v>
      </c>
      <c r="X189" s="106">
        <f t="shared" si="15"/>
        <v>3.3000000000000003</v>
      </c>
      <c r="Y189" s="34"/>
      <c r="Z189" s="34"/>
    </row>
    <row r="190" spans="1:26" hidden="1">
      <c r="A190" s="41">
        <f t="shared" si="14"/>
        <v>187</v>
      </c>
      <c r="B190" s="35" t="s">
        <v>1488</v>
      </c>
      <c r="C190" s="35" t="str">
        <f t="shared" si="11"/>
        <v>OpenClaw dính lỗ hổng bảo mật nghiêm trọng – Rủi ro với dữ liệu doanh nghiệp dùng AI automation tool</v>
      </c>
      <c r="D190" t="s">
        <v>131</v>
      </c>
      <c r="E190" s="105" t="str">
        <f>VLOOKUP(X190,'Updating-Scoring'!$C$2:$D$7,2,TRUE)</f>
        <v>3 - Market signal</v>
      </c>
      <c r="F190">
        <f t="shared" si="12"/>
        <v>16</v>
      </c>
      <c r="G190" s="110">
        <v>46125</v>
      </c>
      <c r="H190" t="s">
        <v>1489</v>
      </c>
      <c r="I190" s="34">
        <v>46120</v>
      </c>
      <c r="J190" t="s">
        <v>284</v>
      </c>
      <c r="K190" s="34" t="s">
        <v>428</v>
      </c>
      <c r="L190" s="34" t="s">
        <v>451</v>
      </c>
      <c r="M190" s="34" t="s">
        <v>483</v>
      </c>
      <c r="N190" s="34" t="str">
        <f t="shared" si="13"/>
        <v>Technology | AI/ Gen AI</v>
      </c>
      <c r="O190" t="s">
        <v>1490</v>
      </c>
      <c r="P190" s="109" t="s">
        <v>1491</v>
      </c>
      <c r="Q190" s="38"/>
      <c r="R190" s="38"/>
      <c r="S190" t="s">
        <v>1492</v>
      </c>
      <c r="T190">
        <v>3</v>
      </c>
      <c r="U190">
        <v>3</v>
      </c>
      <c r="V190">
        <v>3</v>
      </c>
      <c r="W190">
        <v>5</v>
      </c>
      <c r="X190" s="106">
        <f t="shared" si="15"/>
        <v>3.3000000000000003</v>
      </c>
      <c r="Y190" s="34"/>
      <c r="Z190" s="34"/>
    </row>
    <row r="191" spans="1:26" hidden="1">
      <c r="A191" s="41">
        <f t="shared" si="14"/>
        <v>188</v>
      </c>
      <c r="B191" s="35" t="s">
        <v>1493</v>
      </c>
      <c r="C191" s="35" t="str">
        <f t="shared" si="11"/>
        <v>LinkedIn bị cáo buộc âm thầm theo dõi trình duyệt người dùng – Vi phạm cam kết dữ liệu</v>
      </c>
      <c r="D191" t="s">
        <v>119</v>
      </c>
      <c r="E191" s="105" t="str">
        <f>VLOOKUP(X191,'Updating-Scoring'!$C$2:$D$7,2,TRUE)</f>
        <v>3 - Market signal</v>
      </c>
      <c r="F191">
        <f t="shared" si="12"/>
        <v>16</v>
      </c>
      <c r="G191" s="110">
        <v>46125</v>
      </c>
      <c r="H191" t="s">
        <v>1494</v>
      </c>
      <c r="I191" s="34">
        <v>46117</v>
      </c>
      <c r="J191" t="s">
        <v>284</v>
      </c>
      <c r="K191" s="34" t="s">
        <v>428</v>
      </c>
      <c r="L191" s="34" t="s">
        <v>453</v>
      </c>
      <c r="M191" s="34" t="s">
        <v>492</v>
      </c>
      <c r="N191" s="34" t="str">
        <f t="shared" si="13"/>
        <v>Legal | Data privacy</v>
      </c>
      <c r="O191" t="s">
        <v>1495</v>
      </c>
      <c r="P191" s="109" t="s">
        <v>1496</v>
      </c>
      <c r="Q191" s="38"/>
      <c r="R191" s="38"/>
      <c r="S191" t="s">
        <v>1497</v>
      </c>
      <c r="T191">
        <v>3</v>
      </c>
      <c r="U191">
        <v>4</v>
      </c>
      <c r="V191">
        <v>3</v>
      </c>
      <c r="W191">
        <v>3</v>
      </c>
      <c r="X191" s="106">
        <f t="shared" si="15"/>
        <v>3.25</v>
      </c>
      <c r="Y191" s="34"/>
      <c r="Z191" s="34"/>
    </row>
    <row r="192" spans="1:26" hidden="1">
      <c r="A192" s="41">
        <f t="shared" si="14"/>
        <v>189</v>
      </c>
      <c r="B192" s="35" t="s">
        <v>1498</v>
      </c>
      <c r="C192" s="35" t="str">
        <f t="shared" si="11"/>
        <v>Microsoft thừa nhận Copilot chỉ dành cho giải trí – Không nên tin vào thông tin Copilot cung cấp</v>
      </c>
      <c r="D192" t="s">
        <v>85</v>
      </c>
      <c r="E192" s="105" t="str">
        <f>VLOOKUP(X192,'Updating-Scoring'!$C$2:$D$7,2,TRUE)</f>
        <v>3 - Market signal</v>
      </c>
      <c r="F192">
        <f t="shared" si="12"/>
        <v>16</v>
      </c>
      <c r="G192" s="34">
        <v>46125</v>
      </c>
      <c r="H192" t="s">
        <v>1499</v>
      </c>
      <c r="I192" s="34">
        <v>46118</v>
      </c>
      <c r="J192" t="s">
        <v>284</v>
      </c>
      <c r="K192" s="34" t="s">
        <v>428</v>
      </c>
      <c r="L192" s="34" t="s">
        <v>451</v>
      </c>
      <c r="M192" s="34" t="s">
        <v>483</v>
      </c>
      <c r="N192" s="34" t="str">
        <f t="shared" si="13"/>
        <v>Technology | AI/ Gen AI</v>
      </c>
      <c r="O192" t="s">
        <v>1500</v>
      </c>
      <c r="P192" s="109" t="s">
        <v>1501</v>
      </c>
      <c r="Q192" s="38"/>
      <c r="R192" s="38"/>
      <c r="S192" t="s">
        <v>1502</v>
      </c>
      <c r="T192">
        <v>4</v>
      </c>
      <c r="U192">
        <v>3</v>
      </c>
      <c r="V192">
        <v>3</v>
      </c>
      <c r="W192">
        <v>2</v>
      </c>
      <c r="X192" s="106">
        <f t="shared" si="15"/>
        <v>3.25</v>
      </c>
      <c r="Y192" s="34"/>
      <c r="Z192" s="34"/>
    </row>
    <row r="193" spans="1:26" hidden="1">
      <c r="A193" s="41">
        <f t="shared" si="14"/>
        <v>190</v>
      </c>
      <c r="B193" s="35" t="s">
        <v>1503</v>
      </c>
      <c r="C193" s="35" t="str">
        <f t="shared" si="11"/>
        <v>Claude Code tính thêm phí khi tích hợp công cụ bên thứ ba – Thay đổi mô hình pricing AI coding tool</v>
      </c>
      <c r="D193" t="s">
        <v>85</v>
      </c>
      <c r="E193" s="105" t="str">
        <f>VLOOKUP(X193,'Updating-Scoring'!$C$2:$D$7,2,TRUE)</f>
        <v>3 - Market signal</v>
      </c>
      <c r="F193">
        <f t="shared" si="12"/>
        <v>16</v>
      </c>
      <c r="G193" s="110">
        <v>46125</v>
      </c>
      <c r="H193" t="s">
        <v>1504</v>
      </c>
      <c r="I193" s="34">
        <v>46119</v>
      </c>
      <c r="J193" t="s">
        <v>284</v>
      </c>
      <c r="K193" s="34" t="s">
        <v>428</v>
      </c>
      <c r="L193" s="34" t="s">
        <v>447</v>
      </c>
      <c r="M193" s="34" t="s">
        <v>957</v>
      </c>
      <c r="N193" s="34" t="str">
        <f t="shared" si="13"/>
        <v>Economic | Market growth/ market size</v>
      </c>
      <c r="O193" t="s">
        <v>1505</v>
      </c>
      <c r="P193" s="109" t="s">
        <v>1506</v>
      </c>
      <c r="Q193" s="38"/>
      <c r="R193" s="38"/>
      <c r="S193" t="s">
        <v>1507</v>
      </c>
      <c r="T193">
        <v>4</v>
      </c>
      <c r="U193">
        <v>3</v>
      </c>
      <c r="V193">
        <v>3</v>
      </c>
      <c r="W193">
        <v>2</v>
      </c>
      <c r="X193" s="106">
        <f t="shared" si="15"/>
        <v>3.25</v>
      </c>
      <c r="Y193" s="34"/>
      <c r="Z193" s="34"/>
    </row>
    <row r="194" spans="1:26" hidden="1">
      <c r="A194" s="41">
        <f t="shared" si="14"/>
        <v>191</v>
      </c>
      <c r="B194" s="35" t="s">
        <v>1508</v>
      </c>
      <c r="C194" s="35" t="str">
        <f t="shared" si="11"/>
        <v>Giải thưởng $1M cho AI người Việt mở đăng ký – Tín hiệu tích cực cho hệ sinh thái AI nội địa</v>
      </c>
      <c r="D194" t="s">
        <v>85</v>
      </c>
      <c r="E194" s="105" t="str">
        <f>VLOOKUP(X194,'Updating-Scoring'!$C$2:$D$7,2,TRUE)</f>
        <v>3 - Market signal</v>
      </c>
      <c r="F194">
        <f t="shared" si="12"/>
        <v>16</v>
      </c>
      <c r="G194" s="34">
        <v>46125</v>
      </c>
      <c r="H194" t="s">
        <v>1509</v>
      </c>
      <c r="I194" s="34">
        <v>46118</v>
      </c>
      <c r="J194" t="s">
        <v>284</v>
      </c>
      <c r="K194" s="34" t="s">
        <v>431</v>
      </c>
      <c r="L194" s="34" t="s">
        <v>451</v>
      </c>
      <c r="M194" s="34" t="s">
        <v>483</v>
      </c>
      <c r="N194" s="34" t="str">
        <f t="shared" si="13"/>
        <v>Technology | AI/ Gen AI</v>
      </c>
      <c r="O194" t="s">
        <v>1510</v>
      </c>
      <c r="P194" s="109" t="s">
        <v>1511</v>
      </c>
      <c r="Q194" s="38"/>
      <c r="R194" s="38"/>
      <c r="S194" t="s">
        <v>1512</v>
      </c>
      <c r="T194">
        <v>4</v>
      </c>
      <c r="U194">
        <v>3</v>
      </c>
      <c r="V194">
        <v>2</v>
      </c>
      <c r="W194">
        <v>3</v>
      </c>
      <c r="X194" s="106">
        <f t="shared" si="15"/>
        <v>3.2</v>
      </c>
      <c r="Y194" s="34"/>
      <c r="Z194" s="34"/>
    </row>
    <row r="195" spans="1:26" hidden="1">
      <c r="A195" s="41">
        <f t="shared" si="14"/>
        <v>192</v>
      </c>
      <c r="B195" s="35" t="s">
        <v>1513</v>
      </c>
      <c r="C195" s="35" t="str">
        <f t="shared" si="11"/>
        <v>Sandbox Việt Nam chưa trở thành bệ phóng cho startup công nghệ – Phân tích rào cản thực thi</v>
      </c>
      <c r="D195" t="s">
        <v>104</v>
      </c>
      <c r="E195" s="105" t="str">
        <f>VLOOKUP(X195,'Updating-Scoring'!$C$2:$D$7,2,TRUE)</f>
        <v>3 - Market signal</v>
      </c>
      <c r="F195">
        <f t="shared" si="12"/>
        <v>16</v>
      </c>
      <c r="G195" s="34">
        <v>46125</v>
      </c>
      <c r="H195" t="s">
        <v>1514</v>
      </c>
      <c r="I195" s="34">
        <v>46120</v>
      </c>
      <c r="J195" t="s">
        <v>284</v>
      </c>
      <c r="K195" s="34" t="s">
        <v>431</v>
      </c>
      <c r="L195" s="34" t="s">
        <v>453</v>
      </c>
      <c r="M195" s="34" t="s">
        <v>489</v>
      </c>
      <c r="N195" s="34" t="str">
        <f t="shared" si="13"/>
        <v>Legal | Fintech/ Wallet</v>
      </c>
      <c r="O195" t="s">
        <v>1515</v>
      </c>
      <c r="P195" s="109" t="s">
        <v>1516</v>
      </c>
      <c r="Q195" s="38"/>
      <c r="R195" s="38"/>
      <c r="S195" t="s">
        <v>1517</v>
      </c>
      <c r="T195">
        <v>3</v>
      </c>
      <c r="U195">
        <v>3</v>
      </c>
      <c r="V195">
        <v>3</v>
      </c>
      <c r="W195">
        <v>4</v>
      </c>
      <c r="X195" s="106">
        <f t="shared" si="15"/>
        <v>3.1500000000000004</v>
      </c>
      <c r="Y195" s="34"/>
      <c r="Z195" s="34"/>
    </row>
    <row r="196" spans="1:26" hidden="1">
      <c r="A196" s="41">
        <f t="shared" si="14"/>
        <v>193</v>
      </c>
      <c r="B196" s="35" t="s">
        <v>1518</v>
      </c>
      <c r="C196" s="35" t="str">
        <f t="shared" ref="C196:C259" si="16">HYPERLINK(B196,O196)</f>
        <v>YouTube thử nghiệm quảng cáo 90 giây không bỏ qua được – Tín hiệu siết chặt mô hình free tier</v>
      </c>
      <c r="D196" t="s">
        <v>85</v>
      </c>
      <c r="E196" s="105" t="str">
        <f>VLOOKUP(X196,'Updating-Scoring'!$C$2:$D$7,2,TRUE)</f>
        <v>3 - Market signal</v>
      </c>
      <c r="F196">
        <f t="shared" ref="F196:F259" si="17">WEEKNUM(G196,2)</f>
        <v>16</v>
      </c>
      <c r="G196" s="34">
        <v>46125</v>
      </c>
      <c r="H196" t="s">
        <v>1519</v>
      </c>
      <c r="I196" s="34">
        <v>46122</v>
      </c>
      <c r="J196" t="s">
        <v>284</v>
      </c>
      <c r="K196" s="34" t="s">
        <v>428</v>
      </c>
      <c r="L196" s="34" t="s">
        <v>449</v>
      </c>
      <c r="M196" s="34" t="s">
        <v>479</v>
      </c>
      <c r="N196" s="34" t="str">
        <f t="shared" ref="N196:N259" si="18">L196&amp;" | "&amp;M196</f>
        <v>Social | Digital adoption</v>
      </c>
      <c r="O196" t="s">
        <v>1520</v>
      </c>
      <c r="P196" s="109" t="s">
        <v>1521</v>
      </c>
      <c r="Q196" s="38"/>
      <c r="R196" s="38"/>
      <c r="S196" t="s">
        <v>1522</v>
      </c>
      <c r="T196">
        <v>4</v>
      </c>
      <c r="U196">
        <v>3</v>
      </c>
      <c r="V196">
        <v>3</v>
      </c>
      <c r="W196">
        <v>1</v>
      </c>
      <c r="X196" s="106">
        <f t="shared" si="15"/>
        <v>3.1</v>
      </c>
      <c r="Y196" s="34"/>
      <c r="Z196" s="34"/>
    </row>
    <row r="197" spans="1:26" hidden="1">
      <c r="A197" s="41">
        <f t="shared" ref="A197:A260" si="19">ROW()-3</f>
        <v>194</v>
      </c>
      <c r="B197" s="35" t="s">
        <v>1523</v>
      </c>
      <c r="C197" s="35" t="str">
        <f t="shared" si="16"/>
        <v>Meta AI app tự động hiển thị hoạt động của bạn với bạn bè – Thiết kế chia sẻ dữ liệu mặc định gây tranh cãi</v>
      </c>
      <c r="D197" t="s">
        <v>1012</v>
      </c>
      <c r="E197" s="105" t="str">
        <f>VLOOKUP(X197,'Updating-Scoring'!$C$2:$D$7,2,TRUE)</f>
        <v>3 - Market signal</v>
      </c>
      <c r="F197">
        <f t="shared" si="17"/>
        <v>16</v>
      </c>
      <c r="G197" s="34">
        <v>46125</v>
      </c>
      <c r="H197" t="s">
        <v>1524</v>
      </c>
      <c r="I197" s="34">
        <v>46122</v>
      </c>
      <c r="J197" t="s">
        <v>284</v>
      </c>
      <c r="K197" s="34" t="s">
        <v>428</v>
      </c>
      <c r="L197" s="34" t="s">
        <v>453</v>
      </c>
      <c r="M197" s="34" t="s">
        <v>492</v>
      </c>
      <c r="N197" s="34" t="str">
        <f t="shared" si="18"/>
        <v>Legal | Data privacy</v>
      </c>
      <c r="O197" t="s">
        <v>1525</v>
      </c>
      <c r="P197" s="109" t="s">
        <v>1526</v>
      </c>
      <c r="Q197" s="38"/>
      <c r="R197" s="38"/>
      <c r="S197" t="s">
        <v>1527</v>
      </c>
      <c r="T197">
        <v>4</v>
      </c>
      <c r="U197">
        <v>3</v>
      </c>
      <c r="V197">
        <v>2</v>
      </c>
      <c r="W197">
        <v>2</v>
      </c>
      <c r="X197" s="106">
        <f t="shared" si="15"/>
        <v>3.05</v>
      </c>
      <c r="Y197" s="34"/>
      <c r="Z197" s="34"/>
    </row>
    <row r="198" spans="1:26" hidden="1">
      <c r="A198" s="41">
        <f t="shared" si="19"/>
        <v>195</v>
      </c>
      <c r="B198" s="35" t="s">
        <v>1528</v>
      </c>
      <c r="C198" s="35" t="str">
        <f t="shared" si="16"/>
        <v>Instagram mở rộng giới hạn nội dung cho người dùng dưới 18 tuổi ra toàn cầu – Áp lực pháp lý định hình thiết kế platform</v>
      </c>
      <c r="D198" t="s">
        <v>1012</v>
      </c>
      <c r="E198" s="105" t="str">
        <f>VLOOKUP(X198,'Updating-Scoring'!$C$2:$D$7,2,TRUE)</f>
        <v>3 - Market signal</v>
      </c>
      <c r="F198">
        <f t="shared" si="17"/>
        <v>16</v>
      </c>
      <c r="G198" s="34">
        <v>46125</v>
      </c>
      <c r="H198" t="s">
        <v>1529</v>
      </c>
      <c r="I198" s="34">
        <v>46121</v>
      </c>
      <c r="J198" t="s">
        <v>284</v>
      </c>
      <c r="K198" s="34" t="s">
        <v>428</v>
      </c>
      <c r="L198" s="34" t="s">
        <v>453</v>
      </c>
      <c r="M198" s="34" t="s">
        <v>86</v>
      </c>
      <c r="N198" s="34" t="str">
        <f t="shared" si="18"/>
        <v>Legal | AI</v>
      </c>
      <c r="O198" t="s">
        <v>1530</v>
      </c>
      <c r="P198" s="109" t="s">
        <v>1531</v>
      </c>
      <c r="Q198" s="38"/>
      <c r="R198" s="38"/>
      <c r="S198" t="s">
        <v>1532</v>
      </c>
      <c r="T198">
        <v>4</v>
      </c>
      <c r="U198">
        <v>3</v>
      </c>
      <c r="V198">
        <v>2</v>
      </c>
      <c r="W198">
        <v>2</v>
      </c>
      <c r="X198" s="106">
        <f t="shared" si="15"/>
        <v>3.05</v>
      </c>
      <c r="Y198" s="34"/>
      <c r="Z198" s="34"/>
    </row>
    <row r="199" spans="1:26" hidden="1">
      <c r="A199" s="41">
        <f t="shared" si="19"/>
        <v>196</v>
      </c>
      <c r="B199" s="35" t="s">
        <v>1533</v>
      </c>
      <c r="C199" s="35" t="str">
        <f t="shared" si="16"/>
        <v>Canva thâu tóm loạt startup để đẩy mạnh AI agent và tự động hóa marketing – Từ design tool sang marketing platform</v>
      </c>
      <c r="D199" t="s">
        <v>104</v>
      </c>
      <c r="E199" s="105" t="str">
        <f>VLOOKUP(X199,'Updating-Scoring'!$C$2:$D$7,2,TRUE)</f>
        <v>2 - Minor signal</v>
      </c>
      <c r="F199">
        <f t="shared" si="17"/>
        <v>16</v>
      </c>
      <c r="G199" s="34">
        <v>46125</v>
      </c>
      <c r="H199" t="s">
        <v>1534</v>
      </c>
      <c r="I199" s="34">
        <v>46121</v>
      </c>
      <c r="J199" t="s">
        <v>284</v>
      </c>
      <c r="K199" s="34" t="s">
        <v>428</v>
      </c>
      <c r="L199" s="34" t="s">
        <v>451</v>
      </c>
      <c r="M199" s="34" t="s">
        <v>483</v>
      </c>
      <c r="N199" s="34" t="str">
        <f t="shared" si="18"/>
        <v>Technology | AI/ Gen AI</v>
      </c>
      <c r="O199" t="s">
        <v>1535</v>
      </c>
      <c r="P199" s="109" t="s">
        <v>1536</v>
      </c>
      <c r="Q199" s="38"/>
      <c r="R199" s="38"/>
      <c r="S199" t="s">
        <v>1537</v>
      </c>
      <c r="T199">
        <v>3</v>
      </c>
      <c r="U199">
        <v>3</v>
      </c>
      <c r="V199">
        <v>3</v>
      </c>
      <c r="W199">
        <v>3</v>
      </c>
      <c r="X199" s="106">
        <f t="shared" si="15"/>
        <v>3</v>
      </c>
      <c r="Y199" s="34"/>
      <c r="Z199" s="34"/>
    </row>
    <row r="200" spans="1:26" hidden="1">
      <c r="A200" s="41">
        <f t="shared" si="19"/>
        <v>197</v>
      </c>
      <c r="B200" s="35" t="s">
        <v>1538</v>
      </c>
      <c r="C200" s="35" t="str">
        <f t="shared" si="16"/>
        <v>AI vượt qua bản quyền âm nhạc – Ngành thu âm đứng trước thách thức pháp lý và mô hình doanh thu mới</v>
      </c>
      <c r="D200" t="s">
        <v>85</v>
      </c>
      <c r="E200" s="105" t="str">
        <f>VLOOKUP(X200,'Updating-Scoring'!$C$2:$D$7,2,TRUE)</f>
        <v>2 - Minor signal</v>
      </c>
      <c r="F200">
        <f t="shared" si="17"/>
        <v>16</v>
      </c>
      <c r="G200" s="34">
        <v>46125</v>
      </c>
      <c r="H200" t="s">
        <v>1539</v>
      </c>
      <c r="I200" s="34">
        <v>46120</v>
      </c>
      <c r="J200" t="s">
        <v>284</v>
      </c>
      <c r="K200" s="34" t="s">
        <v>428</v>
      </c>
      <c r="L200" s="34" t="s">
        <v>453</v>
      </c>
      <c r="M200" s="34" t="s">
        <v>86</v>
      </c>
      <c r="N200" s="34" t="str">
        <f t="shared" si="18"/>
        <v>Legal | AI</v>
      </c>
      <c r="O200" t="s">
        <v>1540</v>
      </c>
      <c r="P200" s="109" t="s">
        <v>1541</v>
      </c>
      <c r="Q200" s="38"/>
      <c r="R200" s="38"/>
      <c r="S200" t="s">
        <v>1542</v>
      </c>
      <c r="T200">
        <v>3</v>
      </c>
      <c r="U200">
        <v>3</v>
      </c>
      <c r="V200">
        <v>3</v>
      </c>
      <c r="W200">
        <v>3</v>
      </c>
      <c r="X200" s="106">
        <f t="shared" si="15"/>
        <v>3</v>
      </c>
      <c r="Y200" s="34"/>
      <c r="Z200" s="34"/>
    </row>
    <row r="201" spans="1:26" hidden="1">
      <c r="A201" s="41">
        <f t="shared" si="19"/>
        <v>198</v>
      </c>
      <c r="B201" s="35" t="s">
        <v>1543</v>
      </c>
      <c r="C201" s="35" t="str">
        <f t="shared" si="16"/>
        <v>Việt Nam nổi lên như thị trường data center mới của châu Á-Thái Bình Dương</v>
      </c>
      <c r="D201" t="s">
        <v>104</v>
      </c>
      <c r="E201" s="105" t="str">
        <f>VLOOKUP(X201,'Updating-Scoring'!$C$2:$D$7,2,TRUE)</f>
        <v>2 - Minor signal</v>
      </c>
      <c r="F201">
        <f t="shared" si="17"/>
        <v>16</v>
      </c>
      <c r="G201" s="34">
        <v>46125</v>
      </c>
      <c r="H201" t="s">
        <v>1544</v>
      </c>
      <c r="I201" s="34">
        <v>46121</v>
      </c>
      <c r="J201" t="s">
        <v>284</v>
      </c>
      <c r="K201" s="34" t="s">
        <v>431</v>
      </c>
      <c r="L201" s="34" t="s">
        <v>447</v>
      </c>
      <c r="M201" s="34" t="s">
        <v>957</v>
      </c>
      <c r="N201" s="34" t="str">
        <f t="shared" si="18"/>
        <v>Economic | Market growth/ market size</v>
      </c>
      <c r="O201" t="s">
        <v>1545</v>
      </c>
      <c r="P201" s="109" t="s">
        <v>1546</v>
      </c>
      <c r="Q201" s="38"/>
      <c r="R201" s="38"/>
      <c r="S201" t="s">
        <v>1547</v>
      </c>
      <c r="T201">
        <v>3</v>
      </c>
      <c r="U201">
        <v>3</v>
      </c>
      <c r="V201">
        <v>3</v>
      </c>
      <c r="W201">
        <v>3</v>
      </c>
      <c r="X201" s="106">
        <f t="shared" si="15"/>
        <v>3</v>
      </c>
      <c r="Y201" s="34"/>
      <c r="Z201" s="34"/>
    </row>
    <row r="202" spans="1:26" hidden="1">
      <c r="A202" s="41">
        <f t="shared" si="19"/>
        <v>199</v>
      </c>
      <c r="B202" s="35" t="s">
        <v>1548</v>
      </c>
      <c r="C202" s="35" t="str">
        <f t="shared" si="16"/>
        <v>Giải mã vòng gọi vốn mới nhất của OpenAI – Cấu trúc đặc biệt và hàm ý cho hệ sinh thái AI</v>
      </c>
      <c r="D202" t="s">
        <v>104</v>
      </c>
      <c r="E202" s="105" t="str">
        <f>VLOOKUP(X202,'Updating-Scoring'!$C$2:$D$7,2,TRUE)</f>
        <v>2 - Minor signal</v>
      </c>
      <c r="F202">
        <f t="shared" si="17"/>
        <v>16</v>
      </c>
      <c r="G202" s="34">
        <v>46125</v>
      </c>
      <c r="H202" t="s">
        <v>1549</v>
      </c>
      <c r="I202" s="34">
        <v>46121</v>
      </c>
      <c r="J202" t="s">
        <v>284</v>
      </c>
      <c r="K202" s="34" t="s">
        <v>428</v>
      </c>
      <c r="L202" s="34" t="s">
        <v>447</v>
      </c>
      <c r="M202" s="34" t="s">
        <v>782</v>
      </c>
      <c r="N202" s="34" t="str">
        <f t="shared" si="18"/>
        <v>Economic | Fintech funding/ investment</v>
      </c>
      <c r="O202" t="s">
        <v>1550</v>
      </c>
      <c r="P202" s="109" t="s">
        <v>1551</v>
      </c>
      <c r="Q202" s="38"/>
      <c r="R202" s="38"/>
      <c r="S202" t="s">
        <v>1552</v>
      </c>
      <c r="T202">
        <v>3</v>
      </c>
      <c r="U202">
        <v>3</v>
      </c>
      <c r="V202">
        <v>3</v>
      </c>
      <c r="W202">
        <v>3</v>
      </c>
      <c r="X202" s="106">
        <f t="shared" si="15"/>
        <v>3</v>
      </c>
      <c r="Y202" s="34"/>
      <c r="Z202" s="34"/>
    </row>
    <row r="203" spans="1:26" hidden="1">
      <c r="A203" s="41">
        <f t="shared" si="19"/>
        <v>200</v>
      </c>
      <c r="B203" s="35" t="s">
        <v>1553</v>
      </c>
      <c r="C203" s="35" t="str">
        <f t="shared" si="16"/>
        <v>YouTube Premium tăng giá – Nền tảng streaming subscription tiếp tục siết mô hình thu phí</v>
      </c>
      <c r="D203" t="s">
        <v>1012</v>
      </c>
      <c r="E203" s="105" t="str">
        <f>VLOOKUP(X203,'Updating-Scoring'!$C$2:$D$7,2,TRUE)</f>
        <v>2 - Minor signal</v>
      </c>
      <c r="F203">
        <f t="shared" si="17"/>
        <v>16</v>
      </c>
      <c r="G203" s="34">
        <v>46125</v>
      </c>
      <c r="H203" t="s">
        <v>1554</v>
      </c>
      <c r="I203" s="34">
        <v>46122</v>
      </c>
      <c r="J203" t="s">
        <v>284</v>
      </c>
      <c r="K203" s="34" t="s">
        <v>428</v>
      </c>
      <c r="L203" s="34" t="s">
        <v>447</v>
      </c>
      <c r="M203" s="34" t="s">
        <v>957</v>
      </c>
      <c r="N203" s="34" t="str">
        <f t="shared" si="18"/>
        <v>Economic | Market growth/ market size</v>
      </c>
      <c r="O203" t="s">
        <v>1555</v>
      </c>
      <c r="P203" s="109" t="s">
        <v>1556</v>
      </c>
      <c r="Q203" s="38"/>
      <c r="R203" s="38"/>
      <c r="S203" t="s">
        <v>1557</v>
      </c>
      <c r="T203">
        <v>3</v>
      </c>
      <c r="U203">
        <v>3</v>
      </c>
      <c r="V203">
        <v>3</v>
      </c>
      <c r="W203">
        <v>1</v>
      </c>
      <c r="X203" s="106">
        <f t="shared" si="15"/>
        <v>2.7</v>
      </c>
      <c r="Y203" s="34"/>
      <c r="Z203" s="34"/>
    </row>
    <row r="204" spans="1:26" hidden="1">
      <c r="A204" s="41">
        <f t="shared" si="19"/>
        <v>201</v>
      </c>
      <c r="B204" s="35" t="s">
        <v>1558</v>
      </c>
      <c r="C204" s="35" t="str">
        <f t="shared" si="16"/>
        <v>Hơn 67.000 tin tuyển dụng lập trình viên mới đăng tải – Mức cao nhất 3 năm, nhu cầu AI skills tăng vọt</v>
      </c>
      <c r="D204" t="s">
        <v>85</v>
      </c>
      <c r="E204" s="105" t="str">
        <f>VLOOKUP(X204,'Updating-Scoring'!$C$2:$D$7,2,TRUE)</f>
        <v>2 - Minor signal</v>
      </c>
      <c r="F204">
        <f t="shared" si="17"/>
        <v>16</v>
      </c>
      <c r="G204" s="34">
        <v>46125</v>
      </c>
      <c r="H204" t="s">
        <v>1559</v>
      </c>
      <c r="I204" s="34">
        <v>46121</v>
      </c>
      <c r="J204" t="s">
        <v>284</v>
      </c>
      <c r="K204" s="34" t="s">
        <v>428</v>
      </c>
      <c r="L204" s="34" t="s">
        <v>451</v>
      </c>
      <c r="M204" s="34" t="s">
        <v>483</v>
      </c>
      <c r="N204" s="34" t="str">
        <f t="shared" si="18"/>
        <v>Technology | AI/ Gen AI</v>
      </c>
      <c r="O204" t="s">
        <v>1560</v>
      </c>
      <c r="P204" s="109" t="s">
        <v>1561</v>
      </c>
      <c r="Q204" s="38"/>
      <c r="R204" s="38"/>
      <c r="S204" t="s">
        <v>1562</v>
      </c>
      <c r="T204">
        <v>2</v>
      </c>
      <c r="U204">
        <v>4</v>
      </c>
      <c r="V204">
        <v>2</v>
      </c>
      <c r="W204">
        <v>3</v>
      </c>
      <c r="X204" s="106">
        <f t="shared" si="15"/>
        <v>2.6500000000000004</v>
      </c>
      <c r="Y204" s="34"/>
      <c r="Z204" s="34"/>
    </row>
    <row r="205" spans="1:26" hidden="1">
      <c r="A205" s="41">
        <f t="shared" si="19"/>
        <v>202</v>
      </c>
      <c r="B205" s="35" t="s">
        <v>1563</v>
      </c>
      <c r="C205" s="35" t="str">
        <f t="shared" si="16"/>
        <v>Chính sách xác thực SIM chính chủ chính thức có hiệu lực – Hàng triệu thuê bao di động bị ảnh hưởng</v>
      </c>
      <c r="D205" t="s">
        <v>85</v>
      </c>
      <c r="E205" s="105" t="str">
        <f>VLOOKUP(X205,'Updating-Scoring'!$C$2:$D$7,2,TRUE)</f>
        <v>2 - Minor signal</v>
      </c>
      <c r="F205">
        <f t="shared" si="17"/>
        <v>16</v>
      </c>
      <c r="G205" s="34">
        <v>46125</v>
      </c>
      <c r="H205" t="s">
        <v>1564</v>
      </c>
      <c r="I205" s="34">
        <v>46115</v>
      </c>
      <c r="J205" t="s">
        <v>284</v>
      </c>
      <c r="K205" s="34" t="s">
        <v>431</v>
      </c>
      <c r="L205" s="34" t="s">
        <v>445</v>
      </c>
      <c r="M205" s="34" t="s">
        <v>471</v>
      </c>
      <c r="N205" s="34" t="str">
        <f t="shared" si="18"/>
        <v>Political | National digital strategy</v>
      </c>
      <c r="O205" t="s">
        <v>1565</v>
      </c>
      <c r="P205" s="109" t="s">
        <v>1566</v>
      </c>
      <c r="Q205" s="38"/>
      <c r="R205" s="38"/>
      <c r="S205" t="s">
        <v>1567</v>
      </c>
      <c r="T205">
        <v>3</v>
      </c>
      <c r="U205">
        <v>3</v>
      </c>
      <c r="V205">
        <v>2</v>
      </c>
      <c r="W205">
        <v>2</v>
      </c>
      <c r="X205" s="106">
        <f t="shared" si="15"/>
        <v>2.65</v>
      </c>
      <c r="Y205" s="34"/>
      <c r="Z205" s="34"/>
    </row>
    <row r="206" spans="1:26" hidden="1">
      <c r="A206" s="41">
        <f t="shared" si="19"/>
        <v>203</v>
      </c>
      <c r="B206" s="35" t="s">
        <v>1568</v>
      </c>
      <c r="C206" s="35" t="str">
        <f t="shared" si="16"/>
        <v>Bảo vệ dữ liệu trước tội phạm mạng AI – Khuyến nghị thực hành cho doanh nghiệp Việt</v>
      </c>
      <c r="D206" t="s">
        <v>119</v>
      </c>
      <c r="E206" s="105" t="str">
        <f>VLOOKUP(X206,'Updating-Scoring'!$C$2:$D$7,2,TRUE)</f>
        <v>2 - Minor signal</v>
      </c>
      <c r="F206">
        <f t="shared" si="17"/>
        <v>16</v>
      </c>
      <c r="G206" s="34">
        <v>46125</v>
      </c>
      <c r="H206" t="s">
        <v>1569</v>
      </c>
      <c r="I206" s="34">
        <v>46119</v>
      </c>
      <c r="J206" t="s">
        <v>284</v>
      </c>
      <c r="K206" s="34" t="s">
        <v>431</v>
      </c>
      <c r="L206" s="34" t="s">
        <v>451</v>
      </c>
      <c r="M206" s="34" t="s">
        <v>483</v>
      </c>
      <c r="N206" s="34" t="str">
        <f t="shared" si="18"/>
        <v>Technology | AI/ Gen AI</v>
      </c>
      <c r="O206" t="s">
        <v>1570</v>
      </c>
      <c r="P206" s="109" t="s">
        <v>1571</v>
      </c>
      <c r="Q206" s="38"/>
      <c r="R206" s="38"/>
      <c r="S206" t="s">
        <v>1572</v>
      </c>
      <c r="T206">
        <v>2</v>
      </c>
      <c r="U206">
        <v>3</v>
      </c>
      <c r="V206">
        <v>2</v>
      </c>
      <c r="W206">
        <v>3</v>
      </c>
      <c r="X206" s="106">
        <f t="shared" si="15"/>
        <v>2.4000000000000004</v>
      </c>
      <c r="Y206" s="34"/>
      <c r="Z206" s="34"/>
    </row>
    <row r="207" spans="1:26" hidden="1">
      <c r="A207" s="41">
        <f t="shared" si="19"/>
        <v>204</v>
      </c>
      <c r="B207" s="35" t="s">
        <v>1573</v>
      </c>
      <c r="C207" s="35" t="str">
        <f t="shared" si="16"/>
        <v>Cuộc đua hai công cụ AI tại văn phòng Trung Quốc – DeepSeek vs Kimi cạnh tranh enterprise</v>
      </c>
      <c r="D207" t="s">
        <v>131</v>
      </c>
      <c r="E207" s="105" t="str">
        <f>VLOOKUP(X207,'Updating-Scoring'!$C$2:$D$7,2,TRUE)</f>
        <v>2 - Minor signal</v>
      </c>
      <c r="F207">
        <f t="shared" si="17"/>
        <v>16</v>
      </c>
      <c r="G207" s="34">
        <v>46125</v>
      </c>
      <c r="H207" t="s">
        <v>1574</v>
      </c>
      <c r="I207" s="34">
        <v>46121</v>
      </c>
      <c r="J207" t="s">
        <v>284</v>
      </c>
      <c r="K207" s="34" t="s">
        <v>729</v>
      </c>
      <c r="L207" s="34" t="s">
        <v>451</v>
      </c>
      <c r="M207" s="34" t="s">
        <v>483</v>
      </c>
      <c r="N207" s="34" t="str">
        <f t="shared" si="18"/>
        <v>Technology | AI/ Gen AI</v>
      </c>
      <c r="O207" t="s">
        <v>1575</v>
      </c>
      <c r="P207" s="109" t="s">
        <v>1576</v>
      </c>
      <c r="Q207" s="38"/>
      <c r="R207" s="38"/>
      <c r="S207" t="s">
        <v>1577</v>
      </c>
      <c r="T207">
        <v>2</v>
      </c>
      <c r="U207">
        <v>2</v>
      </c>
      <c r="V207">
        <v>3</v>
      </c>
      <c r="W207">
        <v>3</v>
      </c>
      <c r="X207" s="106">
        <f t="shared" si="15"/>
        <v>2.35</v>
      </c>
      <c r="Y207" s="34"/>
      <c r="Z207" s="34"/>
    </row>
    <row r="208" spans="1:26" hidden="1">
      <c r="A208" s="41">
        <f t="shared" si="19"/>
        <v>205</v>
      </c>
      <c r="B208" s="35" t="s">
        <v>1578</v>
      </c>
      <c r="C208" s="35" t="str">
        <f t="shared" si="16"/>
        <v>Cựu nhân viên Meta bị điều tra vì tải 30.000 ảnh riêng tư người dùng – Rủi ro insider threat trong Big Tech</v>
      </c>
      <c r="D208" t="s">
        <v>131</v>
      </c>
      <c r="E208" s="105" t="str">
        <f>VLOOKUP(X208,'Updating-Scoring'!$C$2:$D$7,2,TRUE)</f>
        <v>2 - Minor signal</v>
      </c>
      <c r="F208">
        <f t="shared" si="17"/>
        <v>16</v>
      </c>
      <c r="G208" s="34">
        <v>46125</v>
      </c>
      <c r="H208" t="s">
        <v>1579</v>
      </c>
      <c r="I208" s="34">
        <v>46121</v>
      </c>
      <c r="J208" t="s">
        <v>284</v>
      </c>
      <c r="K208" s="34" t="s">
        <v>428</v>
      </c>
      <c r="L208" s="34" t="s">
        <v>453</v>
      </c>
      <c r="M208" s="34" t="s">
        <v>492</v>
      </c>
      <c r="N208" s="34" t="str">
        <f t="shared" si="18"/>
        <v>Legal | Data privacy</v>
      </c>
      <c r="O208" t="s">
        <v>1580</v>
      </c>
      <c r="P208" s="109" t="s">
        <v>1581</v>
      </c>
      <c r="Q208" s="38"/>
      <c r="R208" s="38"/>
      <c r="S208" t="s">
        <v>1582</v>
      </c>
      <c r="T208">
        <v>2</v>
      </c>
      <c r="U208">
        <v>3</v>
      </c>
      <c r="V208">
        <v>2</v>
      </c>
      <c r="W208">
        <v>2</v>
      </c>
      <c r="X208" s="106">
        <f t="shared" si="15"/>
        <v>2.25</v>
      </c>
      <c r="Y208" s="34"/>
      <c r="Z208" s="34"/>
    </row>
    <row r="209" spans="1:26" hidden="1">
      <c r="A209" s="41">
        <f t="shared" si="19"/>
        <v>206</v>
      </c>
      <c r="B209" s="35" t="s">
        <v>1583</v>
      </c>
      <c r="C209" s="35" t="str">
        <f t="shared" si="16"/>
        <v>Cảnh báo app GDPX mạo danh Bộ Nông nghiệp kêu gọi nhận token – Lừa đảo crypto mới nhắm vào người dùng di động</v>
      </c>
      <c r="D209" t="s">
        <v>85</v>
      </c>
      <c r="E209" s="105" t="str">
        <f>VLOOKUP(X209,'Updating-Scoring'!$C$2:$D$7,2,TRUE)</f>
        <v>2 - Minor signal</v>
      </c>
      <c r="F209">
        <f t="shared" si="17"/>
        <v>16</v>
      </c>
      <c r="G209" s="34">
        <v>46125</v>
      </c>
      <c r="H209" t="s">
        <v>1584</v>
      </c>
      <c r="I209" s="34">
        <v>46122</v>
      </c>
      <c r="J209" t="s">
        <v>284</v>
      </c>
      <c r="K209" s="34" t="s">
        <v>431</v>
      </c>
      <c r="L209" s="34" t="s">
        <v>453</v>
      </c>
      <c r="M209" s="34" t="s">
        <v>492</v>
      </c>
      <c r="N209" s="34" t="str">
        <f t="shared" si="18"/>
        <v>Legal | Data privacy</v>
      </c>
      <c r="O209" t="s">
        <v>1585</v>
      </c>
      <c r="P209" s="109" t="s">
        <v>1586</v>
      </c>
      <c r="Q209" s="38"/>
      <c r="R209" s="38"/>
      <c r="S209" t="s">
        <v>1587</v>
      </c>
      <c r="T209">
        <v>2</v>
      </c>
      <c r="U209">
        <v>3</v>
      </c>
      <c r="V209">
        <v>2</v>
      </c>
      <c r="W209">
        <v>2</v>
      </c>
      <c r="X209" s="106">
        <f t="shared" ref="X209:X272" si="20">IF(G209&lt;DATE(2026,4,30),T209*$T$1+U209*$U$1+V209*$V$1+W209*$W$1,T209*$T$2+U209*$U$2)</f>
        <v>2.25</v>
      </c>
      <c r="Y209" s="34"/>
      <c r="Z209" s="34"/>
    </row>
    <row r="210" spans="1:26" hidden="1">
      <c r="A210" s="41">
        <f t="shared" si="19"/>
        <v>207</v>
      </c>
      <c r="B210" s="35" t="s">
        <v>1588</v>
      </c>
      <c r="C210" s="35" t="str">
        <f t="shared" si="16"/>
        <v>Hàng loạt tổ chức kêu gọi chặn nội dung AI spam trên YouTube Kids – Áp lực kiểm soát AI content cho trẻ em</v>
      </c>
      <c r="D210" t="s">
        <v>131</v>
      </c>
      <c r="E210" s="105" t="str">
        <f>VLOOKUP(X210,'Updating-Scoring'!$C$2:$D$7,2,TRUE)</f>
        <v>2 - Minor signal</v>
      </c>
      <c r="F210">
        <f t="shared" si="17"/>
        <v>16</v>
      </c>
      <c r="G210" s="34">
        <v>46125</v>
      </c>
      <c r="H210" t="s">
        <v>1589</v>
      </c>
      <c r="I210" s="34">
        <v>46119</v>
      </c>
      <c r="J210" t="s">
        <v>284</v>
      </c>
      <c r="K210" s="34" t="s">
        <v>428</v>
      </c>
      <c r="L210" s="34" t="s">
        <v>453</v>
      </c>
      <c r="M210" s="34" t="s">
        <v>86</v>
      </c>
      <c r="N210" s="34" t="str">
        <f t="shared" si="18"/>
        <v>Legal | AI</v>
      </c>
      <c r="O210" t="s">
        <v>1590</v>
      </c>
      <c r="P210" s="109" t="s">
        <v>1591</v>
      </c>
      <c r="Q210" s="38"/>
      <c r="R210" s="38"/>
      <c r="S210" t="s">
        <v>1592</v>
      </c>
      <c r="T210">
        <v>2</v>
      </c>
      <c r="U210">
        <v>3</v>
      </c>
      <c r="V210">
        <v>2</v>
      </c>
      <c r="W210">
        <v>2</v>
      </c>
      <c r="X210" s="106">
        <f t="shared" si="20"/>
        <v>2.25</v>
      </c>
      <c r="Y210" s="34"/>
      <c r="Z210" s="34"/>
    </row>
    <row r="211" spans="1:26" hidden="1">
      <c r="A211" s="41">
        <f t="shared" si="19"/>
        <v>208</v>
      </c>
      <c r="B211" s="35" t="s">
        <v>1593</v>
      </c>
      <c r="C211" s="35" t="str">
        <f t="shared" si="16"/>
        <v>Công cụ benchmark đánh giá AI dạy-học tiếng Việt – Chuẩn hóa chất lượng AI giáo dục nội địa</v>
      </c>
      <c r="D211" t="s">
        <v>131</v>
      </c>
      <c r="E211" s="105" t="str">
        <f>VLOOKUP(X211,'Updating-Scoring'!$C$2:$D$7,2,TRUE)</f>
        <v>2 - Minor signal</v>
      </c>
      <c r="F211">
        <f t="shared" si="17"/>
        <v>16</v>
      </c>
      <c r="G211" s="34">
        <v>46125</v>
      </c>
      <c r="H211" t="s">
        <v>1594</v>
      </c>
      <c r="I211" s="34">
        <v>46120</v>
      </c>
      <c r="J211" t="s">
        <v>284</v>
      </c>
      <c r="K211" s="34" t="s">
        <v>431</v>
      </c>
      <c r="L211" s="34" t="s">
        <v>451</v>
      </c>
      <c r="M211" s="34" t="s">
        <v>483</v>
      </c>
      <c r="N211" s="34" t="str">
        <f t="shared" si="18"/>
        <v>Technology | AI/ Gen AI</v>
      </c>
      <c r="O211" t="s">
        <v>1595</v>
      </c>
      <c r="P211" s="109" t="s">
        <v>1596</v>
      </c>
      <c r="Q211" s="38"/>
      <c r="R211" s="38"/>
      <c r="S211" t="s">
        <v>1597</v>
      </c>
      <c r="T211">
        <v>2</v>
      </c>
      <c r="U211">
        <v>2</v>
      </c>
      <c r="V211">
        <v>2</v>
      </c>
      <c r="W211">
        <v>3</v>
      </c>
      <c r="X211" s="106">
        <f t="shared" si="20"/>
        <v>2.1500000000000004</v>
      </c>
      <c r="Y211" s="34"/>
      <c r="Z211" s="34"/>
    </row>
    <row r="212" spans="1:26" hidden="1">
      <c r="A212" s="41">
        <f t="shared" si="19"/>
        <v>209</v>
      </c>
      <c r="B212" s="35" t="s">
        <v>1598</v>
      </c>
      <c r="C212" s="35" t="str">
        <f t="shared" si="16"/>
        <v>Viettel Post áp dụng phụ phí xăng dầu 1,5% từ 6/4 – Chi phí logistics tăng thêm cho merchant TMĐT</v>
      </c>
      <c r="D212" t="s">
        <v>85</v>
      </c>
      <c r="E212" s="105" t="str">
        <f>VLOOKUP(X212,'Updating-Scoring'!$C$2:$D$7,2,TRUE)</f>
        <v>2 - Minor signal</v>
      </c>
      <c r="F212">
        <f t="shared" si="17"/>
        <v>16</v>
      </c>
      <c r="G212" s="34">
        <v>46125</v>
      </c>
      <c r="H212" t="s">
        <v>1599</v>
      </c>
      <c r="I212" s="34">
        <v>46117</v>
      </c>
      <c r="J212" t="s">
        <v>284</v>
      </c>
      <c r="K212" s="34" t="s">
        <v>431</v>
      </c>
      <c r="L212" s="34" t="s">
        <v>447</v>
      </c>
      <c r="M212" s="34" t="s">
        <v>957</v>
      </c>
      <c r="N212" s="34" t="str">
        <f t="shared" si="18"/>
        <v>Economic | Market growth/ market size</v>
      </c>
      <c r="O212" t="s">
        <v>1600</v>
      </c>
      <c r="P212" s="109" t="s">
        <v>1601</v>
      </c>
      <c r="Q212" s="38"/>
      <c r="R212" s="38"/>
      <c r="S212" t="s">
        <v>1602</v>
      </c>
      <c r="T212">
        <v>2</v>
      </c>
      <c r="U212">
        <v>3</v>
      </c>
      <c r="V212">
        <v>2</v>
      </c>
      <c r="W212">
        <v>1</v>
      </c>
      <c r="X212" s="106">
        <f t="shared" si="20"/>
        <v>2.1</v>
      </c>
      <c r="Y212" s="34"/>
      <c r="Z212" s="34"/>
    </row>
    <row r="213" spans="1:26" hidden="1">
      <c r="A213" s="41">
        <f t="shared" si="19"/>
        <v>210</v>
      </c>
      <c r="B213" s="35" t="s">
        <v>1603</v>
      </c>
      <c r="C213" s="35" t="str">
        <f t="shared" si="16"/>
        <v>Danh sách quốc gia cấm trẻ em dùng mạng xã hội – Xu hướng lập pháp bảo vệ trẻ em số lan rộng</v>
      </c>
      <c r="D213" t="s">
        <v>1012</v>
      </c>
      <c r="E213" s="105" t="str">
        <f>VLOOKUP(X213,'Updating-Scoring'!$C$2:$D$7,2,TRUE)</f>
        <v>2 - Minor signal</v>
      </c>
      <c r="F213">
        <f t="shared" si="17"/>
        <v>16</v>
      </c>
      <c r="G213" s="34">
        <v>46125</v>
      </c>
      <c r="H213" t="s">
        <v>1604</v>
      </c>
      <c r="I213" s="34">
        <v>46120</v>
      </c>
      <c r="J213" t="s">
        <v>284</v>
      </c>
      <c r="K213" s="34" t="s">
        <v>428</v>
      </c>
      <c r="L213" s="34" t="s">
        <v>453</v>
      </c>
      <c r="M213" s="34" t="s">
        <v>86</v>
      </c>
      <c r="N213" s="34" t="str">
        <f t="shared" si="18"/>
        <v>Legal | AI</v>
      </c>
      <c r="O213" t="s">
        <v>1605</v>
      </c>
      <c r="P213" s="109" t="s">
        <v>1606</v>
      </c>
      <c r="Q213" s="38"/>
      <c r="R213" s="38"/>
      <c r="S213" t="s">
        <v>1607</v>
      </c>
      <c r="T213">
        <v>2</v>
      </c>
      <c r="U213">
        <v>3</v>
      </c>
      <c r="V213">
        <v>2</v>
      </c>
      <c r="W213">
        <v>1</v>
      </c>
      <c r="X213" s="106">
        <f t="shared" si="20"/>
        <v>2.1</v>
      </c>
      <c r="Y213" s="34"/>
      <c r="Z213" s="34"/>
    </row>
    <row r="214" spans="1:26" hidden="1">
      <c r="A214" s="41">
        <f t="shared" si="19"/>
        <v>211</v>
      </c>
      <c r="B214" s="35" t="s">
        <v>1608</v>
      </c>
      <c r="C214" s="35" t="str">
        <f t="shared" si="16"/>
        <v>Google ra mắt app ghi âm AI miễn phí tự động lọc tiếng ừm/à – AI audio đến tay người dùng phổ thông</v>
      </c>
      <c r="D214" t="s">
        <v>85</v>
      </c>
      <c r="E214" s="105" t="str">
        <f>VLOOKUP(X214,'Updating-Scoring'!$C$2:$D$7,2,TRUE)</f>
        <v>1 - Noise</v>
      </c>
      <c r="F214">
        <f t="shared" si="17"/>
        <v>16</v>
      </c>
      <c r="G214" s="34">
        <v>46125</v>
      </c>
      <c r="H214" t="s">
        <v>1609</v>
      </c>
      <c r="I214" s="34">
        <v>46119</v>
      </c>
      <c r="J214" t="s">
        <v>284</v>
      </c>
      <c r="K214" s="34" t="s">
        <v>428</v>
      </c>
      <c r="L214" s="34" t="s">
        <v>451</v>
      </c>
      <c r="M214" s="34" t="s">
        <v>483</v>
      </c>
      <c r="N214" s="34" t="str">
        <f t="shared" si="18"/>
        <v>Technology | AI/ Gen AI</v>
      </c>
      <c r="O214" t="s">
        <v>1610</v>
      </c>
      <c r="P214" s="109" t="s">
        <v>1611</v>
      </c>
      <c r="Q214" s="38"/>
      <c r="R214" s="38"/>
      <c r="S214" t="s">
        <v>1612</v>
      </c>
      <c r="T214">
        <v>1</v>
      </c>
      <c r="U214">
        <v>2</v>
      </c>
      <c r="V214">
        <v>2</v>
      </c>
      <c r="W214">
        <v>3</v>
      </c>
      <c r="X214" s="106">
        <f t="shared" si="20"/>
        <v>1.75</v>
      </c>
      <c r="Y214" s="34"/>
      <c r="Z214" s="34"/>
    </row>
    <row r="215" spans="1:26" hidden="1">
      <c r="A215" s="41">
        <f t="shared" si="19"/>
        <v>212</v>
      </c>
      <c r="B215" s="35" t="s">
        <v>1613</v>
      </c>
      <c r="C215" s="35" t="str">
        <f t="shared" si="16"/>
        <v>Thành trì AirDrop của Apple lung lay – Cạnh tranh từ các giải pháp chia sẻ file đa nền tảng</v>
      </c>
      <c r="D215" t="s">
        <v>131</v>
      </c>
      <c r="E215" s="105" t="str">
        <f>VLOOKUP(X215,'Updating-Scoring'!$C$2:$D$7,2,TRUE)</f>
        <v>1 - Noise</v>
      </c>
      <c r="F215">
        <f t="shared" si="17"/>
        <v>16</v>
      </c>
      <c r="G215" s="34">
        <v>46125</v>
      </c>
      <c r="H215" t="s">
        <v>1614</v>
      </c>
      <c r="I215" s="34">
        <v>46119</v>
      </c>
      <c r="J215" t="s">
        <v>284</v>
      </c>
      <c r="K215" s="34" t="s">
        <v>428</v>
      </c>
      <c r="L215" s="34" t="s">
        <v>451</v>
      </c>
      <c r="M215" s="34" t="s">
        <v>483</v>
      </c>
      <c r="N215" s="34" t="str">
        <f t="shared" si="18"/>
        <v>Technology | AI/ Gen AI</v>
      </c>
      <c r="O215" t="s">
        <v>1615</v>
      </c>
      <c r="P215" s="109" t="s">
        <v>1616</v>
      </c>
      <c r="Q215" s="38"/>
      <c r="R215" s="38"/>
      <c r="S215" t="s">
        <v>1617</v>
      </c>
      <c r="T215">
        <v>1</v>
      </c>
      <c r="U215">
        <v>2</v>
      </c>
      <c r="V215">
        <v>2</v>
      </c>
      <c r="W215">
        <v>1</v>
      </c>
      <c r="X215" s="106">
        <f t="shared" si="20"/>
        <v>1.45</v>
      </c>
      <c r="Y215" s="34"/>
      <c r="Z215" s="34"/>
    </row>
    <row r="216" spans="1:26" hidden="1">
      <c r="A216" s="41">
        <f t="shared" si="19"/>
        <v>213</v>
      </c>
      <c r="B216" s="35" t="s">
        <v>1618</v>
      </c>
      <c r="C216" s="35" t="str">
        <f t="shared" si="16"/>
        <v>Google Maps dùng AI tự động viết chú thích ảnh địa điểm</v>
      </c>
      <c r="D216" t="s">
        <v>1012</v>
      </c>
      <c r="E216" s="105" t="str">
        <f>VLOOKUP(X216,'Updating-Scoring'!$C$2:$D$7,2,TRUE)</f>
        <v>1 - Noise</v>
      </c>
      <c r="F216">
        <f t="shared" si="17"/>
        <v>16</v>
      </c>
      <c r="G216" s="34">
        <v>46125</v>
      </c>
      <c r="H216" t="s">
        <v>1619</v>
      </c>
      <c r="I216" s="34">
        <v>46119</v>
      </c>
      <c r="J216" t="s">
        <v>284</v>
      </c>
      <c r="K216" s="34" t="s">
        <v>428</v>
      </c>
      <c r="L216" s="34" t="s">
        <v>451</v>
      </c>
      <c r="M216" s="34" t="s">
        <v>483</v>
      </c>
      <c r="N216" s="34" t="str">
        <f t="shared" si="18"/>
        <v>Technology | AI/ Gen AI</v>
      </c>
      <c r="O216" t="s">
        <v>1620</v>
      </c>
      <c r="P216" s="109" t="s">
        <v>1621</v>
      </c>
      <c r="Q216" s="38"/>
      <c r="R216" s="38"/>
      <c r="S216" t="s">
        <v>1622</v>
      </c>
      <c r="T216">
        <v>1</v>
      </c>
      <c r="U216">
        <v>2</v>
      </c>
      <c r="V216">
        <v>1</v>
      </c>
      <c r="W216">
        <v>2</v>
      </c>
      <c r="X216" s="106">
        <f t="shared" si="20"/>
        <v>1.4000000000000001</v>
      </c>
      <c r="Y216" s="34"/>
      <c r="Z216" s="34"/>
    </row>
    <row r="217" spans="1:26" hidden="1">
      <c r="A217" s="41">
        <f t="shared" si="19"/>
        <v>214</v>
      </c>
      <c r="B217" s="35" t="s">
        <v>1623</v>
      </c>
      <c r="C217" s="35" t="str">
        <f t="shared" si="16"/>
        <v>Instagram cho phép chỉnh sửa bình luận – Tính năng nhỏ cải thiện UX</v>
      </c>
      <c r="D217" t="s">
        <v>1012</v>
      </c>
      <c r="E217" s="105" t="str">
        <f>VLOOKUP(X217,'Updating-Scoring'!$C$2:$D$7,2,TRUE)</f>
        <v>1 - Noise</v>
      </c>
      <c r="F217">
        <f t="shared" si="17"/>
        <v>16</v>
      </c>
      <c r="G217" s="34">
        <v>46125</v>
      </c>
      <c r="H217" t="s">
        <v>1624</v>
      </c>
      <c r="I217" s="34">
        <v>46121</v>
      </c>
      <c r="J217" t="s">
        <v>284</v>
      </c>
      <c r="K217" s="34" t="s">
        <v>428</v>
      </c>
      <c r="L217" s="34" t="s">
        <v>449</v>
      </c>
      <c r="M217" s="34" t="s">
        <v>723</v>
      </c>
      <c r="N217" s="34" t="str">
        <f t="shared" si="18"/>
        <v>Social | Digital lifestyle</v>
      </c>
      <c r="O217" t="s">
        <v>1625</v>
      </c>
      <c r="P217" s="109" t="s">
        <v>1626</v>
      </c>
      <c r="Q217" s="38"/>
      <c r="R217" s="38"/>
      <c r="S217" t="s">
        <v>1627</v>
      </c>
      <c r="T217">
        <v>1</v>
      </c>
      <c r="U217">
        <v>2</v>
      </c>
      <c r="V217">
        <v>1</v>
      </c>
      <c r="W217">
        <v>1</v>
      </c>
      <c r="X217" s="106">
        <f t="shared" si="20"/>
        <v>1.25</v>
      </c>
      <c r="Y217" s="34"/>
      <c r="Z217" s="34"/>
    </row>
    <row r="218" spans="1:26" hidden="1">
      <c r="A218" s="41">
        <f t="shared" si="19"/>
        <v>215</v>
      </c>
      <c r="B218" s="35" t="s">
        <v>1628</v>
      </c>
      <c r="C218" s="35" t="str">
        <f t="shared" si="16"/>
        <v>LG trình diễn chiến lược AI toàn ngành hàng tại InnoFest APAC 2026</v>
      </c>
      <c r="D218" t="s">
        <v>85</v>
      </c>
      <c r="E218" s="105" t="str">
        <f>VLOOKUP(X218,'Updating-Scoring'!$C$2:$D$7,2,TRUE)</f>
        <v>1 - Noise</v>
      </c>
      <c r="F218">
        <f t="shared" si="17"/>
        <v>16</v>
      </c>
      <c r="G218" s="34">
        <v>46125</v>
      </c>
      <c r="H218" t="s">
        <v>1629</v>
      </c>
      <c r="I218" s="34">
        <v>46121</v>
      </c>
      <c r="J218" t="s">
        <v>284</v>
      </c>
      <c r="K218" s="34" t="s">
        <v>430</v>
      </c>
      <c r="L218" s="34" t="s">
        <v>451</v>
      </c>
      <c r="M218" s="34" t="s">
        <v>483</v>
      </c>
      <c r="N218" s="34" t="str">
        <f t="shared" si="18"/>
        <v>Technology | AI/ Gen AI</v>
      </c>
      <c r="O218" t="s">
        <v>1630</v>
      </c>
      <c r="P218" s="109" t="s">
        <v>1631</v>
      </c>
      <c r="Q218" s="38"/>
      <c r="R218" s="38"/>
      <c r="S218" t="s">
        <v>1632</v>
      </c>
      <c r="T218">
        <v>1</v>
      </c>
      <c r="U218">
        <v>1</v>
      </c>
      <c r="V218">
        <v>1</v>
      </c>
      <c r="W218">
        <v>2</v>
      </c>
      <c r="X218" s="106">
        <f t="shared" si="20"/>
        <v>1.1500000000000001</v>
      </c>
      <c r="Y218" s="34"/>
      <c r="Z218" s="34"/>
    </row>
    <row r="219" spans="1:26" hidden="1">
      <c r="A219" s="41">
        <f t="shared" si="19"/>
        <v>216</v>
      </c>
      <c r="B219" s="35" t="s">
        <v>1633</v>
      </c>
      <c r="C219" s="35" t="str">
        <f t="shared" si="16"/>
        <v>Avec ra mắt app email kiểu Tinder – Vuốt phải/trái để xử lý hộp thư đến</v>
      </c>
      <c r="D219" t="s">
        <v>1012</v>
      </c>
      <c r="E219" s="105" t="str">
        <f>VLOOKUP(X219,'Updating-Scoring'!$C$2:$D$7,2,TRUE)</f>
        <v>1 - Noise</v>
      </c>
      <c r="F219">
        <f t="shared" si="17"/>
        <v>16</v>
      </c>
      <c r="G219" s="34">
        <v>46125</v>
      </c>
      <c r="H219" t="s">
        <v>1634</v>
      </c>
      <c r="I219" s="34">
        <v>46121</v>
      </c>
      <c r="J219" t="s">
        <v>284</v>
      </c>
      <c r="K219" s="34" t="s">
        <v>428</v>
      </c>
      <c r="L219" s="34" t="s">
        <v>449</v>
      </c>
      <c r="M219" s="34" t="s">
        <v>723</v>
      </c>
      <c r="N219" s="34" t="str">
        <f t="shared" si="18"/>
        <v>Social | Digital lifestyle</v>
      </c>
      <c r="O219" t="s">
        <v>1635</v>
      </c>
      <c r="P219" s="109" t="s">
        <v>1636</v>
      </c>
      <c r="Q219" s="38"/>
      <c r="R219" s="38"/>
      <c r="S219" t="s">
        <v>1637</v>
      </c>
      <c r="T219">
        <v>1</v>
      </c>
      <c r="U219">
        <v>1</v>
      </c>
      <c r="V219">
        <v>1</v>
      </c>
      <c r="W219">
        <v>2</v>
      </c>
      <c r="X219" s="106">
        <f t="shared" si="20"/>
        <v>1.1500000000000001</v>
      </c>
      <c r="Y219" s="34"/>
      <c r="Z219" s="34"/>
    </row>
    <row r="220" spans="1:26" hidden="1">
      <c r="A220" s="41">
        <f t="shared" si="19"/>
        <v>217</v>
      </c>
      <c r="B220" s="35" t="s">
        <v>1638</v>
      </c>
      <c r="C220" s="35" t="str">
        <f t="shared" si="16"/>
        <v>Sonder – App hẹn hò mới cố tình làm khó đăng ký và đang hiệu quả</v>
      </c>
      <c r="D220" t="s">
        <v>1012</v>
      </c>
      <c r="E220" s="105" t="str">
        <f>VLOOKUP(X220,'Updating-Scoring'!$C$2:$D$7,2,TRUE)</f>
        <v>1 - Noise</v>
      </c>
      <c r="F220">
        <f t="shared" si="17"/>
        <v>16</v>
      </c>
      <c r="G220" s="34">
        <v>46125</v>
      </c>
      <c r="H220" t="s">
        <v>1639</v>
      </c>
      <c r="I220" s="34">
        <v>46113</v>
      </c>
      <c r="J220" t="s">
        <v>284</v>
      </c>
      <c r="K220" s="34" t="s">
        <v>428</v>
      </c>
      <c r="L220" s="34" t="s">
        <v>449</v>
      </c>
      <c r="M220" s="34" t="s">
        <v>723</v>
      </c>
      <c r="N220" s="34" t="str">
        <f t="shared" si="18"/>
        <v>Social | Digital lifestyle</v>
      </c>
      <c r="O220" t="s">
        <v>1640</v>
      </c>
      <c r="P220" s="109" t="s">
        <v>1641</v>
      </c>
      <c r="Q220" s="38"/>
      <c r="R220" s="38"/>
      <c r="S220" t="s">
        <v>1642</v>
      </c>
      <c r="T220">
        <v>1</v>
      </c>
      <c r="U220">
        <v>1</v>
      </c>
      <c r="V220">
        <v>1</v>
      </c>
      <c r="W220">
        <v>2</v>
      </c>
      <c r="X220" s="106">
        <f t="shared" si="20"/>
        <v>1.1500000000000001</v>
      </c>
      <c r="Y220" s="34"/>
      <c r="Z220" s="34"/>
    </row>
    <row r="221" spans="1:26" hidden="1">
      <c r="A221" s="41">
        <f t="shared" si="19"/>
        <v>218</v>
      </c>
      <c r="B221" s="35" t="s">
        <v>1643</v>
      </c>
      <c r="C221" s="35" t="str">
        <f t="shared" si="16"/>
        <v>Khảo sát: Nhiều người nhìn trộm màn hình smartphone người khác nơi công cộng – Hành vi 'shoulder surfing'</v>
      </c>
      <c r="D221" t="s">
        <v>131</v>
      </c>
      <c r="E221" s="105" t="str">
        <f>VLOOKUP(X221,'Updating-Scoring'!$C$2:$D$7,2,TRUE)</f>
        <v>1 - Noise</v>
      </c>
      <c r="F221">
        <f t="shared" si="17"/>
        <v>16</v>
      </c>
      <c r="G221" s="34">
        <v>46125</v>
      </c>
      <c r="H221" t="s">
        <v>1644</v>
      </c>
      <c r="I221" s="34">
        <v>46120</v>
      </c>
      <c r="J221" t="s">
        <v>284</v>
      </c>
      <c r="K221" s="34" t="s">
        <v>428</v>
      </c>
      <c r="L221" s="34" t="s">
        <v>449</v>
      </c>
      <c r="M221" s="34" t="s">
        <v>723</v>
      </c>
      <c r="N221" s="34" t="str">
        <f t="shared" si="18"/>
        <v>Social | Digital lifestyle</v>
      </c>
      <c r="O221" t="s">
        <v>1645</v>
      </c>
      <c r="P221" s="109" t="s">
        <v>1646</v>
      </c>
      <c r="Q221" s="38"/>
      <c r="R221" s="38"/>
      <c r="S221" t="s">
        <v>1647</v>
      </c>
      <c r="T221">
        <v>1</v>
      </c>
      <c r="U221">
        <v>1</v>
      </c>
      <c r="V221">
        <v>1</v>
      </c>
      <c r="W221">
        <v>1</v>
      </c>
      <c r="X221" s="106">
        <f t="shared" si="20"/>
        <v>1</v>
      </c>
      <c r="Y221" s="34"/>
      <c r="Z221" s="34"/>
    </row>
    <row r="222" spans="1:26" hidden="1">
      <c r="A222" s="41">
        <f t="shared" si="19"/>
        <v>219</v>
      </c>
      <c r="B222" s="35" t="s">
        <v>1648</v>
      </c>
      <c r="C222" s="35" t="str">
        <f t="shared" si="16"/>
        <v>X khôi phục tính năng ghi âm giọng nói trong X Chat – Cải thiện nhỏ trong messaging</v>
      </c>
      <c r="D222" t="s">
        <v>1012</v>
      </c>
      <c r="E222" s="105" t="str">
        <f>VLOOKUP(X222,'Updating-Scoring'!$C$2:$D$7,2,TRUE)</f>
        <v>1 - Noise</v>
      </c>
      <c r="F222">
        <f t="shared" si="17"/>
        <v>16</v>
      </c>
      <c r="G222" s="34">
        <v>46125</v>
      </c>
      <c r="H222" t="s">
        <v>1649</v>
      </c>
      <c r="I222" s="34">
        <v>46121</v>
      </c>
      <c r="J222" t="s">
        <v>284</v>
      </c>
      <c r="K222" s="34" t="s">
        <v>428</v>
      </c>
      <c r="L222" s="34" t="s">
        <v>449</v>
      </c>
      <c r="M222" s="34" t="s">
        <v>723</v>
      </c>
      <c r="N222" s="34" t="str">
        <f t="shared" si="18"/>
        <v>Social | Digital lifestyle</v>
      </c>
      <c r="O222" t="s">
        <v>1650</v>
      </c>
      <c r="P222" s="109" t="s">
        <v>1651</v>
      </c>
      <c r="Q222" s="38"/>
      <c r="R222" s="38"/>
      <c r="S222" t="s">
        <v>1652</v>
      </c>
      <c r="T222">
        <v>1</v>
      </c>
      <c r="U222">
        <v>1</v>
      </c>
      <c r="V222">
        <v>1</v>
      </c>
      <c r="W222">
        <v>1</v>
      </c>
      <c r="X222" s="106">
        <f t="shared" si="20"/>
        <v>1</v>
      </c>
      <c r="Y222" s="34" t="s">
        <v>607</v>
      </c>
      <c r="Z222" s="34" t="s">
        <v>913</v>
      </c>
    </row>
    <row r="223" spans="1:26" hidden="1">
      <c r="A223" s="41">
        <f t="shared" si="19"/>
        <v>220</v>
      </c>
      <c r="B223" s="35" t="s">
        <v>1653</v>
      </c>
      <c r="C223" s="35" t="str">
        <f t="shared" si="16"/>
        <v>MoMo Ví Trả Sau: "Siêu hội hoàn tiền" Hoàn 10-20% cho cả user &amp; SME merchant tại 6 tỉnh/thành</v>
      </c>
      <c r="D223" t="s">
        <v>610</v>
      </c>
      <c r="E223" s="105" t="str">
        <f>VLOOKUP(X223,'Updating-Scoring'!$C$2:$D$7,2,TRUE)</f>
        <v>5 - Industry disruption</v>
      </c>
      <c r="F223">
        <f t="shared" si="17"/>
        <v>16</v>
      </c>
      <c r="G223" s="110">
        <v>46125</v>
      </c>
      <c r="H223" t="s">
        <v>1654</v>
      </c>
      <c r="I223" s="110">
        <v>46122</v>
      </c>
      <c r="J223" t="s">
        <v>170</v>
      </c>
      <c r="K223" s="34" t="s">
        <v>432</v>
      </c>
      <c r="L223" s="34" t="s">
        <v>457</v>
      </c>
      <c r="M223" s="34" t="s">
        <v>416</v>
      </c>
      <c r="N223" s="34" t="str">
        <f t="shared" si="18"/>
        <v>Marketing | Transaction growth</v>
      </c>
      <c r="O223" t="s">
        <v>1655</v>
      </c>
      <c r="P223" s="109" t="s">
        <v>1656</v>
      </c>
      <c r="Q223" s="38">
        <v>46122</v>
      </c>
      <c r="R223" s="38">
        <v>46142</v>
      </c>
      <c r="S223" t="s">
        <v>1657</v>
      </c>
      <c r="T223">
        <v>5</v>
      </c>
      <c r="U223">
        <v>4</v>
      </c>
      <c r="V223">
        <v>5</v>
      </c>
      <c r="W223">
        <v>2</v>
      </c>
      <c r="X223" s="106">
        <f t="shared" si="20"/>
        <v>4.3</v>
      </c>
      <c r="Y223" s="34" t="s">
        <v>607</v>
      </c>
      <c r="Z223" s="34" t="s">
        <v>1658</v>
      </c>
    </row>
    <row r="224" spans="1:26" hidden="1">
      <c r="A224" s="41">
        <f t="shared" si="19"/>
        <v>221</v>
      </c>
      <c r="B224" s="35" t="s">
        <v>1659</v>
      </c>
      <c r="C224" s="35" t="str">
        <f t="shared" si="16"/>
        <v>Nhận tiền từ nước ngoài qua SĐT: Taptap Send, GmoneyTrans, Western Union về thẳng ví</v>
      </c>
      <c r="D224" t="s">
        <v>610</v>
      </c>
      <c r="E224" s="105" t="str">
        <f>VLOOKUP(X224,'Updating-Scoring'!$C$2:$D$7,2,TRUE)</f>
        <v>5 - Industry disruption</v>
      </c>
      <c r="F224">
        <f t="shared" si="17"/>
        <v>16</v>
      </c>
      <c r="G224" s="110">
        <v>46125</v>
      </c>
      <c r="H224" t="s">
        <v>1660</v>
      </c>
      <c r="I224" s="110">
        <v>46121</v>
      </c>
      <c r="J224" t="s">
        <v>170</v>
      </c>
      <c r="K224" s="34" t="s">
        <v>432</v>
      </c>
      <c r="L224" s="34" t="s">
        <v>411</v>
      </c>
      <c r="M224" s="34" t="s">
        <v>501</v>
      </c>
      <c r="N224" s="34" t="str">
        <f t="shared" si="18"/>
        <v>Feature | New feature</v>
      </c>
      <c r="O224" t="s">
        <v>1661</v>
      </c>
      <c r="P224" s="109" t="s">
        <v>1662</v>
      </c>
      <c r="Q224" s="38">
        <v>46121</v>
      </c>
      <c r="R224" s="38"/>
      <c r="S224" t="s">
        <v>1663</v>
      </c>
      <c r="T224">
        <v>5</v>
      </c>
      <c r="U224">
        <v>4</v>
      </c>
      <c r="V224">
        <v>4</v>
      </c>
      <c r="W224">
        <v>3</v>
      </c>
      <c r="X224" s="106">
        <f t="shared" si="20"/>
        <v>4.25</v>
      </c>
      <c r="Y224" s="34" t="s">
        <v>1664</v>
      </c>
      <c r="Z224" s="34" t="s">
        <v>1665</v>
      </c>
    </row>
    <row r="225" spans="1:26" hidden="1">
      <c r="A225" s="41">
        <f t="shared" si="19"/>
        <v>222</v>
      </c>
      <c r="B225" s="35" t="s">
        <v>1666</v>
      </c>
      <c r="C225" s="35" t="str">
        <f t="shared" si="16"/>
        <v>Gamification: MoMo Student Pass – Chuyến Tàu Săn Quà: Sự kiện gamification online-offline cho sinh viên tháng 4/2026</v>
      </c>
      <c r="D225" t="s">
        <v>610</v>
      </c>
      <c r="E225" s="105" t="str">
        <f>VLOOKUP(X225,'Updating-Scoring'!$C$2:$D$7,2,TRUE)</f>
        <v>5 - Industry disruption</v>
      </c>
      <c r="F225">
        <f t="shared" si="17"/>
        <v>16</v>
      </c>
      <c r="G225" s="110">
        <v>46125</v>
      </c>
      <c r="H225" t="s">
        <v>1667</v>
      </c>
      <c r="I225" s="110">
        <v>46121</v>
      </c>
      <c r="J225" t="s">
        <v>170</v>
      </c>
      <c r="K225" s="34" t="s">
        <v>432</v>
      </c>
      <c r="L225" s="34" t="s">
        <v>457</v>
      </c>
      <c r="M225" s="34" t="s">
        <v>414</v>
      </c>
      <c r="N225" s="34" t="str">
        <f t="shared" si="18"/>
        <v>Marketing | User engagement</v>
      </c>
      <c r="O225" t="s">
        <v>1668</v>
      </c>
      <c r="P225" s="109" t="s">
        <v>1669</v>
      </c>
      <c r="Q225" s="38">
        <v>46121</v>
      </c>
      <c r="R225" s="38">
        <v>46131</v>
      </c>
      <c r="S225" t="s">
        <v>1670</v>
      </c>
      <c r="T225">
        <v>5</v>
      </c>
      <c r="U225">
        <v>4</v>
      </c>
      <c r="V225">
        <v>4</v>
      </c>
      <c r="W225">
        <v>3</v>
      </c>
      <c r="X225" s="106">
        <f t="shared" si="20"/>
        <v>4.25</v>
      </c>
      <c r="Y225" s="34" t="s">
        <v>607</v>
      </c>
      <c r="Z225" s="34" t="s">
        <v>1671</v>
      </c>
    </row>
    <row r="226" spans="1:26" hidden="1">
      <c r="A226" s="41">
        <f t="shared" si="19"/>
        <v>223</v>
      </c>
      <c r="B226" s="35" t="s">
        <v>1672</v>
      </c>
      <c r="C226" s="35" t="str">
        <f t="shared" si="16"/>
        <v>Gamification: MoMo Quỹ – Dũng Quỹ tích sao, chia thưởng 100 triệu đồng</v>
      </c>
      <c r="D226" t="s">
        <v>610</v>
      </c>
      <c r="E226" s="105" t="str">
        <f>VLOOKUP(X226,'Updating-Scoring'!$C$2:$D$7,2,TRUE)</f>
        <v>4 - Strategic shift</v>
      </c>
      <c r="F226">
        <f t="shared" si="17"/>
        <v>16</v>
      </c>
      <c r="G226" s="110">
        <v>46125</v>
      </c>
      <c r="H226" t="s">
        <v>1673</v>
      </c>
      <c r="I226" s="110">
        <v>46121</v>
      </c>
      <c r="J226" t="s">
        <v>170</v>
      </c>
      <c r="K226" s="34" t="s">
        <v>432</v>
      </c>
      <c r="L226" s="34" t="s">
        <v>457</v>
      </c>
      <c r="M226" s="34" t="s">
        <v>413</v>
      </c>
      <c r="N226" s="34" t="str">
        <f t="shared" si="18"/>
        <v>Marketing | User activation</v>
      </c>
      <c r="O226" t="s">
        <v>1674</v>
      </c>
      <c r="P226" s="109" t="s">
        <v>1675</v>
      </c>
      <c r="Q226" s="38">
        <v>46120</v>
      </c>
      <c r="R226" s="38">
        <v>46193</v>
      </c>
      <c r="S226" t="s">
        <v>1676</v>
      </c>
      <c r="T226">
        <v>4</v>
      </c>
      <c r="U226">
        <v>4</v>
      </c>
      <c r="V226">
        <v>4</v>
      </c>
      <c r="W226">
        <v>4</v>
      </c>
      <c r="X226" s="106">
        <f t="shared" si="20"/>
        <v>4</v>
      </c>
      <c r="Y226" s="34" t="s">
        <v>607</v>
      </c>
      <c r="Z226" s="34" t="s">
        <v>875</v>
      </c>
    </row>
    <row r="227" spans="1:26" hidden="1">
      <c r="A227" s="41">
        <f t="shared" si="19"/>
        <v>224</v>
      </c>
      <c r="B227" s="35" t="s">
        <v>1677</v>
      </c>
      <c r="C227" s="35" t="str">
        <f t="shared" si="16"/>
        <v>QR Nhận Tiền: Nhận 2k và MoMo tặng 2.000đ</v>
      </c>
      <c r="D227" t="s">
        <v>610</v>
      </c>
      <c r="E227" s="105" t="str">
        <f>VLOOKUP(X227,'Updating-Scoring'!$C$2:$D$7,2,TRUE)</f>
        <v>4 - Strategic shift</v>
      </c>
      <c r="F227">
        <f t="shared" si="17"/>
        <v>16</v>
      </c>
      <c r="G227" s="110">
        <v>46125</v>
      </c>
      <c r="H227" t="s">
        <v>1678</v>
      </c>
      <c r="I227" s="110">
        <v>46121</v>
      </c>
      <c r="J227" t="s">
        <v>170</v>
      </c>
      <c r="K227" s="34" t="s">
        <v>432</v>
      </c>
      <c r="L227" s="34" t="s">
        <v>457</v>
      </c>
      <c r="M227" s="34" t="s">
        <v>415</v>
      </c>
      <c r="N227" s="34" t="str">
        <f t="shared" si="18"/>
        <v>Marketing | User acquisition</v>
      </c>
      <c r="O227" t="s">
        <v>1679</v>
      </c>
      <c r="P227" s="109" t="s">
        <v>1680</v>
      </c>
      <c r="Q227" s="38">
        <v>46119</v>
      </c>
      <c r="R227" s="38">
        <v>46142</v>
      </c>
      <c r="S227" t="s">
        <v>1681</v>
      </c>
      <c r="T227">
        <v>4</v>
      </c>
      <c r="U227">
        <v>4</v>
      </c>
      <c r="V227">
        <v>4.5</v>
      </c>
      <c r="W227">
        <v>2</v>
      </c>
      <c r="X227" s="106">
        <f t="shared" si="20"/>
        <v>3.8</v>
      </c>
      <c r="Y227" s="34" t="s">
        <v>607</v>
      </c>
      <c r="Z227" s="34" t="s">
        <v>875</v>
      </c>
    </row>
    <row r="228" spans="1:26" hidden="1">
      <c r="A228" s="41">
        <f t="shared" si="19"/>
        <v>225</v>
      </c>
      <c r="B228" s="35" t="s">
        <v>1682</v>
      </c>
      <c r="C228" s="35" t="str">
        <f t="shared" si="16"/>
        <v>QR Nhận Tiền: Nhận 5k và cơ hội trúng 9.999.999đ từ MoMo</v>
      </c>
      <c r="D228" t="s">
        <v>610</v>
      </c>
      <c r="E228" s="105" t="str">
        <f>VLOOKUP(X228,'Updating-Scoring'!$C$2:$D$7,2,TRUE)</f>
        <v>4 - Strategic shift</v>
      </c>
      <c r="F228">
        <f t="shared" si="17"/>
        <v>16</v>
      </c>
      <c r="G228" s="110">
        <v>46125</v>
      </c>
      <c r="H228" t="s">
        <v>1683</v>
      </c>
      <c r="I228" s="110">
        <v>46121</v>
      </c>
      <c r="J228" t="s">
        <v>170</v>
      </c>
      <c r="K228" s="34" t="s">
        <v>432</v>
      </c>
      <c r="L228" s="34" t="s">
        <v>457</v>
      </c>
      <c r="M228" s="34" t="s">
        <v>413</v>
      </c>
      <c r="N228" s="34" t="str">
        <f t="shared" si="18"/>
        <v>Marketing | User activation</v>
      </c>
      <c r="O228" t="s">
        <v>1684</v>
      </c>
      <c r="P228" s="109" t="s">
        <v>1685</v>
      </c>
      <c r="Q228" s="38">
        <v>46126</v>
      </c>
      <c r="R228" s="38">
        <v>46142</v>
      </c>
      <c r="S228" t="s">
        <v>1686</v>
      </c>
      <c r="T228">
        <v>4</v>
      </c>
      <c r="U228">
        <v>4</v>
      </c>
      <c r="V228">
        <v>4.5</v>
      </c>
      <c r="W228">
        <v>2</v>
      </c>
      <c r="X228" s="106">
        <f t="shared" si="20"/>
        <v>3.8</v>
      </c>
      <c r="Y228" s="34" t="s">
        <v>607</v>
      </c>
      <c r="Z228" s="34" t="s">
        <v>875</v>
      </c>
    </row>
    <row r="229" spans="1:26" hidden="1">
      <c r="A229" s="41">
        <f t="shared" si="19"/>
        <v>226</v>
      </c>
      <c r="B229" s="35" t="s">
        <v>1687</v>
      </c>
      <c r="C229" s="35" t="str">
        <f t="shared" si="16"/>
        <v>QR Nhận Tiền: Nhận 3k và cơ hội trúng 2.026.000đ từ MoMo</v>
      </c>
      <c r="D229" t="s">
        <v>610</v>
      </c>
      <c r="E229" s="105" t="str">
        <f>VLOOKUP(X229,'Updating-Scoring'!$C$2:$D$7,2,TRUE)</f>
        <v>4 - Strategic shift</v>
      </c>
      <c r="F229">
        <f t="shared" si="17"/>
        <v>16</v>
      </c>
      <c r="G229" s="110">
        <v>46125</v>
      </c>
      <c r="H229" t="s">
        <v>1688</v>
      </c>
      <c r="I229" s="110">
        <v>46121</v>
      </c>
      <c r="J229" t="s">
        <v>170</v>
      </c>
      <c r="K229" s="34" t="s">
        <v>432</v>
      </c>
      <c r="L229" s="34" t="s">
        <v>457</v>
      </c>
      <c r="M229" s="34" t="s">
        <v>413</v>
      </c>
      <c r="N229" s="34" t="str">
        <f t="shared" si="18"/>
        <v>Marketing | User activation</v>
      </c>
      <c r="O229" t="s">
        <v>1689</v>
      </c>
      <c r="P229" s="109" t="s">
        <v>1690</v>
      </c>
      <c r="Q229" s="38">
        <v>46126</v>
      </c>
      <c r="R229" s="38">
        <v>46142</v>
      </c>
      <c r="S229" t="s">
        <v>1691</v>
      </c>
      <c r="T229">
        <v>4</v>
      </c>
      <c r="U229">
        <v>4</v>
      </c>
      <c r="V229">
        <v>4.5</v>
      </c>
      <c r="W229">
        <v>2</v>
      </c>
      <c r="X229" s="106">
        <f t="shared" si="20"/>
        <v>3.8</v>
      </c>
      <c r="Y229" s="34" t="s">
        <v>607</v>
      </c>
      <c r="Z229" s="34" t="s">
        <v>913</v>
      </c>
    </row>
    <row r="230" spans="1:26" hidden="1">
      <c r="A230" s="41">
        <f t="shared" si="19"/>
        <v>227</v>
      </c>
      <c r="B230" s="35" t="s">
        <v>1692</v>
      </c>
      <c r="C230" s="35" t="str">
        <f t="shared" si="16"/>
        <v>Ví Trả Sau: Chương trình quà tặng bạn mới, hoàn tiền đến 50K</v>
      </c>
      <c r="D230" t="s">
        <v>610</v>
      </c>
      <c r="E230" s="105" t="str">
        <f>VLOOKUP(X230,'Updating-Scoring'!$C$2:$D$7,2,TRUE)</f>
        <v>4 - Strategic shift</v>
      </c>
      <c r="F230">
        <f t="shared" si="17"/>
        <v>16</v>
      </c>
      <c r="G230" s="110">
        <v>46125</v>
      </c>
      <c r="H230" t="s">
        <v>1693</v>
      </c>
      <c r="I230" s="110">
        <v>46118</v>
      </c>
      <c r="J230" t="s">
        <v>170</v>
      </c>
      <c r="K230" s="34" t="s">
        <v>432</v>
      </c>
      <c r="L230" s="34" t="s">
        <v>457</v>
      </c>
      <c r="M230" s="34" t="s">
        <v>415</v>
      </c>
      <c r="N230" s="34" t="str">
        <f t="shared" si="18"/>
        <v>Marketing | User acquisition</v>
      </c>
      <c r="O230" t="s">
        <v>1694</v>
      </c>
      <c r="P230" s="109" t="s">
        <v>1695</v>
      </c>
      <c r="Q230" s="38">
        <v>46119</v>
      </c>
      <c r="R230" s="38">
        <v>46149</v>
      </c>
      <c r="S230" t="s">
        <v>1696</v>
      </c>
      <c r="T230">
        <v>4</v>
      </c>
      <c r="U230">
        <v>4</v>
      </c>
      <c r="V230">
        <v>4</v>
      </c>
      <c r="W230">
        <v>2</v>
      </c>
      <c r="X230" s="106">
        <f t="shared" si="20"/>
        <v>3.7</v>
      </c>
      <c r="Y230" s="34" t="s">
        <v>607</v>
      </c>
      <c r="Z230" s="34" t="s">
        <v>811</v>
      </c>
    </row>
    <row r="231" spans="1:26" hidden="1">
      <c r="A231" s="41">
        <f t="shared" si="19"/>
        <v>228</v>
      </c>
      <c r="B231" s="35" t="s">
        <v>1697</v>
      </c>
      <c r="C231" s="35" t="str">
        <f t="shared" si="16"/>
        <v>MoMo Travel x Vietjet Air: Ưu đãi 15% vé hạng Deluxe hè 2026</v>
      </c>
      <c r="D231" t="s">
        <v>610</v>
      </c>
      <c r="E231" s="105" t="str">
        <f>VLOOKUP(X231,'Updating-Scoring'!$C$2:$D$7,2,TRUE)</f>
        <v>4 - Strategic shift</v>
      </c>
      <c r="F231">
        <f t="shared" si="17"/>
        <v>16</v>
      </c>
      <c r="G231" s="110">
        <v>46125</v>
      </c>
      <c r="H231" t="s">
        <v>1698</v>
      </c>
      <c r="I231" s="110">
        <v>46119</v>
      </c>
      <c r="J231" t="s">
        <v>170</v>
      </c>
      <c r="K231" s="34" t="s">
        <v>432</v>
      </c>
      <c r="L231" s="34" t="s">
        <v>459</v>
      </c>
      <c r="M231" s="34" t="s">
        <v>898</v>
      </c>
      <c r="N231" s="34" t="str">
        <f t="shared" si="18"/>
        <v>Partnership | Merchant partnership</v>
      </c>
      <c r="O231" t="s">
        <v>1699</v>
      </c>
      <c r="P231" s="109" t="s">
        <v>1700</v>
      </c>
      <c r="Q231" s="38">
        <v>46124</v>
      </c>
      <c r="R231" s="38"/>
      <c r="S231" t="s">
        <v>1701</v>
      </c>
      <c r="T231">
        <v>4</v>
      </c>
      <c r="U231">
        <v>4</v>
      </c>
      <c r="V231">
        <v>4</v>
      </c>
      <c r="W231">
        <v>2</v>
      </c>
      <c r="X231" s="106">
        <f t="shared" si="20"/>
        <v>3.7</v>
      </c>
      <c r="Y231" s="34" t="s">
        <v>607</v>
      </c>
      <c r="Z231" s="34" t="s">
        <v>811</v>
      </c>
    </row>
    <row r="232" spans="1:26" hidden="1">
      <c r="A232" s="41">
        <f t="shared" si="19"/>
        <v>229</v>
      </c>
      <c r="B232" s="35" t="s">
        <v>1702</v>
      </c>
      <c r="C232" s="35" t="str">
        <f t="shared" si="16"/>
        <v>MoMo Travel x Sun PhuQuoc Airways: Giảm 10-15% vé bay Cam Ranh/Đà Nẵng – Phú Quốc hè 2026</v>
      </c>
      <c r="D232" t="s">
        <v>610</v>
      </c>
      <c r="E232" s="105" t="str">
        <f>VLOOKUP(X232,'Updating-Scoring'!$C$2:$D$7,2,TRUE)</f>
        <v>4 - Strategic shift</v>
      </c>
      <c r="F232">
        <f t="shared" si="17"/>
        <v>16</v>
      </c>
      <c r="G232" s="110">
        <v>46125</v>
      </c>
      <c r="H232" t="s">
        <v>1703</v>
      </c>
      <c r="I232" s="110">
        <v>46122</v>
      </c>
      <c r="J232" t="s">
        <v>170</v>
      </c>
      <c r="K232" s="34" t="s">
        <v>432</v>
      </c>
      <c r="L232" s="34" t="s">
        <v>459</v>
      </c>
      <c r="M232" s="34" t="s">
        <v>898</v>
      </c>
      <c r="N232" s="34" t="str">
        <f t="shared" si="18"/>
        <v>Partnership | Merchant partnership</v>
      </c>
      <c r="O232" t="s">
        <v>1704</v>
      </c>
      <c r="P232" s="109" t="s">
        <v>1705</v>
      </c>
      <c r="Q232" s="38">
        <v>46121</v>
      </c>
      <c r="R232" s="38">
        <v>46137</v>
      </c>
      <c r="S232" t="s">
        <v>1706</v>
      </c>
      <c r="T232">
        <v>4</v>
      </c>
      <c r="U232">
        <v>4</v>
      </c>
      <c r="V232">
        <v>4</v>
      </c>
      <c r="W232">
        <v>2</v>
      </c>
      <c r="X232" s="106">
        <f t="shared" si="20"/>
        <v>3.7</v>
      </c>
      <c r="Y232" s="34"/>
      <c r="Z232" s="34"/>
    </row>
    <row r="233" spans="1:26" hidden="1">
      <c r="A233" s="41">
        <f t="shared" si="19"/>
        <v>230</v>
      </c>
      <c r="B233" s="35" t="s">
        <v>1707</v>
      </c>
      <c r="C233" s="35" t="str">
        <f t="shared" si="16"/>
        <v>Gamification Giật Lì Xì Quanh Năm: Series sự kiện định kỳ cuối tháng, mở màn Đại Lễ 30/4 (tổng thưởng 64tr+)</v>
      </c>
      <c r="D233" t="s">
        <v>610</v>
      </c>
      <c r="E233" s="105" t="str">
        <f>VLOOKUP(X233,'Updating-Scoring'!$C$2:$D$7,2,TRUE)</f>
        <v>4 - Strategic shift</v>
      </c>
      <c r="F233">
        <f t="shared" si="17"/>
        <v>16</v>
      </c>
      <c r="G233" s="110">
        <v>46125</v>
      </c>
      <c r="H233" t="s">
        <v>1708</v>
      </c>
      <c r="I233" s="110">
        <v>46122</v>
      </c>
      <c r="J233" t="s">
        <v>170</v>
      </c>
      <c r="K233" s="34" t="s">
        <v>432</v>
      </c>
      <c r="L233" s="34" t="s">
        <v>457</v>
      </c>
      <c r="M233" s="34" t="s">
        <v>414</v>
      </c>
      <c r="N233" s="34" t="str">
        <f t="shared" si="18"/>
        <v>Marketing | User engagement</v>
      </c>
      <c r="O233" t="s">
        <v>1709</v>
      </c>
      <c r="P233" s="109" t="s">
        <v>1710</v>
      </c>
      <c r="Q233" s="38">
        <v>46122</v>
      </c>
      <c r="R233" s="38">
        <v>46142</v>
      </c>
      <c r="S233" t="s">
        <v>1711</v>
      </c>
      <c r="T233">
        <v>4</v>
      </c>
      <c r="U233">
        <v>4</v>
      </c>
      <c r="V233">
        <v>4</v>
      </c>
      <c r="W233">
        <v>2</v>
      </c>
      <c r="X233" s="106">
        <f t="shared" si="20"/>
        <v>3.7</v>
      </c>
      <c r="Y233" s="34" t="s">
        <v>607</v>
      </c>
      <c r="Z233" s="34" t="s">
        <v>1712</v>
      </c>
    </row>
    <row r="234" spans="1:26" hidden="1">
      <c r="A234" s="41">
        <f t="shared" si="19"/>
        <v>231</v>
      </c>
      <c r="B234" s="35" t="s">
        <v>1713</v>
      </c>
      <c r="C234" s="35" t="str">
        <f t="shared" si="16"/>
        <v>MoMo x SSC: Biểu phí mới và ưu đãi khi thanh toán học phí Trường SSC</v>
      </c>
      <c r="D234" t="s">
        <v>610</v>
      </c>
      <c r="E234" s="105" t="str">
        <f>VLOOKUP(X234,'Updating-Scoring'!$C$2:$D$7,2,TRUE)</f>
        <v>4 - Strategic shift</v>
      </c>
      <c r="F234">
        <f t="shared" si="17"/>
        <v>16</v>
      </c>
      <c r="G234" s="110">
        <v>46125</v>
      </c>
      <c r="H234" t="s">
        <v>1714</v>
      </c>
      <c r="I234" s="110">
        <v>46119</v>
      </c>
      <c r="J234" t="s">
        <v>170</v>
      </c>
      <c r="K234" s="34" t="s">
        <v>432</v>
      </c>
      <c r="L234" s="34" t="s">
        <v>459</v>
      </c>
      <c r="M234" s="34" t="s">
        <v>898</v>
      </c>
      <c r="N234" s="34" t="str">
        <f t="shared" si="18"/>
        <v>Partnership | Merchant partnership</v>
      </c>
      <c r="O234" t="s">
        <v>1715</v>
      </c>
      <c r="P234" s="109" t="s">
        <v>1716</v>
      </c>
      <c r="Q234" s="38">
        <v>46120</v>
      </c>
      <c r="R234" s="38"/>
      <c r="S234" t="s">
        <v>1717</v>
      </c>
      <c r="T234">
        <v>3.5</v>
      </c>
      <c r="U234">
        <v>4</v>
      </c>
      <c r="V234">
        <v>4</v>
      </c>
      <c r="W234">
        <v>2</v>
      </c>
      <c r="X234" s="106">
        <f t="shared" si="20"/>
        <v>3.5</v>
      </c>
      <c r="Y234" s="34" t="s">
        <v>1718</v>
      </c>
      <c r="Z234" s="34" t="s">
        <v>1719</v>
      </c>
    </row>
    <row r="235" spans="1:26" hidden="1">
      <c r="A235" s="41">
        <f t="shared" si="19"/>
        <v>232</v>
      </c>
      <c r="B235" s="35" t="s">
        <v>1720</v>
      </c>
      <c r="C235" s="35" t="str">
        <f t="shared" si="16"/>
        <v>Bảo hiểm Sức khoẻ+: Mua gói năm nhận 50.000 Xu thưởng</v>
      </c>
      <c r="D235" t="s">
        <v>610</v>
      </c>
      <c r="E235" s="105" t="str">
        <f>VLOOKUP(X235,'Updating-Scoring'!$C$2:$D$7,2,TRUE)</f>
        <v>4 - Strategic shift</v>
      </c>
      <c r="F235">
        <f t="shared" si="17"/>
        <v>16</v>
      </c>
      <c r="G235" s="110">
        <v>46125</v>
      </c>
      <c r="H235" t="s">
        <v>1721</v>
      </c>
      <c r="I235" s="110">
        <v>46122</v>
      </c>
      <c r="J235" t="s">
        <v>170</v>
      </c>
      <c r="K235" s="34" t="s">
        <v>432</v>
      </c>
      <c r="L235" s="34" t="s">
        <v>457</v>
      </c>
      <c r="M235" s="34" t="s">
        <v>415</v>
      </c>
      <c r="N235" s="34" t="str">
        <f t="shared" si="18"/>
        <v>Marketing | User acquisition</v>
      </c>
      <c r="O235" t="s">
        <v>1722</v>
      </c>
      <c r="P235" s="109" t="s">
        <v>1723</v>
      </c>
      <c r="Q235" s="38">
        <v>46122</v>
      </c>
      <c r="R235" s="38"/>
      <c r="S235" t="s">
        <v>1724</v>
      </c>
      <c r="T235">
        <v>4</v>
      </c>
      <c r="U235">
        <v>4</v>
      </c>
      <c r="V235">
        <v>3</v>
      </c>
      <c r="W235">
        <v>2</v>
      </c>
      <c r="X235" s="106">
        <f t="shared" si="20"/>
        <v>3.5</v>
      </c>
      <c r="Y235" s="34" t="s">
        <v>607</v>
      </c>
      <c r="Z235" s="34" t="s">
        <v>945</v>
      </c>
    </row>
    <row r="236" spans="1:26" hidden="1">
      <c r="A236" s="41">
        <f t="shared" si="19"/>
        <v>233</v>
      </c>
      <c r="B236" s="35" t="s">
        <v>1725</v>
      </c>
      <c r="C236" s="35" t="str">
        <f t="shared" si="16"/>
        <v>Mua vé xem phim: Hoàn tiền 5K–10K mua vé thứ 3-4-5 hàng tuần</v>
      </c>
      <c r="D236" t="s">
        <v>610</v>
      </c>
      <c r="E236" s="105" t="str">
        <f>VLOOKUP(X236,'Updating-Scoring'!$C$2:$D$7,2,TRUE)</f>
        <v>3 - Market signal</v>
      </c>
      <c r="F236">
        <f t="shared" si="17"/>
        <v>16</v>
      </c>
      <c r="G236" s="110">
        <v>46125</v>
      </c>
      <c r="H236" t="s">
        <v>1726</v>
      </c>
      <c r="I236" s="110">
        <v>46122</v>
      </c>
      <c r="J236" t="s">
        <v>170</v>
      </c>
      <c r="K236" s="34" t="s">
        <v>432</v>
      </c>
      <c r="L236" s="34" t="s">
        <v>457</v>
      </c>
      <c r="M236" s="34" t="s">
        <v>416</v>
      </c>
      <c r="N236" s="34" t="str">
        <f t="shared" si="18"/>
        <v>Marketing | Transaction growth</v>
      </c>
      <c r="O236" t="s">
        <v>1727</v>
      </c>
      <c r="P236" s="109" t="s">
        <v>1728</v>
      </c>
      <c r="Q236" s="38">
        <v>46122</v>
      </c>
      <c r="R236" s="38"/>
      <c r="S236" t="s">
        <v>1729</v>
      </c>
      <c r="T236">
        <v>3</v>
      </c>
      <c r="U236">
        <v>4</v>
      </c>
      <c r="V236">
        <v>4</v>
      </c>
      <c r="W236">
        <v>2</v>
      </c>
      <c r="X236" s="106">
        <f t="shared" si="20"/>
        <v>3.3</v>
      </c>
      <c r="Y236" s="34" t="s">
        <v>1730</v>
      </c>
      <c r="Z236" s="34" t="s">
        <v>1731</v>
      </c>
    </row>
    <row r="237" spans="1:26" hidden="1">
      <c r="A237" s="41">
        <f t="shared" si="19"/>
        <v>234</v>
      </c>
      <c r="B237" s="35" t="s">
        <v>1732</v>
      </c>
      <c r="C237" s="35" t="str">
        <f t="shared" si="16"/>
        <v>Ví nhân ái x Vietnam Children's Fund: Hoàn thành gây quỹ hỗ trợ chi phí phẫu thuật giúp 5 em nhỏ có hoàn cảnh khó khăn có trái tim khỏe mạnh</v>
      </c>
      <c r="D237" t="s">
        <v>610</v>
      </c>
      <c r="E237" s="105" t="str">
        <f>VLOOKUP(X237,'Updating-Scoring'!$C$2:$D$7,2,TRUE)</f>
        <v>3 - Market signal</v>
      </c>
      <c r="F237">
        <f t="shared" si="17"/>
        <v>16</v>
      </c>
      <c r="G237" s="110">
        <v>46125</v>
      </c>
      <c r="H237" t="s">
        <v>1733</v>
      </c>
      <c r="I237" s="34">
        <v>46119</v>
      </c>
      <c r="J237" t="s">
        <v>170</v>
      </c>
      <c r="K237" s="34" t="s">
        <v>432</v>
      </c>
      <c r="L237" s="34" t="s">
        <v>461</v>
      </c>
      <c r="M237" s="34"/>
      <c r="N237" s="34" t="str">
        <f t="shared" si="18"/>
        <v xml:space="preserve">CSR/ Community | </v>
      </c>
      <c r="O237" t="s">
        <v>1734</v>
      </c>
      <c r="P237" s="109" t="s">
        <v>1735</v>
      </c>
      <c r="Q237" s="38">
        <v>46121</v>
      </c>
      <c r="R237" s="38"/>
      <c r="S237" t="s">
        <v>1736</v>
      </c>
      <c r="T237">
        <v>3</v>
      </c>
      <c r="U237">
        <v>4</v>
      </c>
      <c r="V237">
        <v>3</v>
      </c>
      <c r="W237">
        <v>2</v>
      </c>
      <c r="X237" s="106">
        <f t="shared" si="20"/>
        <v>3.1</v>
      </c>
      <c r="Y237" s="34" t="s">
        <v>1730</v>
      </c>
      <c r="Z237" s="34" t="s">
        <v>1731</v>
      </c>
    </row>
    <row r="238" spans="1:26" hidden="1">
      <c r="A238" s="41">
        <f t="shared" si="19"/>
        <v>235</v>
      </c>
      <c r="B238" s="35" t="s">
        <v>1737</v>
      </c>
      <c r="C238" s="35" t="str">
        <f t="shared" si="16"/>
        <v>Ví nhân ái x Vietnam Children's Fund: Hoàn thành gây quỹ hỗ trợ chi phí phẫu thuật giúp 20 em nhỏ có hoàn cảnh khó khăn có trái tim khỏe mạnh</v>
      </c>
      <c r="D238" t="s">
        <v>610</v>
      </c>
      <c r="E238" s="105" t="str">
        <f>VLOOKUP(X238,'Updating-Scoring'!$C$2:$D$7,2,TRUE)</f>
        <v>3 - Market signal</v>
      </c>
      <c r="F238">
        <f t="shared" si="17"/>
        <v>16</v>
      </c>
      <c r="G238" s="110">
        <v>46125</v>
      </c>
      <c r="H238" t="s">
        <v>1738</v>
      </c>
      <c r="I238" s="34">
        <v>46121</v>
      </c>
      <c r="J238" t="s">
        <v>170</v>
      </c>
      <c r="K238" s="34" t="s">
        <v>432</v>
      </c>
      <c r="L238" s="34" t="s">
        <v>461</v>
      </c>
      <c r="M238" s="34"/>
      <c r="N238" s="34" t="str">
        <f t="shared" si="18"/>
        <v xml:space="preserve">CSR/ Community | </v>
      </c>
      <c r="O238" t="s">
        <v>1739</v>
      </c>
      <c r="P238" s="109" t="s">
        <v>1740</v>
      </c>
      <c r="Q238" s="38">
        <v>46121</v>
      </c>
      <c r="R238" s="38"/>
      <c r="S238" t="s">
        <v>1741</v>
      </c>
      <c r="T238">
        <v>3</v>
      </c>
      <c r="U238">
        <v>4</v>
      </c>
      <c r="V238">
        <v>3</v>
      </c>
      <c r="W238">
        <v>2</v>
      </c>
      <c r="X238" s="106">
        <f t="shared" si="20"/>
        <v>3.1</v>
      </c>
      <c r="Y238" s="34" t="s">
        <v>1730</v>
      </c>
      <c r="Z238" s="34" t="s">
        <v>1731</v>
      </c>
    </row>
    <row r="239" spans="1:26" hidden="1">
      <c r="A239" s="41">
        <f t="shared" si="19"/>
        <v>236</v>
      </c>
      <c r="B239" s="35" t="s">
        <v>1742</v>
      </c>
      <c r="C239" s="35" t="str">
        <f t="shared" si="16"/>
        <v>Ví nhân ái x Thư viện ước mơ: Hoàn thành gây quỹ góp 2.500 đầu sách trong 3 Thư Viện Ước Mơ ở trường học vùng sâu vùng xa</v>
      </c>
      <c r="D239" t="s">
        <v>610</v>
      </c>
      <c r="E239" s="105" t="str">
        <f>VLOOKUP(X239,'Updating-Scoring'!$C$2:$D$7,2,TRUE)</f>
        <v>3 - Market signal</v>
      </c>
      <c r="F239">
        <f t="shared" si="17"/>
        <v>16</v>
      </c>
      <c r="G239" s="110">
        <v>46125</v>
      </c>
      <c r="H239" t="s">
        <v>1743</v>
      </c>
      <c r="I239" s="34">
        <v>46121</v>
      </c>
      <c r="J239" t="s">
        <v>170</v>
      </c>
      <c r="K239" s="34" t="s">
        <v>432</v>
      </c>
      <c r="L239" s="34" t="s">
        <v>461</v>
      </c>
      <c r="M239" s="34"/>
      <c r="N239" s="34" t="str">
        <f t="shared" si="18"/>
        <v xml:space="preserve">CSR/ Community | </v>
      </c>
      <c r="O239" t="s">
        <v>1744</v>
      </c>
      <c r="P239" s="109" t="s">
        <v>1745</v>
      </c>
      <c r="Q239" s="38">
        <v>46121</v>
      </c>
      <c r="R239" s="38"/>
      <c r="S239" t="s">
        <v>1746</v>
      </c>
      <c r="T239">
        <v>3</v>
      </c>
      <c r="U239">
        <v>4</v>
      </c>
      <c r="V239">
        <v>3</v>
      </c>
      <c r="W239">
        <v>2</v>
      </c>
      <c r="X239" s="106">
        <f t="shared" si="20"/>
        <v>3.1</v>
      </c>
      <c r="Y239" s="34" t="s">
        <v>1730</v>
      </c>
      <c r="Z239" s="34" t="s">
        <v>1731</v>
      </c>
    </row>
    <row r="240" spans="1:26" hidden="1">
      <c r="A240" s="41">
        <f t="shared" si="19"/>
        <v>237</v>
      </c>
      <c r="B240" s="35" t="s">
        <v>1747</v>
      </c>
      <c r="C240" s="35" t="str">
        <f t="shared" si="16"/>
        <v>Ví nhân ái x Bếp sẻ chia: Hoàn thành Chung tay hỗ trợ Bếp sẻ chia mang “NHÀ” và bữa ăn dinh dưỡng đến bên các bệnh nhi ung thư</v>
      </c>
      <c r="D240" t="s">
        <v>610</v>
      </c>
      <c r="E240" s="105" t="str">
        <f>VLOOKUP(X240,'Updating-Scoring'!$C$2:$D$7,2,TRUE)</f>
        <v>3 - Market signal</v>
      </c>
      <c r="F240">
        <f t="shared" si="17"/>
        <v>16</v>
      </c>
      <c r="G240" s="110">
        <v>46125</v>
      </c>
      <c r="H240" t="s">
        <v>1748</v>
      </c>
      <c r="I240" s="34">
        <v>46121</v>
      </c>
      <c r="J240" t="s">
        <v>170</v>
      </c>
      <c r="K240" s="34" t="s">
        <v>432</v>
      </c>
      <c r="L240" s="34" t="s">
        <v>461</v>
      </c>
      <c r="M240" s="34"/>
      <c r="N240" s="34" t="str">
        <f t="shared" si="18"/>
        <v xml:space="preserve">CSR/ Community | </v>
      </c>
      <c r="O240" t="s">
        <v>1749</v>
      </c>
      <c r="P240" s="109" t="s">
        <v>1750</v>
      </c>
      <c r="Q240" s="38">
        <v>46121</v>
      </c>
      <c r="R240" s="38"/>
      <c r="S240" t="s">
        <v>1751</v>
      </c>
      <c r="T240">
        <v>3</v>
      </c>
      <c r="U240">
        <v>4</v>
      </c>
      <c r="V240">
        <v>3</v>
      </c>
      <c r="W240">
        <v>2</v>
      </c>
      <c r="X240" s="106">
        <f t="shared" si="20"/>
        <v>3.1</v>
      </c>
      <c r="Y240" s="34" t="s">
        <v>1730</v>
      </c>
      <c r="Z240" s="34" t="s">
        <v>1731</v>
      </c>
    </row>
    <row r="241" spans="1:26" hidden="1">
      <c r="A241" s="41">
        <f t="shared" si="19"/>
        <v>238</v>
      </c>
      <c r="B241" s="35" t="s">
        <v>1752</v>
      </c>
      <c r="C241" s="35" t="str">
        <f t="shared" si="16"/>
        <v>Ví nhân ái x Bếp sẻ chia: Chung tay hỗ trợ y tế cho bé Minh Quân điều trị ung thư máu</v>
      </c>
      <c r="D241" t="s">
        <v>610</v>
      </c>
      <c r="E241" s="105" t="str">
        <f>VLOOKUP(X241,'Updating-Scoring'!$C$2:$D$7,2,TRUE)</f>
        <v>3 - Market signal</v>
      </c>
      <c r="F241">
        <f t="shared" si="17"/>
        <v>16</v>
      </c>
      <c r="G241" s="110">
        <v>46125</v>
      </c>
      <c r="H241" t="s">
        <v>1753</v>
      </c>
      <c r="I241" s="34">
        <v>46121</v>
      </c>
      <c r="J241" t="s">
        <v>170</v>
      </c>
      <c r="K241" s="34" t="s">
        <v>432</v>
      </c>
      <c r="L241" s="34" t="s">
        <v>461</v>
      </c>
      <c r="M241" s="34"/>
      <c r="N241" s="34" t="str">
        <f t="shared" si="18"/>
        <v xml:space="preserve">CSR/ Community | </v>
      </c>
      <c r="O241" t="s">
        <v>1754</v>
      </c>
      <c r="P241" s="109" t="s">
        <v>1755</v>
      </c>
      <c r="Q241" s="38">
        <v>46121</v>
      </c>
      <c r="R241" s="38"/>
      <c r="S241" t="s">
        <v>1756</v>
      </c>
      <c r="T241">
        <v>3</v>
      </c>
      <c r="U241">
        <v>4</v>
      </c>
      <c r="V241">
        <v>3</v>
      </c>
      <c r="W241">
        <v>2</v>
      </c>
      <c r="X241" s="106">
        <f t="shared" si="20"/>
        <v>3.1</v>
      </c>
      <c r="Y241" s="34" t="s">
        <v>607</v>
      </c>
      <c r="Z241" s="34" t="s">
        <v>864</v>
      </c>
    </row>
    <row r="242" spans="1:26" hidden="1">
      <c r="A242" s="41">
        <f t="shared" si="19"/>
        <v>239</v>
      </c>
      <c r="B242" s="35" t="s">
        <v>1757</v>
      </c>
      <c r="C242" s="35" t="str">
        <f t="shared" si="16"/>
        <v>MoMo x Satrafoods Becamex Bình Dương: Khai trương – Giảm 30% tối đa 30.000đ</v>
      </c>
      <c r="D242" t="s">
        <v>610</v>
      </c>
      <c r="E242" s="105" t="str">
        <f>VLOOKUP(X242,'Updating-Scoring'!$C$2:$D$7,2,TRUE)</f>
        <v>3 - Market signal</v>
      </c>
      <c r="F242">
        <f t="shared" si="17"/>
        <v>16</v>
      </c>
      <c r="G242" s="110">
        <v>46125</v>
      </c>
      <c r="H242" t="s">
        <v>1758</v>
      </c>
      <c r="I242" s="110">
        <v>46122</v>
      </c>
      <c r="J242" t="s">
        <v>170</v>
      </c>
      <c r="K242" s="34" t="s">
        <v>432</v>
      </c>
      <c r="L242" s="34" t="s">
        <v>459</v>
      </c>
      <c r="M242" s="34" t="s">
        <v>898</v>
      </c>
      <c r="N242" s="34" t="str">
        <f t="shared" si="18"/>
        <v>Partnership | Merchant partnership</v>
      </c>
      <c r="O242" t="s">
        <v>1759</v>
      </c>
      <c r="P242" s="109" t="s">
        <v>1760</v>
      </c>
      <c r="Q242" s="38">
        <v>46122</v>
      </c>
      <c r="R242" s="38">
        <v>46158</v>
      </c>
      <c r="S242" t="s">
        <v>1761</v>
      </c>
      <c r="T242">
        <v>3</v>
      </c>
      <c r="U242">
        <v>4</v>
      </c>
      <c r="V242">
        <v>4</v>
      </c>
      <c r="W242">
        <v>2</v>
      </c>
      <c r="X242" s="106">
        <f t="shared" si="20"/>
        <v>3.3</v>
      </c>
      <c r="Y242" s="34" t="s">
        <v>607</v>
      </c>
      <c r="Z242" s="34" t="s">
        <v>1762</v>
      </c>
    </row>
    <row r="243" spans="1:26" hidden="1">
      <c r="A243" s="41">
        <f t="shared" si="19"/>
        <v>240</v>
      </c>
      <c r="B243" s="35" t="s">
        <v>1763</v>
      </c>
      <c r="C243" s="35" t="str">
        <f t="shared" si="16"/>
        <v>Zalopay x Savills: Thúc đẩy giải pháp thanh toán phí quản lý chung cư không tiền mặt</v>
      </c>
      <c r="D243" t="s">
        <v>1764</v>
      </c>
      <c r="E243" s="105" t="str">
        <f>VLOOKUP(X243,'Updating-Scoring'!$C$2:$D$7,2,TRUE)</f>
        <v>5 - Industry disruption</v>
      </c>
      <c r="F243">
        <f t="shared" si="17"/>
        <v>16</v>
      </c>
      <c r="G243" s="110">
        <v>46125</v>
      </c>
      <c r="H243" t="s">
        <v>1765</v>
      </c>
      <c r="I243" s="110">
        <v>46125</v>
      </c>
      <c r="J243" t="s">
        <v>170</v>
      </c>
      <c r="K243" s="34" t="s">
        <v>434</v>
      </c>
      <c r="L243" s="34" t="s">
        <v>459</v>
      </c>
      <c r="M243" s="34" t="s">
        <v>898</v>
      </c>
      <c r="N243" s="34" t="str">
        <f t="shared" si="18"/>
        <v>Partnership | Merchant partnership</v>
      </c>
      <c r="O243" s="34" t="s">
        <v>1766</v>
      </c>
      <c r="P243" s="109" t="s">
        <v>1767</v>
      </c>
      <c r="Q243" s="38">
        <v>46122</v>
      </c>
      <c r="R243" s="38"/>
      <c r="S243" t="s">
        <v>1768</v>
      </c>
      <c r="T243">
        <v>5</v>
      </c>
      <c r="U243">
        <v>5</v>
      </c>
      <c r="V243">
        <v>5</v>
      </c>
      <c r="W243">
        <v>4</v>
      </c>
      <c r="X243" s="106">
        <f t="shared" si="20"/>
        <v>4.8499999999999996</v>
      </c>
      <c r="Y243" s="34" t="s">
        <v>607</v>
      </c>
      <c r="Z243" s="34" t="s">
        <v>1769</v>
      </c>
    </row>
    <row r="244" spans="1:26" hidden="1">
      <c r="A244" s="41">
        <f t="shared" si="19"/>
        <v>241</v>
      </c>
      <c r="B244" s="35"/>
      <c r="C244" s="35" t="str">
        <f t="shared" si="16"/>
        <v>Zalopay x GreenSM: Giảm 20% tối đa 30k cho bạn mới</v>
      </c>
      <c r="D244" t="s">
        <v>920</v>
      </c>
      <c r="E244" s="105" t="str">
        <f>VLOOKUP(X244,'Updating-Scoring'!$C$2:$D$7,2,TRUE)</f>
        <v>4 - Strategic shift</v>
      </c>
      <c r="F244">
        <f t="shared" si="17"/>
        <v>16</v>
      </c>
      <c r="G244" s="34">
        <v>46125</v>
      </c>
      <c r="H244" t="s">
        <v>1770</v>
      </c>
      <c r="I244" s="110">
        <v>46146</v>
      </c>
      <c r="J244" t="s">
        <v>170</v>
      </c>
      <c r="K244" s="34" t="s">
        <v>434</v>
      </c>
      <c r="L244" s="34" t="s">
        <v>457</v>
      </c>
      <c r="M244" s="34" t="s">
        <v>413</v>
      </c>
      <c r="N244" s="34" t="str">
        <f t="shared" si="18"/>
        <v>Marketing | User activation</v>
      </c>
      <c r="O244" s="34" t="s">
        <v>1771</v>
      </c>
      <c r="P244" s="109" t="s">
        <v>1772</v>
      </c>
      <c r="Q244" s="38">
        <v>46117</v>
      </c>
      <c r="R244" s="38">
        <v>46142</v>
      </c>
      <c r="S244" t="s">
        <v>1773</v>
      </c>
      <c r="T244">
        <v>4</v>
      </c>
      <c r="U244">
        <v>4</v>
      </c>
      <c r="V244">
        <v>4</v>
      </c>
      <c r="W244">
        <v>2</v>
      </c>
      <c r="X244" s="106">
        <f t="shared" si="20"/>
        <v>3.7</v>
      </c>
      <c r="Y244" s="34" t="s">
        <v>607</v>
      </c>
      <c r="Z244" s="34" t="s">
        <v>1774</v>
      </c>
    </row>
    <row r="245" spans="1:26" hidden="1">
      <c r="A245" s="41">
        <f t="shared" si="19"/>
        <v>242</v>
      </c>
      <c r="B245" s="35"/>
      <c r="C245" s="35" t="str">
        <f t="shared" si="16"/>
        <v>Zalo ăn uống x KFC: Ưu đãi giảm giá thu thập tại Hub ăn uống hoặc KFC Mini-app</v>
      </c>
      <c r="D245" t="s">
        <v>920</v>
      </c>
      <c r="E245" s="105" t="str">
        <f>VLOOKUP(X245,'Updating-Scoring'!$C$2:$D$7,2,TRUE)</f>
        <v>4 - Strategic shift</v>
      </c>
      <c r="F245">
        <f t="shared" si="17"/>
        <v>16</v>
      </c>
      <c r="G245" s="110">
        <v>46125</v>
      </c>
      <c r="H245" t="s">
        <v>1775</v>
      </c>
      <c r="I245" s="110"/>
      <c r="J245" t="s">
        <v>170</v>
      </c>
      <c r="K245" s="34" t="s">
        <v>434</v>
      </c>
      <c r="L245" s="34" t="s">
        <v>457</v>
      </c>
      <c r="M245" s="34" t="s">
        <v>415</v>
      </c>
      <c r="N245" s="34" t="str">
        <f t="shared" si="18"/>
        <v>Marketing | User acquisition</v>
      </c>
      <c r="O245" s="34" t="s">
        <v>1776</v>
      </c>
      <c r="P245" s="109" t="s">
        <v>1777</v>
      </c>
      <c r="Q245" s="38">
        <v>46118</v>
      </c>
      <c r="R245" s="38">
        <v>46142</v>
      </c>
      <c r="S245" t="s">
        <v>1778</v>
      </c>
      <c r="T245">
        <v>4</v>
      </c>
      <c r="U245">
        <v>4</v>
      </c>
      <c r="V245">
        <v>4</v>
      </c>
      <c r="W245">
        <v>2</v>
      </c>
      <c r="X245" s="106">
        <f t="shared" si="20"/>
        <v>3.7</v>
      </c>
      <c r="Y245" s="34" t="s">
        <v>607</v>
      </c>
      <c r="Z245" s="34" t="s">
        <v>913</v>
      </c>
    </row>
    <row r="246" spans="1:26" hidden="1">
      <c r="A246" s="41">
        <f t="shared" si="19"/>
        <v>243</v>
      </c>
      <c r="B246" s="35"/>
      <c r="C246" s="35" t="str">
        <f t="shared" si="16"/>
        <v>Tài khoản trả sau: Giảm 10k - 20k - 30k khi thanh toán bằng ví trả sau</v>
      </c>
      <c r="D246" t="s">
        <v>920</v>
      </c>
      <c r="E246" s="105" t="str">
        <f>VLOOKUP(X246,'Updating-Scoring'!$C$2:$D$7,2,TRUE)</f>
        <v>3 - Market signal</v>
      </c>
      <c r="F246">
        <f t="shared" si="17"/>
        <v>16</v>
      </c>
      <c r="G246" s="34">
        <v>46125</v>
      </c>
      <c r="H246" t="s">
        <v>1779</v>
      </c>
      <c r="I246" s="110"/>
      <c r="J246" t="s">
        <v>170</v>
      </c>
      <c r="K246" s="34" t="s">
        <v>434</v>
      </c>
      <c r="L246" s="34" t="s">
        <v>457</v>
      </c>
      <c r="M246" s="34" t="s">
        <v>413</v>
      </c>
      <c r="N246" s="34" t="str">
        <f t="shared" si="18"/>
        <v>Marketing | User activation</v>
      </c>
      <c r="O246" s="34" t="s">
        <v>1780</v>
      </c>
      <c r="P246" s="109" t="s">
        <v>1781</v>
      </c>
      <c r="Q246" s="38"/>
      <c r="R246" s="38">
        <v>46130</v>
      </c>
      <c r="S246" t="s">
        <v>1782</v>
      </c>
      <c r="T246">
        <v>3</v>
      </c>
      <c r="U246">
        <v>3</v>
      </c>
      <c r="V246">
        <v>4</v>
      </c>
      <c r="W246">
        <v>3</v>
      </c>
      <c r="X246" s="106">
        <f t="shared" si="20"/>
        <v>3.2</v>
      </c>
      <c r="Y246" s="34" t="s">
        <v>811</v>
      </c>
      <c r="Z246" s="34" t="s">
        <v>1783</v>
      </c>
    </row>
    <row r="247" spans="1:26" hidden="1">
      <c r="A247" s="41">
        <f t="shared" si="19"/>
        <v>244</v>
      </c>
      <c r="B247" s="35" t="s">
        <v>1784</v>
      </c>
      <c r="C247" s="35" t="str">
        <f t="shared" si="16"/>
        <v>Traveloka Sale Đại Lễ 2026: Ưu đãi lên đến 50%. Hàng loạt mã giảm giá hấp dẫn và các khung giờ Flash Sale</v>
      </c>
      <c r="D247" t="s">
        <v>435</v>
      </c>
      <c r="E247" s="105" t="str">
        <f>VLOOKUP(X247,'Updating-Scoring'!$C$2:$D$7,2,TRUE)</f>
        <v>3 - Market signal</v>
      </c>
      <c r="F247">
        <f t="shared" si="17"/>
        <v>16</v>
      </c>
      <c r="G247" s="34">
        <v>46125</v>
      </c>
      <c r="H247" t="s">
        <v>1785</v>
      </c>
      <c r="I247" s="34">
        <v>46113</v>
      </c>
      <c r="J247" t="s">
        <v>170</v>
      </c>
      <c r="K247" s="34" t="s">
        <v>435</v>
      </c>
      <c r="L247" s="34" t="s">
        <v>457</v>
      </c>
      <c r="M247" s="34" t="s">
        <v>416</v>
      </c>
      <c r="N247" s="34" t="str">
        <f t="shared" si="18"/>
        <v>Marketing | Transaction growth</v>
      </c>
      <c r="O247" s="34" t="s">
        <v>1786</v>
      </c>
      <c r="P247" s="109" t="s">
        <v>1787</v>
      </c>
      <c r="Q247" s="38">
        <v>46113</v>
      </c>
      <c r="R247" s="38">
        <v>46132</v>
      </c>
      <c r="S247" t="s">
        <v>1788</v>
      </c>
      <c r="T247">
        <v>3</v>
      </c>
      <c r="U247">
        <v>3</v>
      </c>
      <c r="V247">
        <v>4</v>
      </c>
      <c r="W247">
        <v>3</v>
      </c>
      <c r="X247" s="106">
        <f t="shared" si="20"/>
        <v>3.2</v>
      </c>
      <c r="Y247" s="34" t="s">
        <v>811</v>
      </c>
      <c r="Z247" s="34" t="s">
        <v>1783</v>
      </c>
    </row>
    <row r="248" spans="1:26" hidden="1">
      <c r="A248" s="41">
        <f t="shared" si="19"/>
        <v>245</v>
      </c>
      <c r="B248" s="35" t="s">
        <v>1789</v>
      </c>
      <c r="C248" s="35" t="str">
        <f t="shared" si="16"/>
        <v>Traveloka x Tổng cục du lịch hàn quốc: Giảm tới 300k khi đặt vé máy bay</v>
      </c>
      <c r="D248" t="s">
        <v>435</v>
      </c>
      <c r="E248" s="105" t="str">
        <f>VLOOKUP(X248,'Updating-Scoring'!$C$2:$D$7,2,TRUE)</f>
        <v>3 - Market signal</v>
      </c>
      <c r="F248">
        <f t="shared" si="17"/>
        <v>16</v>
      </c>
      <c r="G248" s="34">
        <v>46125</v>
      </c>
      <c r="H248" t="s">
        <v>1790</v>
      </c>
      <c r="I248" s="34">
        <v>46113</v>
      </c>
      <c r="J248" t="s">
        <v>170</v>
      </c>
      <c r="K248" s="34" t="s">
        <v>435</v>
      </c>
      <c r="L248" s="34" t="s">
        <v>457</v>
      </c>
      <c r="M248" s="34" t="s">
        <v>416</v>
      </c>
      <c r="N248" s="34" t="str">
        <f t="shared" si="18"/>
        <v>Marketing | Transaction growth</v>
      </c>
      <c r="O248" s="34" t="s">
        <v>1791</v>
      </c>
      <c r="P248" s="109" t="s">
        <v>1792</v>
      </c>
      <c r="Q248" s="38">
        <v>46113</v>
      </c>
      <c r="R248" s="38">
        <v>46203</v>
      </c>
      <c r="S248" t="s">
        <v>1793</v>
      </c>
      <c r="T248">
        <v>3</v>
      </c>
      <c r="U248">
        <v>3</v>
      </c>
      <c r="V248">
        <v>4</v>
      </c>
      <c r="W248">
        <v>3</v>
      </c>
      <c r="X248" s="106">
        <f t="shared" si="20"/>
        <v>3.2</v>
      </c>
      <c r="Y248" s="34" t="s">
        <v>811</v>
      </c>
      <c r="Z248" s="34" t="s">
        <v>1783</v>
      </c>
    </row>
    <row r="249" spans="1:26" hidden="1">
      <c r="A249" s="41">
        <f t="shared" si="19"/>
        <v>246</v>
      </c>
      <c r="B249" s="35" t="s">
        <v>1794</v>
      </c>
      <c r="C249" s="35" t="str">
        <f t="shared" si="16"/>
        <v>Traveloka ưu đãi khi đặt vé du lịch Malaysia</v>
      </c>
      <c r="D249" t="s">
        <v>435</v>
      </c>
      <c r="E249" s="105" t="str">
        <f>VLOOKUP(X249,'Updating-Scoring'!$C$2:$D$7,2,TRUE)</f>
        <v>3 - Market signal</v>
      </c>
      <c r="F249">
        <f t="shared" si="17"/>
        <v>16</v>
      </c>
      <c r="G249" s="34">
        <v>46125</v>
      </c>
      <c r="H249" t="s">
        <v>1795</v>
      </c>
      <c r="I249" s="34">
        <v>46113</v>
      </c>
      <c r="J249" t="s">
        <v>170</v>
      </c>
      <c r="K249" s="34" t="s">
        <v>435</v>
      </c>
      <c r="L249" s="34" t="s">
        <v>457</v>
      </c>
      <c r="M249" s="34" t="s">
        <v>416</v>
      </c>
      <c r="N249" s="34" t="str">
        <f t="shared" si="18"/>
        <v>Marketing | Transaction growth</v>
      </c>
      <c r="O249" s="34" t="s">
        <v>1796</v>
      </c>
      <c r="P249" s="109" t="s">
        <v>1797</v>
      </c>
      <c r="Q249" s="38">
        <v>46113</v>
      </c>
      <c r="R249" s="38">
        <v>46203</v>
      </c>
      <c r="S249" t="s">
        <v>1798</v>
      </c>
      <c r="T249">
        <v>3</v>
      </c>
      <c r="U249">
        <v>3</v>
      </c>
      <c r="V249">
        <v>4</v>
      </c>
      <c r="W249">
        <v>3</v>
      </c>
      <c r="X249" s="106">
        <f t="shared" si="20"/>
        <v>3.2</v>
      </c>
      <c r="Y249" s="34" t="s">
        <v>811</v>
      </c>
      <c r="Z249" s="34" t="s">
        <v>1799</v>
      </c>
    </row>
    <row r="250" spans="1:26" hidden="1">
      <c r="A250" s="41">
        <f t="shared" si="19"/>
        <v>247</v>
      </c>
      <c r="B250" s="35" t="s">
        <v>1800</v>
      </c>
      <c r="C250" s="35" t="str">
        <f t="shared" si="16"/>
        <v>Traveloka x Zalopay: Ưu đãi khi thanh toán bằng ZaloPay</v>
      </c>
      <c r="D250" t="s">
        <v>435</v>
      </c>
      <c r="E250" s="105" t="str">
        <f>VLOOKUP(X250,'Updating-Scoring'!$C$2:$D$7,2,TRUE)</f>
        <v>4 - Strategic shift</v>
      </c>
      <c r="F250">
        <f t="shared" si="17"/>
        <v>16</v>
      </c>
      <c r="G250" s="34">
        <v>46125</v>
      </c>
      <c r="H250" t="s">
        <v>1801</v>
      </c>
      <c r="I250" s="34">
        <v>46113</v>
      </c>
      <c r="J250" t="s">
        <v>170</v>
      </c>
      <c r="K250" s="34" t="s">
        <v>435</v>
      </c>
      <c r="L250" s="34" t="s">
        <v>457</v>
      </c>
      <c r="M250" s="34" t="s">
        <v>416</v>
      </c>
      <c r="N250" s="34" t="str">
        <f t="shared" si="18"/>
        <v>Marketing | Transaction growth</v>
      </c>
      <c r="O250" s="34" t="s">
        <v>1802</v>
      </c>
      <c r="P250" s="109" t="s">
        <v>1803</v>
      </c>
      <c r="Q250" s="38">
        <v>46113</v>
      </c>
      <c r="R250" s="38">
        <v>46142</v>
      </c>
      <c r="S250" t="s">
        <v>1804</v>
      </c>
      <c r="T250">
        <v>4</v>
      </c>
      <c r="U250">
        <v>3</v>
      </c>
      <c r="V250">
        <v>4</v>
      </c>
      <c r="W250">
        <v>3</v>
      </c>
      <c r="X250" s="106">
        <f t="shared" si="20"/>
        <v>3.6000000000000005</v>
      </c>
      <c r="Y250" s="34" t="s">
        <v>811</v>
      </c>
      <c r="Z250" s="34" t="s">
        <v>1799</v>
      </c>
    </row>
    <row r="251" spans="1:26" hidden="1">
      <c r="A251" s="41">
        <f t="shared" si="19"/>
        <v>248</v>
      </c>
      <c r="B251" s="35" t="s">
        <v>1805</v>
      </c>
      <c r="C251" s="35" t="str">
        <f t="shared" si="16"/>
        <v>Traveloka x MB JCB: Ưu đãi khi thanh toán bằng thẻ MB JCB Platinum &amp; Ultimate</v>
      </c>
      <c r="D251" t="s">
        <v>435</v>
      </c>
      <c r="E251" s="105" t="str">
        <f>VLOOKUP(X251,'Updating-Scoring'!$C$2:$D$7,2,TRUE)</f>
        <v>4 - Strategic shift</v>
      </c>
      <c r="F251">
        <f t="shared" si="17"/>
        <v>16</v>
      </c>
      <c r="G251" s="34">
        <v>46125</v>
      </c>
      <c r="H251" t="s">
        <v>1806</v>
      </c>
      <c r="I251" s="34">
        <v>46120</v>
      </c>
      <c r="J251" t="s">
        <v>170</v>
      </c>
      <c r="K251" s="34" t="s">
        <v>435</v>
      </c>
      <c r="L251" s="34" t="s">
        <v>457</v>
      </c>
      <c r="M251" s="34" t="s">
        <v>416</v>
      </c>
      <c r="N251" s="34" t="str">
        <f t="shared" si="18"/>
        <v>Marketing | Transaction growth</v>
      </c>
      <c r="O251" s="34" t="s">
        <v>1807</v>
      </c>
      <c r="P251" s="109" t="s">
        <v>1808</v>
      </c>
      <c r="Q251" s="38">
        <v>46120</v>
      </c>
      <c r="R251" s="38">
        <v>46242</v>
      </c>
      <c r="S251" t="s">
        <v>1809</v>
      </c>
      <c r="T251">
        <v>4</v>
      </c>
      <c r="U251">
        <v>3</v>
      </c>
      <c r="V251">
        <v>4</v>
      </c>
      <c r="W251">
        <v>3</v>
      </c>
      <c r="X251" s="106">
        <f t="shared" si="20"/>
        <v>3.6000000000000005</v>
      </c>
      <c r="Y251" s="34"/>
      <c r="Z251" s="34"/>
    </row>
    <row r="252" spans="1:26" hidden="1">
      <c r="A252" s="41">
        <f t="shared" si="19"/>
        <v>249</v>
      </c>
      <c r="B252" s="35" t="s">
        <v>1810</v>
      </c>
      <c r="C252" s="35" t="str">
        <f t="shared" si="16"/>
        <v>GrabX 2026: 13 trải nghiệm AI-driven được giới thiệu</v>
      </c>
      <c r="D252" t="s">
        <v>438</v>
      </c>
      <c r="E252" s="105" t="str">
        <f>VLOOKUP(X252,'Updating-Scoring'!$C$2:$D$7,2,TRUE)</f>
        <v>5 - Industry disruption</v>
      </c>
      <c r="F252">
        <f t="shared" si="17"/>
        <v>16</v>
      </c>
      <c r="G252" s="34">
        <v>46125</v>
      </c>
      <c r="H252" t="s">
        <v>1811</v>
      </c>
      <c r="I252" s="110">
        <v>46120</v>
      </c>
      <c r="J252" t="s">
        <v>170</v>
      </c>
      <c r="K252" s="34" t="s">
        <v>438</v>
      </c>
      <c r="L252" s="34" t="s">
        <v>409</v>
      </c>
      <c r="M252" s="34" t="s">
        <v>518</v>
      </c>
      <c r="N252" s="34" t="str">
        <f t="shared" si="18"/>
        <v>Strategy | Platform / AI strategy</v>
      </c>
      <c r="O252" s="34" t="s">
        <v>1812</v>
      </c>
      <c r="P252" s="109" t="s">
        <v>1813</v>
      </c>
      <c r="Q252" s="38">
        <v>46120</v>
      </c>
      <c r="R252" s="38"/>
      <c r="S252" t="s">
        <v>1814</v>
      </c>
      <c r="T252">
        <v>5</v>
      </c>
      <c r="U252">
        <v>5</v>
      </c>
      <c r="V252">
        <v>5</v>
      </c>
      <c r="W252">
        <v>4</v>
      </c>
      <c r="X252" s="106">
        <f t="shared" si="20"/>
        <v>4.8499999999999996</v>
      </c>
      <c r="Y252" s="34"/>
      <c r="Z252" s="34"/>
    </row>
    <row r="253" spans="1:26" hidden="1">
      <c r="A253" s="41">
        <f t="shared" si="19"/>
        <v>250</v>
      </c>
      <c r="B253" s="35" t="s">
        <v>1815</v>
      </c>
      <c r="C253" s="35" t="str">
        <f t="shared" si="16"/>
        <v>Grab Unlimited: Quyền lợi hội viên tháng 4</v>
      </c>
      <c r="D253" t="s">
        <v>1816</v>
      </c>
      <c r="E253" s="105" t="str">
        <f>VLOOKUP(X253,'Updating-Scoring'!$C$2:$D$7,2,TRUE)</f>
        <v>3 - Market signal</v>
      </c>
      <c r="F253">
        <f t="shared" si="17"/>
        <v>17</v>
      </c>
      <c r="G253" s="110">
        <v>46133</v>
      </c>
      <c r="H253" t="s">
        <v>1817</v>
      </c>
      <c r="J253" t="s">
        <v>170</v>
      </c>
      <c r="K253" s="34" t="s">
        <v>438</v>
      </c>
      <c r="L253" s="34" t="s">
        <v>457</v>
      </c>
      <c r="M253" s="34" t="s">
        <v>416</v>
      </c>
      <c r="N253" s="34" t="str">
        <f t="shared" si="18"/>
        <v>Marketing | Transaction growth</v>
      </c>
      <c r="O253" t="s">
        <v>1818</v>
      </c>
      <c r="P253" s="109" t="s">
        <v>1819</v>
      </c>
      <c r="Q253" s="38">
        <v>46136</v>
      </c>
      <c r="R253" s="38">
        <v>46234</v>
      </c>
      <c r="T253">
        <v>3.4</v>
      </c>
      <c r="U253">
        <v>3</v>
      </c>
      <c r="V253">
        <v>4</v>
      </c>
      <c r="W253">
        <v>3</v>
      </c>
      <c r="X253" s="106">
        <f t="shared" si="20"/>
        <v>3.3600000000000003</v>
      </c>
      <c r="Y253" s="34"/>
      <c r="Z253" s="34"/>
    </row>
    <row r="254" spans="1:26" hidden="1">
      <c r="A254" s="41">
        <f t="shared" si="19"/>
        <v>251</v>
      </c>
      <c r="B254" s="35" t="s">
        <v>1820</v>
      </c>
      <c r="C254" s="35" t="str">
        <f t="shared" si="16"/>
        <v>Grab x TPBank JCB Cashback: Ưu đãi giảm 30k đơn GrabFood</v>
      </c>
      <c r="D254" t="s">
        <v>1816</v>
      </c>
      <c r="E254" s="105" t="str">
        <f>VLOOKUP(X254,'Updating-Scoring'!$C$2:$D$7,2,TRUE)</f>
        <v>4 - Strategic shift</v>
      </c>
      <c r="F254">
        <f t="shared" si="17"/>
        <v>17</v>
      </c>
      <c r="G254" s="110">
        <v>46133</v>
      </c>
      <c r="H254" t="s">
        <v>1821</v>
      </c>
      <c r="I254" s="34">
        <v>46132</v>
      </c>
      <c r="J254" t="s">
        <v>170</v>
      </c>
      <c r="K254" s="34" t="s">
        <v>438</v>
      </c>
      <c r="L254" s="34" t="s">
        <v>459</v>
      </c>
      <c r="M254" s="34" t="s">
        <v>1822</v>
      </c>
      <c r="N254" s="34" t="str">
        <f t="shared" si="18"/>
        <v>Partnership | Banking partnership</v>
      </c>
      <c r="O254" t="s">
        <v>1823</v>
      </c>
      <c r="P254" s="109" t="s">
        <v>1824</v>
      </c>
      <c r="Q254" s="38">
        <v>46127</v>
      </c>
      <c r="R254" s="38">
        <v>46142</v>
      </c>
      <c r="T254">
        <v>4</v>
      </c>
      <c r="U254">
        <v>4</v>
      </c>
      <c r="V254">
        <v>5</v>
      </c>
      <c r="W254">
        <v>3</v>
      </c>
      <c r="X254" s="106">
        <f t="shared" si="20"/>
        <v>4.05</v>
      </c>
      <c r="Y254" s="34"/>
      <c r="Z254" s="34"/>
    </row>
    <row r="255" spans="1:26" hidden="1">
      <c r="A255" s="41">
        <f t="shared" si="19"/>
        <v>252</v>
      </c>
      <c r="B255" s="35" t="s">
        <v>1825</v>
      </c>
      <c r="C255" s="35" t="str">
        <f t="shared" si="16"/>
        <v>Grab Việt Nam ra mắt tính năng Tiện Ích Xe Điện</v>
      </c>
      <c r="D255" t="s">
        <v>1816</v>
      </c>
      <c r="E255" s="105" t="str">
        <f>VLOOKUP(X255,'Updating-Scoring'!$C$2:$D$7,2,TRUE)</f>
        <v>5 - Industry disruption</v>
      </c>
      <c r="F255">
        <f t="shared" si="17"/>
        <v>17</v>
      </c>
      <c r="G255" s="110">
        <v>46133</v>
      </c>
      <c r="H255" t="s">
        <v>1826</v>
      </c>
      <c r="I255" s="34">
        <v>46132</v>
      </c>
      <c r="J255" t="s">
        <v>170</v>
      </c>
      <c r="K255" s="34" t="s">
        <v>438</v>
      </c>
      <c r="L255" s="34" t="s">
        <v>410</v>
      </c>
      <c r="M255" s="34" t="s">
        <v>495</v>
      </c>
      <c r="N255" s="34" t="str">
        <f t="shared" si="18"/>
        <v>Product | Product launch</v>
      </c>
      <c r="O255" t="s">
        <v>1827</v>
      </c>
      <c r="P255" s="109" t="s">
        <v>1828</v>
      </c>
      <c r="Q255" s="38">
        <v>46132</v>
      </c>
      <c r="R255" s="38"/>
      <c r="T255">
        <v>5</v>
      </c>
      <c r="U255">
        <v>5</v>
      </c>
      <c r="V255">
        <v>5</v>
      </c>
      <c r="W255">
        <v>4.5</v>
      </c>
      <c r="X255" s="106">
        <f t="shared" si="20"/>
        <v>4.9249999999999998</v>
      </c>
      <c r="Y255" s="34"/>
      <c r="Z255" s="34"/>
    </row>
    <row r="256" spans="1:26" hidden="1">
      <c r="A256" s="41">
        <f t="shared" si="19"/>
        <v>253</v>
      </c>
      <c r="B256" s="35" t="s">
        <v>1829</v>
      </c>
      <c r="C256" s="35" t="str">
        <f t="shared" si="16"/>
        <v>Grab triển khai thử nghiệm dịch vụ GrabCar Thú Cưng tại khu vực Hà Nội</v>
      </c>
      <c r="D256" t="s">
        <v>1816</v>
      </c>
      <c r="E256" s="105" t="str">
        <f>VLOOKUP(X256,'Updating-Scoring'!$C$2:$D$7,2,TRUE)</f>
        <v>5 - Industry disruption</v>
      </c>
      <c r="F256">
        <f t="shared" si="17"/>
        <v>17</v>
      </c>
      <c r="G256" s="110">
        <v>46133</v>
      </c>
      <c r="H256" t="s">
        <v>1830</v>
      </c>
      <c r="J256" t="s">
        <v>170</v>
      </c>
      <c r="K256" s="34" t="s">
        <v>438</v>
      </c>
      <c r="L256" s="34" t="s">
        <v>410</v>
      </c>
      <c r="M256" s="34" t="s">
        <v>495</v>
      </c>
      <c r="N256" s="34" t="str">
        <f t="shared" si="18"/>
        <v>Product | Product launch</v>
      </c>
      <c r="O256" t="s">
        <v>1830</v>
      </c>
      <c r="P256" s="109" t="s">
        <v>1831</v>
      </c>
      <c r="Q256" s="38">
        <v>46133</v>
      </c>
      <c r="R256" s="38"/>
      <c r="T256">
        <v>5</v>
      </c>
      <c r="U256">
        <v>5</v>
      </c>
      <c r="V256">
        <v>5</v>
      </c>
      <c r="W256">
        <v>3</v>
      </c>
      <c r="X256" s="106">
        <f t="shared" si="20"/>
        <v>4.7</v>
      </c>
      <c r="Y256" s="34"/>
      <c r="Z256" s="34"/>
    </row>
    <row r="257" spans="1:26" hidden="1">
      <c r="A257" s="41">
        <f t="shared" si="19"/>
        <v>254</v>
      </c>
      <c r="B257" s="35" t="s">
        <v>1832</v>
      </c>
      <c r="C257" s="35" t="str">
        <f t="shared" si="16"/>
        <v>Nạp điện thoại: Giảm thẳng 20k dành cho bạn mới</v>
      </c>
      <c r="D257" t="s">
        <v>610</v>
      </c>
      <c r="E257" s="105" t="str">
        <f>VLOOKUP(X257,'Updating-Scoring'!$C$2:$D$7,2,TRUE)</f>
        <v>3 - Market signal</v>
      </c>
      <c r="F257">
        <f t="shared" si="17"/>
        <v>17</v>
      </c>
      <c r="G257" s="110">
        <v>46133</v>
      </c>
      <c r="H257" t="s">
        <v>1833</v>
      </c>
      <c r="J257" t="s">
        <v>170</v>
      </c>
      <c r="K257" s="34" t="s">
        <v>432</v>
      </c>
      <c r="L257" s="34" t="s">
        <v>457</v>
      </c>
      <c r="M257" s="34" t="s">
        <v>413</v>
      </c>
      <c r="N257" s="34" t="str">
        <f t="shared" si="18"/>
        <v>Marketing | User activation</v>
      </c>
      <c r="O257" t="s">
        <v>1834</v>
      </c>
      <c r="P257" s="34" t="s">
        <v>1835</v>
      </c>
      <c r="Q257" s="38">
        <v>46113</v>
      </c>
      <c r="R257" s="38">
        <v>46142</v>
      </c>
      <c r="T257">
        <v>3</v>
      </c>
      <c r="U257">
        <v>3</v>
      </c>
      <c r="V257">
        <v>4</v>
      </c>
      <c r="W257">
        <v>3</v>
      </c>
      <c r="X257" s="106">
        <f t="shared" si="20"/>
        <v>3.2</v>
      </c>
      <c r="Y257" s="34"/>
      <c r="Z257" s="34"/>
    </row>
    <row r="258" spans="1:26" hidden="1">
      <c r="A258" s="41">
        <f t="shared" si="19"/>
        <v>255</v>
      </c>
      <c r="B258" s="35" t="s">
        <v>1836</v>
      </c>
      <c r="C258" s="35" t="str">
        <f t="shared" si="16"/>
        <v>Telegram giới thiệu AI Editor và nâng cấp polls cùng các tính năng khác</v>
      </c>
      <c r="D258" t="s">
        <v>437</v>
      </c>
      <c r="E258" s="105" t="str">
        <f>VLOOKUP(X258,'Updating-Scoring'!$C$2:$D$7,2,TRUE)</f>
        <v>4 - Strategic shift</v>
      </c>
      <c r="F258">
        <f t="shared" si="17"/>
        <v>17</v>
      </c>
      <c r="G258" s="110">
        <v>46133</v>
      </c>
      <c r="H258" t="s">
        <v>1837</v>
      </c>
      <c r="I258" s="34">
        <v>46111</v>
      </c>
      <c r="J258" t="s">
        <v>170</v>
      </c>
      <c r="K258" s="34" t="s">
        <v>437</v>
      </c>
      <c r="L258" s="34" t="s">
        <v>411</v>
      </c>
      <c r="M258" s="34" t="s">
        <v>501</v>
      </c>
      <c r="N258" s="34" t="str">
        <f t="shared" si="18"/>
        <v>Feature | New feature</v>
      </c>
      <c r="O258" t="s">
        <v>1838</v>
      </c>
      <c r="P258" s="109" t="s">
        <v>1839</v>
      </c>
      <c r="Q258" s="38">
        <v>46113</v>
      </c>
      <c r="R258" s="38"/>
      <c r="T258">
        <v>4</v>
      </c>
      <c r="U258">
        <v>4</v>
      </c>
      <c r="V258">
        <v>4</v>
      </c>
      <c r="W258">
        <v>4</v>
      </c>
      <c r="X258" s="106">
        <f t="shared" si="20"/>
        <v>4</v>
      </c>
      <c r="Y258" s="34"/>
      <c r="Z258" s="34"/>
    </row>
    <row r="259" spans="1:26" hidden="1">
      <c r="A259" s="41">
        <f t="shared" si="19"/>
        <v>256</v>
      </c>
      <c r="B259" s="35" t="s">
        <v>1840</v>
      </c>
      <c r="C259" s="35" t="str">
        <f t="shared" si="16"/>
        <v>WhatsApp tính năng mới:  Giải phóng dung lượng, Nhiều tài khoản, Chuyển dữ liệu đa nền tảng và hơn thế nữa</v>
      </c>
      <c r="D259" t="s">
        <v>1841</v>
      </c>
      <c r="E259" s="105" t="str">
        <f>VLOOKUP(X259,'Updating-Scoring'!$C$2:$D$7,2,TRUE)</f>
        <v>4 - Strategic shift</v>
      </c>
      <c r="F259">
        <f t="shared" si="17"/>
        <v>17</v>
      </c>
      <c r="G259" s="110">
        <v>46133</v>
      </c>
      <c r="H259" t="s">
        <v>1842</v>
      </c>
      <c r="I259" s="34">
        <v>46111</v>
      </c>
      <c r="J259" t="s">
        <v>170</v>
      </c>
      <c r="K259" s="34" t="s">
        <v>436</v>
      </c>
      <c r="L259" s="34" t="s">
        <v>411</v>
      </c>
      <c r="M259" s="34" t="s">
        <v>501</v>
      </c>
      <c r="N259" s="34" t="str">
        <f t="shared" si="18"/>
        <v>Feature | New feature</v>
      </c>
      <c r="O259" t="s">
        <v>1843</v>
      </c>
      <c r="P259" s="109" t="s">
        <v>1844</v>
      </c>
      <c r="Q259" s="38">
        <v>46113</v>
      </c>
      <c r="R259" s="38"/>
      <c r="T259">
        <v>4</v>
      </c>
      <c r="U259">
        <v>4</v>
      </c>
      <c r="V259">
        <v>4</v>
      </c>
      <c r="W259">
        <v>4</v>
      </c>
      <c r="X259" s="106">
        <f t="shared" si="20"/>
        <v>4</v>
      </c>
      <c r="Y259" s="34"/>
      <c r="Z259" s="34"/>
    </row>
    <row r="260" spans="1:26" hidden="1">
      <c r="A260" s="41">
        <f t="shared" si="19"/>
        <v>257</v>
      </c>
      <c r="B260" s="35" t="s">
        <v>1845</v>
      </c>
      <c r="C260" s="35" t="str">
        <f t="shared" ref="C260:C323" si="21">HYPERLINK(B260,O260)</f>
        <v>MoMo Du lịch đi lại: Thứ 5 rực rỡ: Vé máy bay nội địa giảm 15%</v>
      </c>
      <c r="D260" t="s">
        <v>610</v>
      </c>
      <c r="E260" s="105" t="str">
        <f>VLOOKUP(X260,'Updating-Scoring'!$C$2:$D$7,2,TRUE)</f>
        <v>3 - Market signal</v>
      </c>
      <c r="F260">
        <f t="shared" ref="F260:F323" si="22">WEEKNUM(G260,2)</f>
        <v>17</v>
      </c>
      <c r="G260" s="110">
        <v>46133</v>
      </c>
      <c r="H260" t="s">
        <v>1846</v>
      </c>
      <c r="J260" t="s">
        <v>170</v>
      </c>
      <c r="K260" s="34" t="s">
        <v>432</v>
      </c>
      <c r="L260" s="34" t="s">
        <v>457</v>
      </c>
      <c r="M260" s="34" t="s">
        <v>416</v>
      </c>
      <c r="N260" s="34" t="str">
        <f t="shared" ref="N260:N323" si="23">L260&amp;" | "&amp;M260</f>
        <v>Marketing | Transaction growth</v>
      </c>
      <c r="O260" t="s">
        <v>1847</v>
      </c>
      <c r="P260" s="109" t="s">
        <v>1848</v>
      </c>
      <c r="Q260" s="38">
        <v>46127</v>
      </c>
      <c r="R260" s="38">
        <v>46146</v>
      </c>
      <c r="T260">
        <v>3</v>
      </c>
      <c r="U260">
        <v>3</v>
      </c>
      <c r="V260">
        <v>4.5</v>
      </c>
      <c r="W260">
        <v>3</v>
      </c>
      <c r="X260" s="106">
        <f t="shared" si="20"/>
        <v>3.3</v>
      </c>
      <c r="Y260" s="34"/>
      <c r="Z260" s="34"/>
    </row>
    <row r="261" spans="1:26" hidden="1">
      <c r="A261" s="41">
        <f t="shared" ref="A261:A324" si="24">ROW()-3</f>
        <v>258</v>
      </c>
      <c r="B261" s="35" t="s">
        <v>1849</v>
      </c>
      <c r="C261" s="35" t="str">
        <f t="shared" si="21"/>
        <v>MoMo Du lịch đi lại x Vietravel Airlines: “Thứ 3 hướng ngoại” với hàng loạt deal giảm giá</v>
      </c>
      <c r="D261" t="s">
        <v>610</v>
      </c>
      <c r="E261" s="105" t="str">
        <f>VLOOKUP(X261,'Updating-Scoring'!$C$2:$D$7,2,TRUE)</f>
        <v>3 - Market signal</v>
      </c>
      <c r="F261">
        <f t="shared" si="22"/>
        <v>17</v>
      </c>
      <c r="G261" s="110">
        <v>46133</v>
      </c>
      <c r="H261" t="s">
        <v>1850</v>
      </c>
      <c r="J261" t="s">
        <v>170</v>
      </c>
      <c r="K261" s="34" t="s">
        <v>432</v>
      </c>
      <c r="L261" s="34" t="s">
        <v>457</v>
      </c>
      <c r="M261" s="34" t="s">
        <v>416</v>
      </c>
      <c r="N261" s="34" t="str">
        <f t="shared" si="23"/>
        <v>Marketing | Transaction growth</v>
      </c>
      <c r="O261" t="s">
        <v>1851</v>
      </c>
      <c r="P261" s="109" t="s">
        <v>1852</v>
      </c>
      <c r="Q261" s="38">
        <v>46127</v>
      </c>
      <c r="R261" s="38">
        <v>46203</v>
      </c>
      <c r="T261">
        <v>3</v>
      </c>
      <c r="U261">
        <v>3</v>
      </c>
      <c r="V261">
        <v>4.5</v>
      </c>
      <c r="W261">
        <v>3</v>
      </c>
      <c r="X261" s="106">
        <f t="shared" si="20"/>
        <v>3.3</v>
      </c>
      <c r="Y261" s="34"/>
      <c r="Z261" s="34"/>
    </row>
    <row r="262" spans="1:26" hidden="1">
      <c r="A262" s="41">
        <f t="shared" si="24"/>
        <v>259</v>
      </c>
      <c r="B262" s="35" t="s">
        <v>1853</v>
      </c>
      <c r="C262" s="35" t="str">
        <f t="shared" si="21"/>
        <v>Nạp điện thoại data: Nhập mã nhận combo ưu đãi đến 100k</v>
      </c>
      <c r="D262" t="s">
        <v>610</v>
      </c>
      <c r="E262" s="105" t="str">
        <f>VLOOKUP(X262,'Updating-Scoring'!$C$2:$D$7,2,TRUE)</f>
        <v>3 - Market signal</v>
      </c>
      <c r="F262">
        <f t="shared" si="22"/>
        <v>17</v>
      </c>
      <c r="G262" s="110">
        <v>46133</v>
      </c>
      <c r="H262" t="s">
        <v>1854</v>
      </c>
      <c r="J262" t="s">
        <v>170</v>
      </c>
      <c r="K262" s="34" t="s">
        <v>432</v>
      </c>
      <c r="L262" s="34" t="s">
        <v>457</v>
      </c>
      <c r="M262" s="34" t="s">
        <v>416</v>
      </c>
      <c r="N262" s="34" t="str">
        <f t="shared" si="23"/>
        <v>Marketing | Transaction growth</v>
      </c>
      <c r="O262" t="s">
        <v>1855</v>
      </c>
      <c r="P262" s="151" t="s">
        <v>1856</v>
      </c>
      <c r="Q262" s="38">
        <v>46127</v>
      </c>
      <c r="R262" s="38">
        <v>46157</v>
      </c>
      <c r="T262">
        <v>3</v>
      </c>
      <c r="U262">
        <v>3</v>
      </c>
      <c r="V262">
        <v>3.2</v>
      </c>
      <c r="W262">
        <v>3</v>
      </c>
      <c r="X262" s="106">
        <f t="shared" si="20"/>
        <v>3.04</v>
      </c>
      <c r="Y262" s="34"/>
      <c r="Z262" s="34"/>
    </row>
    <row r="263" spans="1:26" hidden="1">
      <c r="A263" s="41">
        <f t="shared" si="24"/>
        <v>260</v>
      </c>
      <c r="B263" s="35" t="s">
        <v>1857</v>
      </c>
      <c r="C263" s="35" t="str">
        <f t="shared" si="21"/>
        <v>MoMo Du lịch đi lại: Combo du lịch độc quyền đến 2 triệu nhân dịp lễ 30/4</v>
      </c>
      <c r="D263" t="s">
        <v>610</v>
      </c>
      <c r="E263" s="105" t="str">
        <f>VLOOKUP(X263,'Updating-Scoring'!$C$2:$D$7,2,TRUE)</f>
        <v>4 - Strategic shift</v>
      </c>
      <c r="F263">
        <f t="shared" si="22"/>
        <v>17</v>
      </c>
      <c r="G263" s="110">
        <v>46133</v>
      </c>
      <c r="H263" t="s">
        <v>1858</v>
      </c>
      <c r="J263" t="s">
        <v>170</v>
      </c>
      <c r="K263" s="34" t="s">
        <v>432</v>
      </c>
      <c r="L263" s="34" t="s">
        <v>457</v>
      </c>
      <c r="M263" s="34" t="s">
        <v>416</v>
      </c>
      <c r="N263" s="34" t="str">
        <f t="shared" si="23"/>
        <v>Marketing | Transaction growth</v>
      </c>
      <c r="O263" t="s">
        <v>1859</v>
      </c>
      <c r="P263" s="109" t="s">
        <v>1860</v>
      </c>
      <c r="Q263" s="38">
        <v>46127</v>
      </c>
      <c r="R263" s="38">
        <v>46142</v>
      </c>
      <c r="T263">
        <v>4</v>
      </c>
      <c r="U263">
        <v>4</v>
      </c>
      <c r="V263">
        <v>4</v>
      </c>
      <c r="W263">
        <v>3</v>
      </c>
      <c r="X263" s="106">
        <f t="shared" si="20"/>
        <v>3.8500000000000005</v>
      </c>
      <c r="Y263" s="34"/>
      <c r="Z263" s="34"/>
    </row>
    <row r="264" spans="1:26" hidden="1">
      <c r="A264" s="41">
        <f t="shared" si="24"/>
        <v>261</v>
      </c>
      <c r="B264" s="35" t="s">
        <v>1861</v>
      </c>
      <c r="C264" s="35" t="str">
        <f t="shared" si="21"/>
        <v>QR Nhận tiền: Tải mã tích 1000 xu</v>
      </c>
      <c r="D264" t="s">
        <v>610</v>
      </c>
      <c r="E264" s="105" t="str">
        <f>VLOOKUP(X264,'Updating-Scoring'!$C$2:$D$7,2,TRUE)</f>
        <v>3 - Market signal</v>
      </c>
      <c r="F264">
        <f t="shared" si="22"/>
        <v>17</v>
      </c>
      <c r="G264" s="110">
        <v>46133</v>
      </c>
      <c r="H264" t="s">
        <v>1862</v>
      </c>
      <c r="J264" t="s">
        <v>170</v>
      </c>
      <c r="K264" s="34" t="s">
        <v>432</v>
      </c>
      <c r="L264" s="34" t="s">
        <v>457</v>
      </c>
      <c r="M264" s="34" t="s">
        <v>413</v>
      </c>
      <c r="N264" s="34" t="str">
        <f t="shared" si="23"/>
        <v>Marketing | User activation</v>
      </c>
      <c r="O264" t="s">
        <v>1863</v>
      </c>
      <c r="P264" s="109" t="s">
        <v>1864</v>
      </c>
      <c r="Q264" s="38">
        <v>46128</v>
      </c>
      <c r="R264" s="38">
        <v>46152</v>
      </c>
      <c r="S264" t="s">
        <v>1865</v>
      </c>
      <c r="T264">
        <v>3.5</v>
      </c>
      <c r="U264">
        <v>3</v>
      </c>
      <c r="V264">
        <v>4</v>
      </c>
      <c r="W264">
        <v>3</v>
      </c>
      <c r="X264" s="106">
        <f t="shared" si="20"/>
        <v>3.4000000000000004</v>
      </c>
      <c r="Y264" s="34"/>
      <c r="Z264" s="34"/>
    </row>
    <row r="265" spans="1:26" hidden="1">
      <c r="A265" s="41">
        <f t="shared" si="24"/>
        <v>262</v>
      </c>
      <c r="B265" s="35" t="s">
        <v>1866</v>
      </c>
      <c r="C265" s="35" t="str">
        <f t="shared" si="21"/>
        <v>MoMo x Alipay: Quét mã thanh toán dễ dàng, ưu đãi giảm 25%</v>
      </c>
      <c r="D265" t="s">
        <v>610</v>
      </c>
      <c r="E265" s="105" t="str">
        <f>VLOOKUP(X265,'Updating-Scoring'!$C$2:$D$7,2,TRUE)</f>
        <v>5 - Industry disruption</v>
      </c>
      <c r="F265">
        <f t="shared" si="22"/>
        <v>17</v>
      </c>
      <c r="G265" s="110">
        <v>46133</v>
      </c>
      <c r="H265" t="s">
        <v>1867</v>
      </c>
      <c r="J265" t="s">
        <v>170</v>
      </c>
      <c r="K265" s="34" t="s">
        <v>432</v>
      </c>
      <c r="L265" s="34" t="s">
        <v>457</v>
      </c>
      <c r="M265" s="34" t="s">
        <v>413</v>
      </c>
      <c r="N265" s="34" t="str">
        <f t="shared" si="23"/>
        <v>Marketing | User activation</v>
      </c>
      <c r="O265" t="s">
        <v>1868</v>
      </c>
      <c r="P265" s="109" t="s">
        <v>1869</v>
      </c>
      <c r="Q265" s="38">
        <v>46128</v>
      </c>
      <c r="R265" s="38">
        <v>46173</v>
      </c>
      <c r="T265">
        <v>5</v>
      </c>
      <c r="U265">
        <v>5</v>
      </c>
      <c r="V265">
        <v>5</v>
      </c>
      <c r="W265">
        <v>4</v>
      </c>
      <c r="X265" s="106">
        <f t="shared" si="20"/>
        <v>4.8499999999999996</v>
      </c>
      <c r="Y265" s="34"/>
      <c r="Z265" s="34"/>
    </row>
    <row r="266" spans="1:26" hidden="1">
      <c r="A266" s="41">
        <f t="shared" si="24"/>
        <v>263</v>
      </c>
      <c r="B266" s="35" t="s">
        <v>1870</v>
      </c>
      <c r="C266" s="35" t="str">
        <f t="shared" si="21"/>
        <v>Chuyển khoản NH bằng SĐT MoMo: Hoàn đến 6.868đ khi nhận từ 2k</v>
      </c>
      <c r="D266" t="s">
        <v>610</v>
      </c>
      <c r="E266" s="105" t="str">
        <f>VLOOKUP(X266,'Updating-Scoring'!$C$2:$D$7,2,TRUE)</f>
        <v>3 - Market signal</v>
      </c>
      <c r="F266">
        <f t="shared" si="22"/>
        <v>17</v>
      </c>
      <c r="G266" s="110">
        <v>46133</v>
      </c>
      <c r="H266" t="s">
        <v>1871</v>
      </c>
      <c r="J266" t="s">
        <v>170</v>
      </c>
      <c r="K266" s="34" t="s">
        <v>432</v>
      </c>
      <c r="L266" s="34" t="s">
        <v>457</v>
      </c>
      <c r="M266" s="34" t="s">
        <v>413</v>
      </c>
      <c r="N266" s="34" t="str">
        <f t="shared" si="23"/>
        <v>Marketing | User activation</v>
      </c>
      <c r="O266" t="s">
        <v>1872</v>
      </c>
      <c r="P266" s="151" t="s">
        <v>1873</v>
      </c>
      <c r="Q266" s="38">
        <v>46129</v>
      </c>
      <c r="R266" s="38">
        <v>46152</v>
      </c>
      <c r="S266" t="s">
        <v>1874</v>
      </c>
      <c r="T266">
        <v>3</v>
      </c>
      <c r="U266">
        <v>3</v>
      </c>
      <c r="V266">
        <v>4</v>
      </c>
      <c r="W266">
        <v>3</v>
      </c>
      <c r="X266" s="106">
        <f t="shared" si="20"/>
        <v>3.2</v>
      </c>
      <c r="Y266" s="34"/>
      <c r="Z266" s="34"/>
    </row>
    <row r="267" spans="1:26" hidden="1">
      <c r="A267" s="41">
        <f t="shared" si="24"/>
        <v>264</v>
      </c>
      <c r="B267" s="35" t="s">
        <v>1875</v>
      </c>
      <c r="C267" s="35" t="str">
        <f t="shared" si="21"/>
        <v>Zalo cho phép người dùng sử dụng OpenClaw và tính năng AI cho phép sao chép chữ từ ảnh ngay trên Zalo</v>
      </c>
      <c r="D267" t="s">
        <v>920</v>
      </c>
      <c r="E267" s="105" t="str">
        <f>VLOOKUP(X267,'Updating-Scoring'!$C$2:$D$7,2,TRUE)</f>
        <v>5 - Industry disruption</v>
      </c>
      <c r="F267">
        <f t="shared" si="22"/>
        <v>17</v>
      </c>
      <c r="G267" s="110">
        <v>46133</v>
      </c>
      <c r="H267" t="s">
        <v>1876</v>
      </c>
      <c r="I267" s="34">
        <v>46127</v>
      </c>
      <c r="J267" t="s">
        <v>170</v>
      </c>
      <c r="K267" s="34" t="s">
        <v>433</v>
      </c>
      <c r="L267" s="34" t="s">
        <v>410</v>
      </c>
      <c r="M267" s="34" t="s">
        <v>496</v>
      </c>
      <c r="N267" s="34" t="str">
        <f t="shared" si="23"/>
        <v>Product | Product update</v>
      </c>
      <c r="O267" t="s">
        <v>1877</v>
      </c>
      <c r="P267" s="109" t="s">
        <v>1878</v>
      </c>
      <c r="Q267" s="38">
        <v>46127</v>
      </c>
      <c r="R267" s="38"/>
      <c r="S267" t="s">
        <v>1879</v>
      </c>
      <c r="T267">
        <v>5</v>
      </c>
      <c r="U267">
        <v>5</v>
      </c>
      <c r="V267">
        <v>5</v>
      </c>
      <c r="W267">
        <v>4</v>
      </c>
      <c r="X267" s="106">
        <f t="shared" si="20"/>
        <v>4.8499999999999996</v>
      </c>
      <c r="Y267" s="34"/>
      <c r="Z267" s="34"/>
    </row>
    <row r="268" spans="1:26" hidden="1">
      <c r="A268" s="41">
        <f t="shared" si="24"/>
        <v>265</v>
      </c>
      <c r="B268" s="35" t="s">
        <v>1880</v>
      </c>
      <c r="C268" s="35" t="str">
        <f t="shared" si="21"/>
        <v>Gamification: Làm nhiệm vụ quay thưởng và cơ hội nhận xu, Youtube Premium</v>
      </c>
      <c r="D268" t="s">
        <v>610</v>
      </c>
      <c r="E268" s="105" t="str">
        <f>VLOOKUP(X268,'Updating-Scoring'!$C$2:$D$7,2,TRUE)</f>
        <v>3 - Market signal</v>
      </c>
      <c r="F268">
        <f t="shared" si="22"/>
        <v>17</v>
      </c>
      <c r="G268" s="110">
        <v>46133</v>
      </c>
      <c r="H268" t="s">
        <v>1881</v>
      </c>
      <c r="J268" t="s">
        <v>170</v>
      </c>
      <c r="K268" s="34" t="s">
        <v>432</v>
      </c>
      <c r="L268" s="34" t="s">
        <v>457</v>
      </c>
      <c r="M268" s="34" t="s">
        <v>414</v>
      </c>
      <c r="N268" s="34" t="str">
        <f t="shared" si="23"/>
        <v>Marketing | User engagement</v>
      </c>
      <c r="O268" t="s">
        <v>1882</v>
      </c>
      <c r="P268" s="109" t="s">
        <v>1883</v>
      </c>
      <c r="Q268" s="38">
        <v>46129</v>
      </c>
      <c r="R268" s="38">
        <v>46142</v>
      </c>
      <c r="S268" t="s">
        <v>1884</v>
      </c>
      <c r="T268">
        <v>3</v>
      </c>
      <c r="U268">
        <v>3</v>
      </c>
      <c r="V268">
        <v>4</v>
      </c>
      <c r="W268">
        <v>3</v>
      </c>
      <c r="X268" s="106">
        <f t="shared" si="20"/>
        <v>3.2</v>
      </c>
      <c r="Y268" s="34"/>
      <c r="Z268" s="34"/>
    </row>
    <row r="269" spans="1:26" hidden="1">
      <c r="A269" s="41">
        <f t="shared" si="24"/>
        <v>266</v>
      </c>
      <c r="B269" s="35" t="s">
        <v>1885</v>
      </c>
      <c r="C269" s="35" t="str">
        <f t="shared" si="21"/>
        <v>MoMo chào bạn mới: Miễn phí 5 lượt đi Metro &amp; quà Grab đến 25K</v>
      </c>
      <c r="D269" t="s">
        <v>610</v>
      </c>
      <c r="E269" s="105" t="str">
        <f>VLOOKUP(X269,'Updating-Scoring'!$C$2:$D$7,2,TRUE)</f>
        <v>4 - Strategic shift</v>
      </c>
      <c r="F269">
        <f t="shared" si="22"/>
        <v>17</v>
      </c>
      <c r="G269" s="110">
        <v>46133</v>
      </c>
      <c r="H269" t="s">
        <v>1886</v>
      </c>
      <c r="J269" t="s">
        <v>170</v>
      </c>
      <c r="K269" s="34" t="s">
        <v>432</v>
      </c>
      <c r="L269" s="34" t="s">
        <v>457</v>
      </c>
      <c r="M269" s="34" t="s">
        <v>415</v>
      </c>
      <c r="N269" s="34" t="str">
        <f t="shared" si="23"/>
        <v>Marketing | User acquisition</v>
      </c>
      <c r="O269" t="s">
        <v>1887</v>
      </c>
      <c r="P269" s="109" t="s">
        <v>1888</v>
      </c>
      <c r="Q269" s="38">
        <v>46130</v>
      </c>
      <c r="R269" s="38"/>
      <c r="S269" t="s">
        <v>1889</v>
      </c>
      <c r="T269">
        <v>4</v>
      </c>
      <c r="U269">
        <v>3</v>
      </c>
      <c r="V269">
        <v>4</v>
      </c>
      <c r="W269">
        <v>3</v>
      </c>
      <c r="X269" s="106">
        <f t="shared" si="20"/>
        <v>3.6000000000000005</v>
      </c>
      <c r="Y269" s="34"/>
      <c r="Z269" s="34"/>
    </row>
    <row r="270" spans="1:26" hidden="1">
      <c r="A270" s="41">
        <f t="shared" si="24"/>
        <v>267</v>
      </c>
      <c r="B270" s="35" t="s">
        <v>1890</v>
      </c>
      <c r="C270" s="35" t="str">
        <f t="shared" si="21"/>
        <v>MoMo x Metro: Miễn phí đi Metro dịp lễ 30/4, giảm thêm 50% đi xe công nghệ</v>
      </c>
      <c r="D270" t="s">
        <v>610</v>
      </c>
      <c r="E270" s="105" t="str">
        <f>VLOOKUP(X270,'Updating-Scoring'!$C$2:$D$7,2,TRUE)</f>
        <v>3 - Market signal</v>
      </c>
      <c r="F270">
        <f t="shared" si="22"/>
        <v>17</v>
      </c>
      <c r="G270" s="110">
        <v>46133</v>
      </c>
      <c r="H270" t="s">
        <v>1891</v>
      </c>
      <c r="J270" t="s">
        <v>170</v>
      </c>
      <c r="K270" s="34" t="s">
        <v>432</v>
      </c>
      <c r="L270" s="34" t="s">
        <v>457</v>
      </c>
      <c r="M270" s="34" t="s">
        <v>413</v>
      </c>
      <c r="N270" s="34" t="str">
        <f t="shared" si="23"/>
        <v>Marketing | User activation</v>
      </c>
      <c r="O270" t="s">
        <v>1892</v>
      </c>
      <c r="P270" s="109" t="s">
        <v>1893</v>
      </c>
      <c r="Q270" s="38">
        <v>46137</v>
      </c>
      <c r="R270" s="38">
        <v>46142</v>
      </c>
      <c r="S270" t="s">
        <v>1894</v>
      </c>
      <c r="T270">
        <v>3</v>
      </c>
      <c r="U270">
        <v>3</v>
      </c>
      <c r="V270">
        <v>3.6</v>
      </c>
      <c r="W270">
        <v>3</v>
      </c>
      <c r="X270" s="106">
        <f t="shared" si="20"/>
        <v>3.12</v>
      </c>
      <c r="Y270" s="34"/>
      <c r="Z270" s="34"/>
    </row>
    <row r="271" spans="1:26" hidden="1">
      <c r="A271" s="41">
        <f t="shared" si="24"/>
        <v>268</v>
      </c>
      <c r="B271" s="35" t="s">
        <v>1895</v>
      </c>
      <c r="C271" s="35" t="str">
        <f t="shared" si="21"/>
        <v>MoMo x Vietnam GameVerse: Mở bán vé Gameverse 2026, săn vé chỉ 1k trên MoMo</v>
      </c>
      <c r="D271" t="s">
        <v>610</v>
      </c>
      <c r="E271" s="105" t="str">
        <f>VLOOKUP(X271,'Updating-Scoring'!$C$2:$D$7,2,TRUE)</f>
        <v>5 - Industry disruption</v>
      </c>
      <c r="F271">
        <f t="shared" si="22"/>
        <v>17</v>
      </c>
      <c r="G271" s="110">
        <v>46133</v>
      </c>
      <c r="H271" t="s">
        <v>1896</v>
      </c>
      <c r="J271" t="s">
        <v>170</v>
      </c>
      <c r="K271" s="34" t="s">
        <v>432</v>
      </c>
      <c r="L271" s="34" t="s">
        <v>459</v>
      </c>
      <c r="M271" s="34" t="s">
        <v>898</v>
      </c>
      <c r="N271" s="34" t="str">
        <f t="shared" si="23"/>
        <v>Partnership | Merchant partnership</v>
      </c>
      <c r="O271" t="s">
        <v>1897</v>
      </c>
      <c r="P271" s="109" t="s">
        <v>1898</v>
      </c>
      <c r="Q271" s="38">
        <v>46125</v>
      </c>
      <c r="R271" s="38">
        <v>46129</v>
      </c>
      <c r="T271">
        <v>4</v>
      </c>
      <c r="U271">
        <v>4</v>
      </c>
      <c r="V271">
        <v>5</v>
      </c>
      <c r="W271">
        <v>5</v>
      </c>
      <c r="X271" s="106">
        <f t="shared" si="20"/>
        <v>4.3499999999999996</v>
      </c>
      <c r="Y271" s="34"/>
      <c r="Z271" s="34"/>
    </row>
    <row r="272" spans="1:26" hidden="1">
      <c r="A272" s="41">
        <f t="shared" si="24"/>
        <v>269</v>
      </c>
      <c r="B272" s="35" t="s">
        <v>1899</v>
      </c>
      <c r="C272" s="35" t="str">
        <f t="shared" si="21"/>
        <v>MoMo x Vietlot SMS: 40 mã quà tặng 40k mỗi ngày</v>
      </c>
      <c r="D272" t="s">
        <v>610</v>
      </c>
      <c r="E272" s="105" t="str">
        <f>VLOOKUP(X272,'Updating-Scoring'!$C$2:$D$7,2,TRUE)</f>
        <v>4 - Strategic shift</v>
      </c>
      <c r="F272">
        <f t="shared" si="22"/>
        <v>17</v>
      </c>
      <c r="G272" s="34">
        <v>46133</v>
      </c>
      <c r="H272" t="s">
        <v>1900</v>
      </c>
      <c r="J272" t="s">
        <v>170</v>
      </c>
      <c r="K272" s="34" t="s">
        <v>432</v>
      </c>
      <c r="L272" s="34" t="s">
        <v>459</v>
      </c>
      <c r="M272" s="34" t="s">
        <v>898</v>
      </c>
      <c r="N272" s="34" t="str">
        <f t="shared" si="23"/>
        <v>Partnership | Merchant partnership</v>
      </c>
      <c r="O272" t="s">
        <v>1901</v>
      </c>
      <c r="P272" s="109" t="s">
        <v>1902</v>
      </c>
      <c r="Q272" s="38">
        <v>46126</v>
      </c>
      <c r="R272" s="38"/>
      <c r="T272">
        <v>4</v>
      </c>
      <c r="U272">
        <v>4</v>
      </c>
      <c r="V272">
        <v>3</v>
      </c>
      <c r="W272">
        <v>3</v>
      </c>
      <c r="X272" s="106">
        <f t="shared" si="20"/>
        <v>3.6500000000000004</v>
      </c>
      <c r="Y272" s="34"/>
      <c r="Z272" s="34"/>
    </row>
    <row r="273" spans="1:26" hidden="1">
      <c r="A273" s="41">
        <f t="shared" si="24"/>
        <v>270</v>
      </c>
      <c r="B273" s="35" t="s">
        <v>1903</v>
      </c>
      <c r="C273" s="35" t="str">
        <f t="shared" si="21"/>
        <v>Mini app Vay nhanh: ra mắt gói vay từ 5 triệu, kỳ hạn từ 1 tháng, có thể tất toán bất kỳ lúc nào</v>
      </c>
      <c r="D273" t="s">
        <v>610</v>
      </c>
      <c r="E273" s="105" t="str">
        <f>VLOOKUP(X273,'Updating-Scoring'!$C$2:$D$7,2,TRUE)</f>
        <v>3 - Market signal</v>
      </c>
      <c r="F273">
        <f t="shared" si="22"/>
        <v>17</v>
      </c>
      <c r="G273" s="110">
        <v>46133</v>
      </c>
      <c r="H273" t="s">
        <v>1904</v>
      </c>
      <c r="J273" t="s">
        <v>170</v>
      </c>
      <c r="K273" s="34" t="s">
        <v>432</v>
      </c>
      <c r="L273" s="34" t="s">
        <v>410</v>
      </c>
      <c r="M273" s="34" t="s">
        <v>496</v>
      </c>
      <c r="N273" s="34" t="str">
        <f t="shared" si="23"/>
        <v>Product | Product update</v>
      </c>
      <c r="O273" t="s">
        <v>1905</v>
      </c>
      <c r="P273" s="109" t="s">
        <v>1906</v>
      </c>
      <c r="Q273" s="38">
        <v>46126</v>
      </c>
      <c r="R273" s="38"/>
      <c r="T273">
        <v>3.2</v>
      </c>
      <c r="U273">
        <v>3</v>
      </c>
      <c r="V273">
        <v>3</v>
      </c>
      <c r="W273">
        <v>3</v>
      </c>
      <c r="X273" s="106">
        <f t="shared" ref="X273:X336" si="25">IF(G273&lt;DATE(2026,4,30),T273*$T$1+U273*$U$1+V273*$V$1+W273*$W$1,T273*$T$2+U273*$U$2)</f>
        <v>3.08</v>
      </c>
      <c r="Y273" s="34"/>
      <c r="Z273" s="34"/>
    </row>
    <row r="274" spans="1:26" hidden="1">
      <c r="A274" s="41">
        <f t="shared" si="24"/>
        <v>271</v>
      </c>
      <c r="B274" s="35" t="s">
        <v>1907</v>
      </c>
      <c r="C274" s="35" t="str">
        <f t="shared" si="21"/>
        <v>MoMo cập nhật tính năng mới tháng 3</v>
      </c>
      <c r="D274" t="s">
        <v>610</v>
      </c>
      <c r="E274" s="105" t="str">
        <f>VLOOKUP(X274,'Updating-Scoring'!$C$2:$D$7,2,TRUE)</f>
        <v>4 - Strategic shift</v>
      </c>
      <c r="F274">
        <f t="shared" si="22"/>
        <v>17</v>
      </c>
      <c r="G274" s="110">
        <v>46133</v>
      </c>
      <c r="H274" t="s">
        <v>1908</v>
      </c>
      <c r="J274" t="s">
        <v>170</v>
      </c>
      <c r="K274" s="34" t="s">
        <v>432</v>
      </c>
      <c r="L274" s="34" t="s">
        <v>410</v>
      </c>
      <c r="M274" s="34" t="s">
        <v>496</v>
      </c>
      <c r="N274" s="34" t="str">
        <f t="shared" si="23"/>
        <v>Product | Product update</v>
      </c>
      <c r="O274" t="s">
        <v>1909</v>
      </c>
      <c r="P274" s="151" t="s">
        <v>1910</v>
      </c>
      <c r="Q274" s="38">
        <v>46129</v>
      </c>
      <c r="R274" s="38"/>
      <c r="S274" t="s">
        <v>1911</v>
      </c>
      <c r="T274">
        <v>4</v>
      </c>
      <c r="U274">
        <v>4</v>
      </c>
      <c r="V274">
        <v>4</v>
      </c>
      <c r="W274">
        <v>3.5</v>
      </c>
      <c r="X274" s="106">
        <f t="shared" si="25"/>
        <v>3.9250000000000003</v>
      </c>
      <c r="Y274" s="34"/>
      <c r="Z274" s="34"/>
    </row>
    <row r="275" spans="1:26" hidden="1">
      <c r="A275" s="41">
        <f t="shared" si="24"/>
        <v>272</v>
      </c>
      <c r="B275" s="35" t="s">
        <v>1912</v>
      </c>
      <c r="C275" s="35" t="str">
        <f t="shared" si="21"/>
        <v>MoMo Ví Trả Sau: Thay đổi phí dịch vụ</v>
      </c>
      <c r="D275" t="s">
        <v>610</v>
      </c>
      <c r="E275" s="105" t="str">
        <f>VLOOKUP(X275,'Updating-Scoring'!$C$2:$D$7,2,TRUE)</f>
        <v>5 - Industry disruption</v>
      </c>
      <c r="F275">
        <f t="shared" si="22"/>
        <v>17</v>
      </c>
      <c r="G275" s="110">
        <v>46133</v>
      </c>
      <c r="H275" t="s">
        <v>1913</v>
      </c>
      <c r="I275" s="34">
        <v>46128</v>
      </c>
      <c r="J275" t="s">
        <v>170</v>
      </c>
      <c r="K275" s="34" t="s">
        <v>432</v>
      </c>
      <c r="L275" s="34" t="s">
        <v>410</v>
      </c>
      <c r="M275" s="34" t="s">
        <v>497</v>
      </c>
      <c r="N275" s="34" t="str">
        <f t="shared" si="23"/>
        <v>Product | Pricing change</v>
      </c>
      <c r="O275" t="s">
        <v>1914</v>
      </c>
      <c r="P275" s="109" t="s">
        <v>1915</v>
      </c>
      <c r="Q275" s="38">
        <v>46143</v>
      </c>
      <c r="R275" s="38"/>
      <c r="T275">
        <v>5</v>
      </c>
      <c r="U275">
        <v>4</v>
      </c>
      <c r="V275">
        <v>4</v>
      </c>
      <c r="W275">
        <v>4</v>
      </c>
      <c r="X275" s="106">
        <f t="shared" si="25"/>
        <v>4.3999999999999995</v>
      </c>
      <c r="Y275" s="34"/>
      <c r="Z275" s="34"/>
    </row>
    <row r="276" spans="1:26" hidden="1">
      <c r="A276" s="41">
        <f t="shared" si="24"/>
        <v>273</v>
      </c>
      <c r="B276" s="35" t="s">
        <v>1916</v>
      </c>
      <c r="C276" s="35" t="str">
        <f t="shared" si="21"/>
        <v>1/6/2026, Zalo Official Account triển khai gói dịch vụ mới - tối ưu hiệu suất theo nhu cầu doanh nghiệp</v>
      </c>
      <c r="D276" t="s">
        <v>920</v>
      </c>
      <c r="E276" s="105" t="str">
        <f>VLOOKUP(X276,'Updating-Scoring'!$C$2:$D$7,2,TRUE)</f>
        <v>4 - Strategic shift</v>
      </c>
      <c r="F276">
        <f t="shared" si="22"/>
        <v>17</v>
      </c>
      <c r="G276" s="110">
        <v>46133</v>
      </c>
      <c r="H276" t="s">
        <v>1917</v>
      </c>
      <c r="I276" s="34">
        <v>46130</v>
      </c>
      <c r="J276" t="s">
        <v>170</v>
      </c>
      <c r="K276" s="34" t="s">
        <v>433</v>
      </c>
      <c r="L276" s="34" t="s">
        <v>410</v>
      </c>
      <c r="M276" s="34" t="s">
        <v>497</v>
      </c>
      <c r="N276" s="34" t="str">
        <f t="shared" si="23"/>
        <v>Product | Pricing change</v>
      </c>
      <c r="O276" s="34" t="s">
        <v>1918</v>
      </c>
      <c r="P276" s="109" t="s">
        <v>1919</v>
      </c>
      <c r="Q276" s="38">
        <v>46174</v>
      </c>
      <c r="R276" s="38"/>
      <c r="S276" t="s">
        <v>1920</v>
      </c>
      <c r="T276">
        <v>4</v>
      </c>
      <c r="U276">
        <v>4</v>
      </c>
      <c r="V276">
        <v>5</v>
      </c>
      <c r="W276">
        <v>3</v>
      </c>
      <c r="X276" s="106">
        <f t="shared" si="25"/>
        <v>4.05</v>
      </c>
      <c r="Y276" s="34" t="s">
        <v>1921</v>
      </c>
      <c r="Z276" s="34"/>
    </row>
    <row r="277" spans="1:26" hidden="1">
      <c r="A277" s="41">
        <f t="shared" si="24"/>
        <v>274</v>
      </c>
      <c r="B277" s="35" t="s">
        <v>1922</v>
      </c>
      <c r="C277" s="35" t="str">
        <f t="shared" si="21"/>
        <v>Google triển khai tính năng Trí thông minh cá nhân trên Gemini tại Việt Nam</v>
      </c>
      <c r="D277" t="s">
        <v>119</v>
      </c>
      <c r="E277" s="105" t="str">
        <f>VLOOKUP(X277,'Updating-Scoring'!$C$2:$D$7,2,TRUE)</f>
        <v>5 - Industry disruption</v>
      </c>
      <c r="F277">
        <f t="shared" si="22"/>
        <v>17</v>
      </c>
      <c r="G277" s="110">
        <v>46133</v>
      </c>
      <c r="H277" t="s">
        <v>1923</v>
      </c>
      <c r="I277" s="34">
        <v>46127</v>
      </c>
      <c r="J277" t="s">
        <v>284</v>
      </c>
      <c r="K277" s="34" t="s">
        <v>431</v>
      </c>
      <c r="L277" s="34" t="s">
        <v>451</v>
      </c>
      <c r="M277" s="34" t="s">
        <v>483</v>
      </c>
      <c r="N277" s="34" t="str">
        <f t="shared" si="23"/>
        <v>Technology | AI/ Gen AI</v>
      </c>
      <c r="O277" t="s">
        <v>1923</v>
      </c>
      <c r="P277" s="109" t="s">
        <v>1924</v>
      </c>
      <c r="Q277" s="38"/>
      <c r="R277" s="38"/>
      <c r="S277" t="s">
        <v>1925</v>
      </c>
      <c r="T277">
        <v>5</v>
      </c>
      <c r="U277">
        <v>5</v>
      </c>
      <c r="V277">
        <v>4</v>
      </c>
      <c r="W277">
        <v>4</v>
      </c>
      <c r="X277" s="106">
        <f t="shared" si="25"/>
        <v>4.6499999999999995</v>
      </c>
      <c r="Y277" s="34"/>
      <c r="Z277" s="34"/>
    </row>
    <row r="278" spans="1:26" hidden="1">
      <c r="A278" s="41">
        <f t="shared" si="24"/>
        <v>275</v>
      </c>
      <c r="B278" s="35" t="s">
        <v>1926</v>
      </c>
      <c r="C278" s="35" t="str">
        <f t="shared" si="21"/>
        <v>Sàn TMĐT Việt tích hợp trong gần 20 ứng dụng ngân hàng</v>
      </c>
      <c r="D278" t="s">
        <v>1927</v>
      </c>
      <c r="E278" s="105" t="str">
        <f>VLOOKUP(X278,'Updating-Scoring'!$C$2:$D$7,2,TRUE)</f>
        <v>5 - Industry disruption</v>
      </c>
      <c r="F278">
        <f t="shared" si="22"/>
        <v>17</v>
      </c>
      <c r="G278" s="110">
        <v>46133</v>
      </c>
      <c r="H278" t="s">
        <v>1928</v>
      </c>
      <c r="I278" s="34">
        <v>46128</v>
      </c>
      <c r="J278" t="s">
        <v>284</v>
      </c>
      <c r="K278" s="34" t="s">
        <v>431</v>
      </c>
      <c r="L278" s="34" t="s">
        <v>447</v>
      </c>
      <c r="M278" s="34" t="s">
        <v>1929</v>
      </c>
      <c r="N278" s="34" t="str">
        <f t="shared" si="23"/>
        <v>Economic | eCommerce</v>
      </c>
      <c r="O278" t="s">
        <v>1930</v>
      </c>
      <c r="P278" s="109" t="s">
        <v>1931</v>
      </c>
      <c r="Q278" s="38"/>
      <c r="R278" s="38"/>
      <c r="S278" t="s">
        <v>1932</v>
      </c>
      <c r="T278">
        <v>5</v>
      </c>
      <c r="U278">
        <v>4</v>
      </c>
      <c r="V278">
        <v>5</v>
      </c>
      <c r="W278">
        <v>3</v>
      </c>
      <c r="X278" s="106">
        <f t="shared" si="25"/>
        <v>4.45</v>
      </c>
      <c r="Y278" s="34"/>
      <c r="Z278" s="34"/>
    </row>
    <row r="279" spans="1:26" hidden="1">
      <c r="A279" s="41">
        <f t="shared" si="24"/>
        <v>276</v>
      </c>
      <c r="B279" s="35" t="s">
        <v>1933</v>
      </c>
      <c r="C279" s="35" t="str">
        <f t="shared" si="21"/>
        <v>TikTok Shop, Shopee và Lazada thâu tóm 99% thị trường Đông Nam Á</v>
      </c>
      <c r="D279" t="s">
        <v>104</v>
      </c>
      <c r="E279" s="105" t="str">
        <f>VLOOKUP(X279,'Updating-Scoring'!$C$2:$D$7,2,TRUE)</f>
        <v>5 - Industry disruption</v>
      </c>
      <c r="F279">
        <f t="shared" si="22"/>
        <v>17</v>
      </c>
      <c r="G279" s="110">
        <v>46133</v>
      </c>
      <c r="H279" t="s">
        <v>1934</v>
      </c>
      <c r="I279" s="34">
        <v>46127</v>
      </c>
      <c r="J279" t="s">
        <v>284</v>
      </c>
      <c r="K279" s="34" t="s">
        <v>430</v>
      </c>
      <c r="L279" s="34" t="s">
        <v>447</v>
      </c>
      <c r="M279" s="34" t="s">
        <v>1929</v>
      </c>
      <c r="N279" s="34" t="str">
        <f t="shared" si="23"/>
        <v>Economic | eCommerce</v>
      </c>
      <c r="O279" t="s">
        <v>1935</v>
      </c>
      <c r="P279" s="109" t="s">
        <v>1936</v>
      </c>
      <c r="Q279" s="38"/>
      <c r="R279" s="38"/>
      <c r="S279" t="s">
        <v>1937</v>
      </c>
      <c r="T279">
        <v>5</v>
      </c>
      <c r="U279">
        <v>5</v>
      </c>
      <c r="V279">
        <v>4</v>
      </c>
      <c r="W279">
        <v>2</v>
      </c>
      <c r="X279" s="106">
        <f t="shared" si="25"/>
        <v>4.3499999999999996</v>
      </c>
      <c r="Y279" s="34"/>
      <c r="Z279" s="34"/>
    </row>
    <row r="280" spans="1:26" hidden="1">
      <c r="A280" s="41">
        <f t="shared" si="24"/>
        <v>277</v>
      </c>
      <c r="B280" s="35" t="s">
        <v>1938</v>
      </c>
      <c r="C280" s="35" t="str">
        <f t="shared" si="21"/>
        <v>ByteDance: lợi nhuận giảm vì đẩy mạnh AI, TikTok Shop kéo tăng trưởng quốc tế</v>
      </c>
      <c r="D280" t="s">
        <v>197</v>
      </c>
      <c r="E280" s="105" t="str">
        <f>VLOOKUP(X280,'Updating-Scoring'!$C$2:$D$7,2,TRUE)</f>
        <v>5 - Industry disruption</v>
      </c>
      <c r="F280">
        <f t="shared" si="22"/>
        <v>17</v>
      </c>
      <c r="G280" s="110">
        <v>46133</v>
      </c>
      <c r="H280" t="s">
        <v>1939</v>
      </c>
      <c r="I280" s="34">
        <v>46127</v>
      </c>
      <c r="J280" t="s">
        <v>284</v>
      </c>
      <c r="K280" s="34" t="s">
        <v>428</v>
      </c>
      <c r="L280" s="34" t="s">
        <v>447</v>
      </c>
      <c r="M280" s="34" t="s">
        <v>957</v>
      </c>
      <c r="N280" s="34" t="str">
        <f t="shared" si="23"/>
        <v>Economic | Market growth/ market size</v>
      </c>
      <c r="O280" t="s">
        <v>1940</v>
      </c>
      <c r="P280" s="109" t="s">
        <v>1941</v>
      </c>
      <c r="Q280" s="38"/>
      <c r="R280" s="38"/>
      <c r="S280" t="s">
        <v>1942</v>
      </c>
      <c r="T280">
        <v>5</v>
      </c>
      <c r="U280">
        <v>4</v>
      </c>
      <c r="V280">
        <v>5</v>
      </c>
      <c r="W280">
        <v>2</v>
      </c>
      <c r="X280" s="106">
        <f t="shared" si="25"/>
        <v>4.3</v>
      </c>
      <c r="Y280" s="34"/>
      <c r="Z280" s="34"/>
    </row>
    <row r="281" spans="1:26" hidden="1">
      <c r="A281" s="41">
        <f t="shared" si="24"/>
        <v>278</v>
      </c>
      <c r="B281" s="35" t="s">
        <v>1943</v>
      </c>
      <c r="C281" s="35" t="str">
        <f t="shared" si="21"/>
        <v>OpenAI ra gói $100/tháng nhắm thẳng Claude – Codex developer war, chiến tranh AI pricing leo thang</v>
      </c>
      <c r="D281" t="s">
        <v>85</v>
      </c>
      <c r="E281" s="105" t="str">
        <f>VLOOKUP(X281,'Updating-Scoring'!$C$2:$D$7,2,TRUE)</f>
        <v>5 - Industry disruption</v>
      </c>
      <c r="F281">
        <f t="shared" si="22"/>
        <v>17</v>
      </c>
      <c r="G281" s="110">
        <v>46133</v>
      </c>
      <c r="H281" t="s">
        <v>1944</v>
      </c>
      <c r="I281" s="34">
        <v>46122</v>
      </c>
      <c r="J281" t="s">
        <v>284</v>
      </c>
      <c r="K281" s="34" t="s">
        <v>428</v>
      </c>
      <c r="L281" s="34" t="s">
        <v>447</v>
      </c>
      <c r="M281" s="34" t="s">
        <v>1945</v>
      </c>
      <c r="N281" s="34" t="str">
        <f t="shared" si="23"/>
        <v>Economic | AI/ Business model</v>
      </c>
      <c r="O281" t="s">
        <v>1946</v>
      </c>
      <c r="P281" s="109" t="s">
        <v>1947</v>
      </c>
      <c r="Q281" s="38"/>
      <c r="R281" s="38"/>
      <c r="S281" t="s">
        <v>1948</v>
      </c>
      <c r="T281">
        <v>5</v>
      </c>
      <c r="U281">
        <v>4</v>
      </c>
      <c r="V281">
        <v>4</v>
      </c>
      <c r="W281">
        <v>3</v>
      </c>
      <c r="X281" s="106">
        <f t="shared" si="25"/>
        <v>4.25</v>
      </c>
      <c r="Y281" s="34"/>
      <c r="Z281" s="34"/>
    </row>
    <row r="282" spans="1:26" hidden="1">
      <c r="A282" s="41">
        <f t="shared" si="24"/>
        <v>279</v>
      </c>
      <c r="B282" s="35" t="s">
        <v>1949</v>
      </c>
      <c r="C282" s="35" t="str">
        <f t="shared" si="21"/>
        <v>ChatGPT kiếm $100M quảng cáo sau 8 tuần – AI miễn phí có quảng cáo là viable business model</v>
      </c>
      <c r="D282" t="s">
        <v>85</v>
      </c>
      <c r="E282" s="105" t="str">
        <f>VLOOKUP(X282,'Updating-Scoring'!$C$2:$D$7,2,TRUE)</f>
        <v>5 - Industry disruption</v>
      </c>
      <c r="F282">
        <f t="shared" si="22"/>
        <v>17</v>
      </c>
      <c r="G282" s="110">
        <v>46133</v>
      </c>
      <c r="H282" t="s">
        <v>1950</v>
      </c>
      <c r="I282" s="34">
        <v>46124</v>
      </c>
      <c r="J282" t="s">
        <v>284</v>
      </c>
      <c r="K282" s="34" t="s">
        <v>428</v>
      </c>
      <c r="L282" s="34" t="s">
        <v>447</v>
      </c>
      <c r="M282" s="34" t="s">
        <v>1945</v>
      </c>
      <c r="N282" s="34" t="str">
        <f t="shared" si="23"/>
        <v>Economic | AI/ Business model</v>
      </c>
      <c r="O282" t="s">
        <v>1951</v>
      </c>
      <c r="P282" s="109" t="s">
        <v>1952</v>
      </c>
      <c r="Q282" s="38"/>
      <c r="R282" s="38"/>
      <c r="S282" t="s">
        <v>1953</v>
      </c>
      <c r="T282">
        <v>5</v>
      </c>
      <c r="U282">
        <v>4</v>
      </c>
      <c r="V282">
        <v>4</v>
      </c>
      <c r="W282">
        <v>3</v>
      </c>
      <c r="X282" s="106">
        <f t="shared" si="25"/>
        <v>4.25</v>
      </c>
      <c r="Y282" s="34"/>
      <c r="Z282" s="34"/>
    </row>
    <row r="283" spans="1:26" hidden="1">
      <c r="A283" s="41">
        <f t="shared" si="24"/>
        <v>280</v>
      </c>
      <c r="B283" s="35" t="s">
        <v>1954</v>
      </c>
      <c r="C283" s="35" t="str">
        <f t="shared" si="21"/>
        <v>VNPT Money tích hợp vé Metro Hà Nội – Mobility-payment đầu tiên tại hệ thống tàu điện VN, áp lực trực tiếp lên MoMo</v>
      </c>
      <c r="D283" t="s">
        <v>85</v>
      </c>
      <c r="E283" s="105" t="str">
        <f>VLOOKUP(X283,'Updating-Scoring'!$C$2:$D$7,2,TRUE)</f>
        <v>4 - Strategic shift</v>
      </c>
      <c r="F283">
        <f t="shared" si="22"/>
        <v>17</v>
      </c>
      <c r="G283" s="110">
        <v>46133</v>
      </c>
      <c r="H283" t="s">
        <v>1955</v>
      </c>
      <c r="I283" s="34">
        <v>46123</v>
      </c>
      <c r="J283" t="s">
        <v>284</v>
      </c>
      <c r="K283" s="34" t="s">
        <v>431</v>
      </c>
      <c r="L283" s="34" t="s">
        <v>451</v>
      </c>
      <c r="M283" s="34" t="s">
        <v>489</v>
      </c>
      <c r="N283" s="34" t="str">
        <f t="shared" si="23"/>
        <v>Technology | Fintech/ Wallet</v>
      </c>
      <c r="O283" t="s">
        <v>1956</v>
      </c>
      <c r="P283" s="109" t="s">
        <v>1957</v>
      </c>
      <c r="Q283" s="38"/>
      <c r="R283" s="38"/>
      <c r="S283" t="s">
        <v>1958</v>
      </c>
      <c r="T283">
        <v>5</v>
      </c>
      <c r="U283">
        <v>4</v>
      </c>
      <c r="V283">
        <v>4</v>
      </c>
      <c r="W283">
        <v>2</v>
      </c>
      <c r="X283" s="106">
        <f t="shared" si="25"/>
        <v>4.0999999999999996</v>
      </c>
      <c r="Y283" s="34"/>
      <c r="Z283" s="34"/>
    </row>
    <row r="284" spans="1:26" hidden="1">
      <c r="A284" s="41">
        <f t="shared" si="24"/>
        <v>281</v>
      </c>
      <c r="B284" s="35" t="s">
        <v>1959</v>
      </c>
      <c r="C284" s="35" t="str">
        <f t="shared" si="21"/>
        <v>Qualcomm + Viettel hướng tới AI Phone 2027 – Hạ tầng on-device AI tại VN chính thức khởi động</v>
      </c>
      <c r="D284" t="s">
        <v>85</v>
      </c>
      <c r="E284" s="105" t="str">
        <f>VLOOKUP(X284,'Updating-Scoring'!$C$2:$D$7,2,TRUE)</f>
        <v>4 - Strategic shift</v>
      </c>
      <c r="F284">
        <f t="shared" si="22"/>
        <v>17</v>
      </c>
      <c r="G284" s="110">
        <v>46133</v>
      </c>
      <c r="H284" t="s">
        <v>1960</v>
      </c>
      <c r="I284" s="34">
        <v>46129</v>
      </c>
      <c r="J284" t="s">
        <v>284</v>
      </c>
      <c r="K284" s="34" t="s">
        <v>431</v>
      </c>
      <c r="L284" s="34" t="s">
        <v>451</v>
      </c>
      <c r="M284" s="34" t="s">
        <v>483</v>
      </c>
      <c r="N284" s="34" t="str">
        <f t="shared" si="23"/>
        <v>Technology | AI/ Gen AI</v>
      </c>
      <c r="O284" t="s">
        <v>1961</v>
      </c>
      <c r="P284" s="109" t="s">
        <v>1962</v>
      </c>
      <c r="Q284" s="38"/>
      <c r="R284" s="38"/>
      <c r="S284" t="s">
        <v>1963</v>
      </c>
      <c r="T284">
        <v>4</v>
      </c>
      <c r="U284">
        <v>4</v>
      </c>
      <c r="V284">
        <v>3.5</v>
      </c>
      <c r="W284">
        <v>5</v>
      </c>
      <c r="X284" s="106">
        <f t="shared" si="25"/>
        <v>4.0500000000000007</v>
      </c>
      <c r="Y284" s="34"/>
      <c r="Z284" s="34"/>
    </row>
    <row r="285" spans="1:26" hidden="1">
      <c r="A285" s="41">
        <f t="shared" si="24"/>
        <v>282</v>
      </c>
      <c r="B285" s="35" t="s">
        <v>1964</v>
      </c>
      <c r="C285" s="35" t="str">
        <f t="shared" si="21"/>
        <v>Bản đồ TMĐT Trung Quốc: Discover-and-buy thay thế search-and-buy</v>
      </c>
      <c r="D285" t="s">
        <v>144</v>
      </c>
      <c r="E285" s="105" t="str">
        <f>VLOOKUP(X285,'Updating-Scoring'!$C$2:$D$7,2,TRUE)</f>
        <v>4 - Strategic shift</v>
      </c>
      <c r="F285">
        <f t="shared" si="22"/>
        <v>17</v>
      </c>
      <c r="G285" s="110">
        <v>46133</v>
      </c>
      <c r="H285" t="s">
        <v>1965</v>
      </c>
      <c r="I285" s="34">
        <v>46126</v>
      </c>
      <c r="J285" t="s">
        <v>284</v>
      </c>
      <c r="K285" s="34" t="s">
        <v>429</v>
      </c>
      <c r="L285" s="34" t="s">
        <v>447</v>
      </c>
      <c r="M285" s="34" t="s">
        <v>957</v>
      </c>
      <c r="N285" s="34" t="str">
        <f t="shared" si="23"/>
        <v>Economic | Market growth/ market size</v>
      </c>
      <c r="O285" t="s">
        <v>1966</v>
      </c>
      <c r="P285" s="109" t="s">
        <v>1967</v>
      </c>
      <c r="Q285" s="38"/>
      <c r="R285" s="38"/>
      <c r="S285" t="s">
        <v>1968</v>
      </c>
      <c r="T285">
        <v>4.5</v>
      </c>
      <c r="U285">
        <v>4</v>
      </c>
      <c r="V285">
        <v>4</v>
      </c>
      <c r="W285">
        <v>2</v>
      </c>
      <c r="X285" s="106">
        <f t="shared" si="25"/>
        <v>3.8999999999999995</v>
      </c>
      <c r="Y285" s="34"/>
      <c r="Z285" s="34"/>
    </row>
    <row r="286" spans="1:26" hidden="1">
      <c r="A286" s="41">
        <f t="shared" si="24"/>
        <v>283</v>
      </c>
      <c r="B286" s="35" t="s">
        <v>1969</v>
      </c>
      <c r="C286" s="35" t="str">
        <f t="shared" si="21"/>
        <v>Microsoft đề xuất AI agent phải trả phí license như nhân viên thật</v>
      </c>
      <c r="D286" t="s">
        <v>85</v>
      </c>
      <c r="E286" s="105" t="str">
        <f>VLOOKUP(X286,'Updating-Scoring'!$C$2:$D$7,2,TRUE)</f>
        <v>4 - Strategic shift</v>
      </c>
      <c r="F286">
        <f t="shared" si="22"/>
        <v>17</v>
      </c>
      <c r="G286" s="110">
        <v>46133</v>
      </c>
      <c r="H286" t="s">
        <v>1970</v>
      </c>
      <c r="I286" s="34">
        <v>46128</v>
      </c>
      <c r="J286" t="s">
        <v>284</v>
      </c>
      <c r="K286" s="34" t="s">
        <v>428</v>
      </c>
      <c r="L286" s="34" t="s">
        <v>451</v>
      </c>
      <c r="M286" s="34" t="s">
        <v>483</v>
      </c>
      <c r="N286" s="34" t="str">
        <f t="shared" si="23"/>
        <v>Technology | AI/ Gen AI</v>
      </c>
      <c r="O286" t="s">
        <v>1971</v>
      </c>
      <c r="P286" s="109" t="s">
        <v>1972</v>
      </c>
      <c r="Q286" s="38"/>
      <c r="R286" s="38"/>
      <c r="S286" t="s">
        <v>1973</v>
      </c>
      <c r="T286">
        <v>4</v>
      </c>
      <c r="U286">
        <v>4</v>
      </c>
      <c r="V286">
        <v>3</v>
      </c>
      <c r="W286">
        <v>4</v>
      </c>
      <c r="X286" s="106">
        <f t="shared" si="25"/>
        <v>3.8000000000000003</v>
      </c>
      <c r="Y286" s="34"/>
      <c r="Z286" s="34"/>
    </row>
    <row r="287" spans="1:26" hidden="1">
      <c r="A287" s="41">
        <f t="shared" si="24"/>
        <v>284</v>
      </c>
      <c r="B287" s="35" t="s">
        <v>1974</v>
      </c>
      <c r="C287" s="35" t="str">
        <f t="shared" si="21"/>
        <v>App Store tăng trưởng trở lại nhờ AI app – Người dùng sẵn sàng trả tiền cho AI mobile</v>
      </c>
      <c r="D287" t="s">
        <v>1012</v>
      </c>
      <c r="E287" s="105" t="str">
        <f>VLOOKUP(X287,'Updating-Scoring'!$C$2:$D$7,2,TRUE)</f>
        <v>4 - Strategic shift</v>
      </c>
      <c r="F287">
        <f t="shared" si="22"/>
        <v>17</v>
      </c>
      <c r="G287" s="110">
        <v>46133</v>
      </c>
      <c r="H287" t="s">
        <v>1975</v>
      </c>
      <c r="I287" s="34">
        <v>46130</v>
      </c>
      <c r="J287" t="s">
        <v>284</v>
      </c>
      <c r="K287" s="34" t="s">
        <v>428</v>
      </c>
      <c r="L287" s="34" t="s">
        <v>447</v>
      </c>
      <c r="M287" s="34" t="s">
        <v>475</v>
      </c>
      <c r="N287" s="34" t="str">
        <f t="shared" si="23"/>
        <v>Economic | Market growth/market size</v>
      </c>
      <c r="O287" t="s">
        <v>1976</v>
      </c>
      <c r="P287" s="109" t="s">
        <v>1977</v>
      </c>
      <c r="Q287" s="38"/>
      <c r="R287" s="38"/>
      <c r="S287" t="s">
        <v>1978</v>
      </c>
      <c r="T287">
        <v>4</v>
      </c>
      <c r="U287">
        <v>4</v>
      </c>
      <c r="V287">
        <v>3</v>
      </c>
      <c r="W287">
        <v>2</v>
      </c>
      <c r="X287" s="106">
        <f t="shared" si="25"/>
        <v>3.5</v>
      </c>
      <c r="Y287" s="34"/>
      <c r="Z287" s="34"/>
    </row>
    <row r="288" spans="1:26" hidden="1">
      <c r="A288" s="41">
        <f t="shared" si="24"/>
        <v>285</v>
      </c>
      <c r="B288" s="35" t="s">
        <v>1979</v>
      </c>
      <c r="C288" s="35" t="str">
        <f t="shared" si="21"/>
        <v>WhatsApp thử nghiệm 'WhatsApp Plus' premium €2.49/tháng – Precedent monetization chat cosmetics cho super-app có tính năng messaging</v>
      </c>
      <c r="D288" t="s">
        <v>1012</v>
      </c>
      <c r="E288" s="105" t="str">
        <f>VLOOKUP(X288,'Updating-Scoring'!$C$2:$D$7,2,TRUE)</f>
        <v>4 - Strategic shift</v>
      </c>
      <c r="F288">
        <f t="shared" si="22"/>
        <v>17</v>
      </c>
      <c r="G288" s="110">
        <v>46133</v>
      </c>
      <c r="H288" t="s">
        <v>1980</v>
      </c>
      <c r="I288" s="34">
        <v>46132</v>
      </c>
      <c r="J288" t="s">
        <v>170</v>
      </c>
      <c r="K288" s="34" t="s">
        <v>436</v>
      </c>
      <c r="L288" s="34" t="s">
        <v>410</v>
      </c>
      <c r="M288" s="34" t="s">
        <v>1981</v>
      </c>
      <c r="N288" s="34" t="str">
        <f t="shared" si="23"/>
        <v>Product | Messaging/ Social</v>
      </c>
      <c r="O288" t="s">
        <v>1982</v>
      </c>
      <c r="P288" s="109" t="s">
        <v>1983</v>
      </c>
      <c r="Q288" s="38"/>
      <c r="R288" s="38"/>
      <c r="S288" t="s">
        <v>1984</v>
      </c>
      <c r="T288">
        <v>4</v>
      </c>
      <c r="U288">
        <v>4</v>
      </c>
      <c r="V288">
        <v>4</v>
      </c>
      <c r="W288">
        <v>2</v>
      </c>
      <c r="X288" s="106">
        <f t="shared" si="25"/>
        <v>3.7</v>
      </c>
      <c r="Y288" s="34"/>
      <c r="Z288" s="34"/>
    </row>
    <row r="289" spans="1:26" hidden="1">
      <c r="A289" s="41">
        <f t="shared" si="24"/>
        <v>286</v>
      </c>
      <c r="B289" s="35" t="s">
        <v>1985</v>
      </c>
      <c r="C289" s="35" t="str">
        <f t="shared" si="21"/>
        <v>BBS 2025: AI và ESG thay thế awareness làm tiêu chí thương hiệu ngân hàng VN</v>
      </c>
      <c r="D289" t="s">
        <v>104</v>
      </c>
      <c r="E289" s="105" t="str">
        <f>VLOOKUP(X289,'Updating-Scoring'!$C$2:$D$7,2,TRUE)</f>
        <v>4 - Strategic shift</v>
      </c>
      <c r="F289">
        <f t="shared" si="22"/>
        <v>17</v>
      </c>
      <c r="G289" s="110">
        <v>46133</v>
      </c>
      <c r="H289" t="s">
        <v>1986</v>
      </c>
      <c r="I289" s="34">
        <v>46129</v>
      </c>
      <c r="J289" t="s">
        <v>284</v>
      </c>
      <c r="K289" s="34" t="s">
        <v>431</v>
      </c>
      <c r="L289" s="34" t="s">
        <v>447</v>
      </c>
      <c r="M289" s="34" t="s">
        <v>1987</v>
      </c>
      <c r="N289" s="34" t="str">
        <f t="shared" si="23"/>
        <v>Economic | Banking/ Financial services</v>
      </c>
      <c r="O289" t="s">
        <v>1988</v>
      </c>
      <c r="P289" s="109" t="s">
        <v>1989</v>
      </c>
      <c r="Q289" s="38"/>
      <c r="R289" s="38"/>
      <c r="S289" t="s">
        <v>1990</v>
      </c>
      <c r="T289">
        <v>4</v>
      </c>
      <c r="U289">
        <v>4</v>
      </c>
      <c r="V289">
        <v>3</v>
      </c>
      <c r="W289">
        <v>2</v>
      </c>
      <c r="X289" s="106">
        <f t="shared" si="25"/>
        <v>3.5</v>
      </c>
      <c r="Y289" s="34"/>
      <c r="Z289" s="34"/>
    </row>
    <row r="290" spans="1:26" hidden="1">
      <c r="A290" s="41">
        <f t="shared" si="24"/>
        <v>287</v>
      </c>
      <c r="B290" s="35" t="s">
        <v>1991</v>
      </c>
      <c r="C290" s="35" t="str">
        <f t="shared" si="21"/>
        <v>Trung Quốc phạt các “ông lớn” thương mại điện tử 527 triệu USD vì vi phạm trong giao đồ ăn</v>
      </c>
      <c r="D290" t="s">
        <v>144</v>
      </c>
      <c r="E290" s="105" t="str">
        <f>VLOOKUP(X290,'Updating-Scoring'!$C$2:$D$7,2,TRUE)</f>
        <v>3 - Market signal</v>
      </c>
      <c r="F290">
        <f t="shared" si="22"/>
        <v>17</v>
      </c>
      <c r="G290" s="110">
        <v>46133</v>
      </c>
      <c r="H290" t="s">
        <v>1992</v>
      </c>
      <c r="I290" s="34">
        <v>46127</v>
      </c>
      <c r="J290" t="s">
        <v>284</v>
      </c>
      <c r="K290" s="34" t="s">
        <v>429</v>
      </c>
      <c r="L290" s="34" t="s">
        <v>453</v>
      </c>
      <c r="M290" s="34" t="s">
        <v>493</v>
      </c>
      <c r="N290" s="34" t="str">
        <f t="shared" si="23"/>
        <v>Legal | eCommerce regulation</v>
      </c>
      <c r="O290" t="s">
        <v>1993</v>
      </c>
      <c r="P290" s="109" t="s">
        <v>1994</v>
      </c>
      <c r="Q290" s="38"/>
      <c r="R290" s="38"/>
      <c r="S290" t="s">
        <v>1995</v>
      </c>
      <c r="T290">
        <v>4</v>
      </c>
      <c r="U290">
        <v>3</v>
      </c>
      <c r="V290">
        <v>3</v>
      </c>
      <c r="W290">
        <v>3</v>
      </c>
      <c r="X290" s="106">
        <f t="shared" si="25"/>
        <v>3.4000000000000004</v>
      </c>
      <c r="Y290" s="34"/>
      <c r="Z290" s="34"/>
    </row>
    <row r="291" spans="1:26" hidden="1">
      <c r="A291" s="41">
        <f t="shared" si="24"/>
        <v>288</v>
      </c>
      <c r="B291" s="35" t="s">
        <v>1996</v>
      </c>
      <c r="C291" s="35" t="str">
        <f t="shared" si="21"/>
        <v>Microsoft tích hợp OpenClaw agent vào M365 Copilot – AI on-device cho doanh nghiệp, trình diễn tại Build tháng 6</v>
      </c>
      <c r="D291" t="s">
        <v>85</v>
      </c>
      <c r="E291" s="105" t="str">
        <f>VLOOKUP(X291,'Updating-Scoring'!$C$2:$D$7,2,TRUE)</f>
        <v>3 - Market signal</v>
      </c>
      <c r="F291">
        <f t="shared" si="22"/>
        <v>17</v>
      </c>
      <c r="G291" s="110">
        <v>46133</v>
      </c>
      <c r="H291" t="s">
        <v>1997</v>
      </c>
      <c r="I291" s="34">
        <v>46126</v>
      </c>
      <c r="J291" t="s">
        <v>284</v>
      </c>
      <c r="K291" s="34" t="s">
        <v>428</v>
      </c>
      <c r="L291" s="34" t="s">
        <v>451</v>
      </c>
      <c r="M291" s="34" t="s">
        <v>483</v>
      </c>
      <c r="N291" s="34" t="str">
        <f t="shared" si="23"/>
        <v>Technology | AI/ Gen AI</v>
      </c>
      <c r="O291" t="s">
        <v>1998</v>
      </c>
      <c r="P291" s="109" t="s">
        <v>1999</v>
      </c>
      <c r="Q291" s="38"/>
      <c r="R291" s="38"/>
      <c r="S291" t="s">
        <v>2000</v>
      </c>
      <c r="T291">
        <v>4</v>
      </c>
      <c r="U291">
        <v>3</v>
      </c>
      <c r="V291">
        <v>3</v>
      </c>
      <c r="W291">
        <v>3</v>
      </c>
      <c r="X291" s="106">
        <f t="shared" si="25"/>
        <v>3.4000000000000004</v>
      </c>
      <c r="Y291" s="34"/>
      <c r="Z291" s="34"/>
    </row>
    <row r="292" spans="1:26" hidden="1">
      <c r="A292" s="41">
        <f t="shared" si="24"/>
        <v>289</v>
      </c>
      <c r="B292" s="35" t="s">
        <v>2001</v>
      </c>
      <c r="C292" s="35" t="str">
        <f t="shared" si="21"/>
        <v>4 tính năng Apple Intelligence sắp thay đổi trải nghiệm iPhone trên iOS 27</v>
      </c>
      <c r="D292" t="s">
        <v>119</v>
      </c>
      <c r="E292" s="105" t="str">
        <f>VLOOKUP(X292,'Updating-Scoring'!$C$2:$D$7,2,TRUE)</f>
        <v>3 - Market signal</v>
      </c>
      <c r="F292">
        <f t="shared" si="22"/>
        <v>17</v>
      </c>
      <c r="G292" s="110">
        <v>46133</v>
      </c>
      <c r="H292" t="s">
        <v>2002</v>
      </c>
      <c r="I292" s="34">
        <v>46129</v>
      </c>
      <c r="J292" t="s">
        <v>284</v>
      </c>
      <c r="K292" s="34" t="s">
        <v>428</v>
      </c>
      <c r="L292" s="34" t="s">
        <v>451</v>
      </c>
      <c r="M292" s="34" t="s">
        <v>483</v>
      </c>
      <c r="N292" s="34" t="str">
        <f t="shared" si="23"/>
        <v>Technology | AI/ Gen AI</v>
      </c>
      <c r="O292" t="s">
        <v>2002</v>
      </c>
      <c r="P292" s="109" t="s">
        <v>2003</v>
      </c>
      <c r="Q292" s="38"/>
      <c r="R292" s="38"/>
      <c r="S292" t="s">
        <v>2004</v>
      </c>
      <c r="T292">
        <v>4</v>
      </c>
      <c r="U292">
        <v>3</v>
      </c>
      <c r="V292">
        <v>3</v>
      </c>
      <c r="W292">
        <v>3</v>
      </c>
      <c r="X292" s="106">
        <f t="shared" si="25"/>
        <v>3.4000000000000004</v>
      </c>
      <c r="Y292" s="34"/>
      <c r="Z292" s="34"/>
    </row>
    <row r="293" spans="1:26" hidden="1">
      <c r="A293" s="41">
        <f t="shared" si="24"/>
        <v>290</v>
      </c>
      <c r="B293" s="35" t="s">
        <v>2005</v>
      </c>
      <c r="C293" s="35" t="str">
        <f t="shared" si="21"/>
        <v>Booking.com xác nhận bị lộ dữ liệu khách hàng</v>
      </c>
      <c r="D293" t="s">
        <v>144</v>
      </c>
      <c r="E293" s="105" t="str">
        <f>VLOOKUP(X293,'Updating-Scoring'!$C$2:$D$7,2,TRUE)</f>
        <v>3 - Market signal</v>
      </c>
      <c r="F293">
        <f t="shared" si="22"/>
        <v>17</v>
      </c>
      <c r="G293" s="110">
        <v>46133</v>
      </c>
      <c r="H293" t="s">
        <v>2006</v>
      </c>
      <c r="I293" s="34">
        <v>46128</v>
      </c>
      <c r="J293" t="s">
        <v>284</v>
      </c>
      <c r="K293" s="34" t="s">
        <v>428</v>
      </c>
      <c r="L293" s="34" t="s">
        <v>451</v>
      </c>
      <c r="M293" s="34" t="s">
        <v>487</v>
      </c>
      <c r="N293" s="34" t="str">
        <f t="shared" si="23"/>
        <v>Technology | Cybersecurity</v>
      </c>
      <c r="O293" t="s">
        <v>2007</v>
      </c>
      <c r="P293" s="109" t="s">
        <v>2008</v>
      </c>
      <c r="Q293" s="38"/>
      <c r="R293" s="38"/>
      <c r="S293" t="s">
        <v>2009</v>
      </c>
      <c r="T293">
        <v>4</v>
      </c>
      <c r="U293">
        <v>3</v>
      </c>
      <c r="V293">
        <v>3</v>
      </c>
      <c r="W293">
        <v>3</v>
      </c>
      <c r="X293" s="106">
        <f t="shared" si="25"/>
        <v>3.4000000000000004</v>
      </c>
      <c r="Y293" s="34"/>
      <c r="Z293" s="34"/>
    </row>
    <row r="294" spans="1:26" hidden="1">
      <c r="A294" s="41">
        <f t="shared" si="24"/>
        <v>291</v>
      </c>
      <c r="B294" s="35" t="s">
        <v>2010</v>
      </c>
      <c r="C294" s="35" t="str">
        <f t="shared" si="21"/>
        <v>Báo cáo Cốc Cốc Q1/2026: OpenClaw +103%, giá xăng +1.901%, AI và tài chính dẫn đầu tìm kiếm VN</v>
      </c>
      <c r="D294" t="s">
        <v>119</v>
      </c>
      <c r="E294" s="105" t="str">
        <f>VLOOKUP(X294,'Updating-Scoring'!$C$2:$D$7,2,TRUE)</f>
        <v>3 - Market signal</v>
      </c>
      <c r="F294">
        <f t="shared" si="22"/>
        <v>17</v>
      </c>
      <c r="G294" s="34">
        <v>46133</v>
      </c>
      <c r="H294" t="s">
        <v>2011</v>
      </c>
      <c r="I294" s="34">
        <v>46127</v>
      </c>
      <c r="J294" t="s">
        <v>284</v>
      </c>
      <c r="K294" s="34" t="s">
        <v>431</v>
      </c>
      <c r="L294" s="34" t="s">
        <v>449</v>
      </c>
      <c r="M294" s="34" t="s">
        <v>2012</v>
      </c>
      <c r="N294" s="34" t="str">
        <f t="shared" si="23"/>
        <v>Social | Consumer trends</v>
      </c>
      <c r="O294" t="s">
        <v>2013</v>
      </c>
      <c r="P294" s="109" t="s">
        <v>2014</v>
      </c>
      <c r="Q294" s="38"/>
      <c r="R294" s="38"/>
      <c r="S294" t="s">
        <v>2015</v>
      </c>
      <c r="T294">
        <v>3.5</v>
      </c>
      <c r="U294">
        <v>4</v>
      </c>
      <c r="V294">
        <v>3.5</v>
      </c>
      <c r="W294">
        <v>2</v>
      </c>
      <c r="X294" s="106">
        <f t="shared" si="25"/>
        <v>3.4000000000000004</v>
      </c>
      <c r="Y294" s="34"/>
      <c r="Z294" s="34"/>
    </row>
    <row r="295" spans="1:26" hidden="1">
      <c r="A295" s="41">
        <f t="shared" si="24"/>
        <v>292</v>
      </c>
      <c r="B295" s="35" t="s">
        <v>2016</v>
      </c>
      <c r="C295" s="35" t="str">
        <f t="shared" si="21"/>
        <v>Vẫn dùng chiêu quen thuộc, kẻ gian có thể chiếm quyền kiểm soát Zalo</v>
      </c>
      <c r="D295" t="s">
        <v>85</v>
      </c>
      <c r="E295" s="105" t="str">
        <f>VLOOKUP(X295,'Updating-Scoring'!$C$2:$D$7,2,TRUE)</f>
        <v>3 - Market signal</v>
      </c>
      <c r="F295">
        <f t="shared" si="22"/>
        <v>17</v>
      </c>
      <c r="G295" s="34">
        <v>46133</v>
      </c>
      <c r="H295" t="s">
        <v>2017</v>
      </c>
      <c r="I295" s="34">
        <v>46129</v>
      </c>
      <c r="J295" t="s">
        <v>284</v>
      </c>
      <c r="K295" s="34" t="s">
        <v>431</v>
      </c>
      <c r="L295" s="34" t="s">
        <v>411</v>
      </c>
      <c r="M295" s="34" t="s">
        <v>590</v>
      </c>
      <c r="N295" s="34" t="str">
        <f t="shared" si="23"/>
        <v>Feature | Security /  Privacy</v>
      </c>
      <c r="O295" t="s">
        <v>2018</v>
      </c>
      <c r="P295" s="109" t="s">
        <v>2019</v>
      </c>
      <c r="Q295" s="38"/>
      <c r="R295" s="38"/>
      <c r="S295" t="s">
        <v>2020</v>
      </c>
      <c r="T295">
        <v>4</v>
      </c>
      <c r="U295">
        <v>3</v>
      </c>
      <c r="V295">
        <v>3</v>
      </c>
      <c r="W295">
        <v>3</v>
      </c>
      <c r="X295" s="106">
        <f t="shared" si="25"/>
        <v>3.4000000000000004</v>
      </c>
      <c r="Y295" s="34"/>
      <c r="Z295" s="34"/>
    </row>
    <row r="296" spans="1:26" hidden="1">
      <c r="A296" s="41">
        <f t="shared" si="24"/>
        <v>293</v>
      </c>
      <c r="B296" s="35" t="s">
        <v>2021</v>
      </c>
      <c r="C296" s="35" t="str">
        <f t="shared" si="21"/>
        <v>Uber ra mắt return pickup qua Uber Eats – Reverse logistics use case mới cho super-app có TMĐT</v>
      </c>
      <c r="D296" t="s">
        <v>1012</v>
      </c>
      <c r="E296" s="105" t="str">
        <f>VLOOKUP(X296,'Updating-Scoring'!$C$2:$D$7,2,TRUE)</f>
        <v>3 - Market signal</v>
      </c>
      <c r="F296">
        <f t="shared" si="22"/>
        <v>17</v>
      </c>
      <c r="G296" s="110">
        <v>46133</v>
      </c>
      <c r="H296" t="s">
        <v>2022</v>
      </c>
      <c r="I296" s="34">
        <v>46129</v>
      </c>
      <c r="J296" t="s">
        <v>284</v>
      </c>
      <c r="K296" s="34" t="s">
        <v>428</v>
      </c>
      <c r="L296" s="34" t="s">
        <v>451</v>
      </c>
      <c r="M296" s="34" t="s">
        <v>2023</v>
      </c>
      <c r="N296" s="34" t="str">
        <f t="shared" si="23"/>
        <v>Technology | Logistics/ Delivery</v>
      </c>
      <c r="O296" t="s">
        <v>2024</v>
      </c>
      <c r="P296" s="109" t="s">
        <v>2025</v>
      </c>
      <c r="Q296" s="38"/>
      <c r="R296" s="38"/>
      <c r="S296" t="s">
        <v>2026</v>
      </c>
      <c r="T296">
        <v>3.5</v>
      </c>
      <c r="U296">
        <v>3</v>
      </c>
      <c r="V296">
        <v>4</v>
      </c>
      <c r="W296">
        <v>3</v>
      </c>
      <c r="X296" s="106">
        <f t="shared" si="25"/>
        <v>3.4000000000000004</v>
      </c>
      <c r="Y296" s="34"/>
      <c r="Z296" s="34"/>
    </row>
    <row r="297" spans="1:26" hidden="1">
      <c r="A297" s="41">
        <f t="shared" si="24"/>
        <v>294</v>
      </c>
      <c r="B297" s="35" t="s">
        <v>2027</v>
      </c>
      <c r="C297" s="35" t="str">
        <f t="shared" si="21"/>
        <v>Việc gắn nhãn rủi ro cho sàn thương mại điện tử gây tranh cãi trong quy định bảo vệ trẻ em tại Indonesia</v>
      </c>
      <c r="D297" t="s">
        <v>144</v>
      </c>
      <c r="E297" s="105" t="str">
        <f>VLOOKUP(X297,'Updating-Scoring'!$C$2:$D$7,2,TRUE)</f>
        <v>3 - Market signal</v>
      </c>
      <c r="F297">
        <f t="shared" si="22"/>
        <v>17</v>
      </c>
      <c r="G297" s="110">
        <v>46133</v>
      </c>
      <c r="H297" t="s">
        <v>2028</v>
      </c>
      <c r="I297" s="34">
        <v>46127</v>
      </c>
      <c r="J297" t="s">
        <v>284</v>
      </c>
      <c r="K297" s="34" t="s">
        <v>430</v>
      </c>
      <c r="L297" s="34" t="s">
        <v>453</v>
      </c>
      <c r="M297" s="34" t="s">
        <v>493</v>
      </c>
      <c r="N297" s="34" t="str">
        <f t="shared" si="23"/>
        <v>Legal | eCommerce regulation</v>
      </c>
      <c r="O297" t="s">
        <v>2029</v>
      </c>
      <c r="P297" s="109" t="s">
        <v>2030</v>
      </c>
      <c r="Q297" s="38"/>
      <c r="R297" s="38"/>
      <c r="S297" t="s">
        <v>2031</v>
      </c>
      <c r="T297">
        <v>4</v>
      </c>
      <c r="U297">
        <v>4</v>
      </c>
      <c r="V297">
        <v>3</v>
      </c>
      <c r="W297">
        <v>1</v>
      </c>
      <c r="X297" s="106">
        <f t="shared" si="25"/>
        <v>3.35</v>
      </c>
      <c r="Y297" s="34"/>
      <c r="Z297" s="34"/>
    </row>
    <row r="298" spans="1:26" hidden="1">
      <c r="A298" s="41">
        <f t="shared" si="24"/>
        <v>295</v>
      </c>
      <c r="B298" s="35" t="s">
        <v>2032</v>
      </c>
      <c r="C298" s="35" t="str">
        <f t="shared" si="21"/>
        <v>Doanh nghiệp Ấn Độ siết chặt kiểm tra an ninh mạng trước AI của Anthropic</v>
      </c>
      <c r="D298" t="s">
        <v>144</v>
      </c>
      <c r="E298" s="105" t="str">
        <f>VLOOKUP(X298,'Updating-Scoring'!$C$2:$D$7,2,TRUE)</f>
        <v>3 - Market signal</v>
      </c>
      <c r="F298">
        <f t="shared" si="22"/>
        <v>17</v>
      </c>
      <c r="G298" s="110">
        <v>46133</v>
      </c>
      <c r="H298" t="s">
        <v>2033</v>
      </c>
      <c r="I298" s="34">
        <v>46128</v>
      </c>
      <c r="J298" t="s">
        <v>284</v>
      </c>
      <c r="K298" s="34" t="s">
        <v>428</v>
      </c>
      <c r="L298" s="34" t="s">
        <v>451</v>
      </c>
      <c r="M298" s="34" t="s">
        <v>487</v>
      </c>
      <c r="N298" s="34" t="str">
        <f t="shared" si="23"/>
        <v>Technology | Cybersecurity</v>
      </c>
      <c r="O298" t="s">
        <v>2034</v>
      </c>
      <c r="P298" s="109" t="s">
        <v>2035</v>
      </c>
      <c r="Q298" s="38"/>
      <c r="R298" s="38"/>
      <c r="S298" t="s">
        <v>2036</v>
      </c>
      <c r="T298">
        <v>4.5</v>
      </c>
      <c r="U298">
        <v>4</v>
      </c>
      <c r="V298">
        <v>2</v>
      </c>
      <c r="W298">
        <v>1</v>
      </c>
      <c r="X298" s="106">
        <f t="shared" si="25"/>
        <v>3.3499999999999996</v>
      </c>
      <c r="Y298" s="34"/>
      <c r="Z298" s="34"/>
    </row>
    <row r="299" spans="1:26" hidden="1">
      <c r="A299" s="41">
        <f t="shared" si="24"/>
        <v>296</v>
      </c>
      <c r="B299" s="35" t="s">
        <v>2037</v>
      </c>
      <c r="C299" s="35" t="str">
        <f t="shared" si="21"/>
        <v>Claude Opus 4.7 ra mắt: Vision 3x và self-check code – Nhưng prompt cho 4.6 sẽ không hoạt động đúng trên 4.7</v>
      </c>
      <c r="D299" t="s">
        <v>85</v>
      </c>
      <c r="E299" s="105" t="str">
        <f>VLOOKUP(X299,'Updating-Scoring'!$C$2:$D$7,2,TRUE)</f>
        <v>3 - Market signal</v>
      </c>
      <c r="F299">
        <f t="shared" si="22"/>
        <v>17</v>
      </c>
      <c r="G299" s="110">
        <v>46133</v>
      </c>
      <c r="H299" t="s">
        <v>2038</v>
      </c>
      <c r="I299" s="34">
        <v>46129</v>
      </c>
      <c r="J299" t="s">
        <v>284</v>
      </c>
      <c r="K299" s="34" t="s">
        <v>428</v>
      </c>
      <c r="L299" s="34" t="s">
        <v>451</v>
      </c>
      <c r="M299" s="34" t="s">
        <v>483</v>
      </c>
      <c r="N299" s="34" t="str">
        <f t="shared" si="23"/>
        <v>Technology | AI/ Gen AI</v>
      </c>
      <c r="O299" t="s">
        <v>2039</v>
      </c>
      <c r="P299" s="109" t="s">
        <v>2040</v>
      </c>
      <c r="Q299" s="38"/>
      <c r="R299" s="38"/>
      <c r="S299" t="s">
        <v>2041</v>
      </c>
      <c r="T299">
        <v>3</v>
      </c>
      <c r="U299">
        <v>3</v>
      </c>
      <c r="V299">
        <v>3</v>
      </c>
      <c r="W299">
        <v>5</v>
      </c>
      <c r="X299" s="106">
        <f t="shared" si="25"/>
        <v>3.3000000000000003</v>
      </c>
      <c r="Y299" s="34"/>
      <c r="Z299" s="34"/>
    </row>
    <row r="300" spans="1:26" hidden="1">
      <c r="A300" s="41">
        <f t="shared" si="24"/>
        <v>297</v>
      </c>
      <c r="B300" s="35" t="s">
        <v>2042</v>
      </c>
      <c r="C300" s="35" t="str">
        <f t="shared" si="21"/>
        <v>87% dân TQ tin vào AI mới – Mức độ chấp nhận cao tại châu Á là lợi thế triển khai AI nhanh</v>
      </c>
      <c r="D300" t="s">
        <v>85</v>
      </c>
      <c r="E300" s="105" t="str">
        <f>VLOOKUP(X300,'Updating-Scoring'!$C$2:$D$7,2,TRUE)</f>
        <v>3 - Market signal</v>
      </c>
      <c r="F300">
        <f t="shared" si="22"/>
        <v>17</v>
      </c>
      <c r="G300" s="110">
        <v>46133</v>
      </c>
      <c r="H300" t="s">
        <v>2043</v>
      </c>
      <c r="I300" s="34">
        <v>46126</v>
      </c>
      <c r="J300" t="s">
        <v>284</v>
      </c>
      <c r="K300" s="34" t="s">
        <v>429</v>
      </c>
      <c r="L300" s="34" t="s">
        <v>449</v>
      </c>
      <c r="M300" s="34" t="s">
        <v>479</v>
      </c>
      <c r="N300" s="34" t="str">
        <f t="shared" si="23"/>
        <v>Social | Digital adoption</v>
      </c>
      <c r="O300" t="s">
        <v>2044</v>
      </c>
      <c r="P300" s="109" t="s">
        <v>2045</v>
      </c>
      <c r="Q300" s="38"/>
      <c r="R300" s="38"/>
      <c r="S300" t="s">
        <v>2046</v>
      </c>
      <c r="T300">
        <v>4</v>
      </c>
      <c r="U300">
        <v>3</v>
      </c>
      <c r="V300">
        <v>3</v>
      </c>
      <c r="W300">
        <v>2</v>
      </c>
      <c r="X300" s="106">
        <f t="shared" si="25"/>
        <v>3.25</v>
      </c>
      <c r="Y300" s="34"/>
      <c r="Z300" s="34"/>
    </row>
    <row r="301" spans="1:26" hidden="1">
      <c r="A301" s="41">
        <f t="shared" si="24"/>
        <v>298</v>
      </c>
      <c r="B301" s="35" t="s">
        <v>2047</v>
      </c>
      <c r="C301" s="35" t="str">
        <f t="shared" si="21"/>
        <v>VN-Úc ký MOU fintech – Mở cơ hội sandbox và vốn đầu tư xuyên biên giới</v>
      </c>
      <c r="D301" t="s">
        <v>2048</v>
      </c>
      <c r="E301" s="105" t="str">
        <f>VLOOKUP(X301,'Updating-Scoring'!$C$2:$D$7,2,TRUE)</f>
        <v>3 - Market signal</v>
      </c>
      <c r="F301">
        <f t="shared" si="22"/>
        <v>17</v>
      </c>
      <c r="G301" s="110">
        <v>46133</v>
      </c>
      <c r="H301" t="s">
        <v>2049</v>
      </c>
      <c r="I301" s="34">
        <v>46127</v>
      </c>
      <c r="J301" t="s">
        <v>284</v>
      </c>
      <c r="K301" s="34" t="s">
        <v>431</v>
      </c>
      <c r="L301" s="34" t="s">
        <v>447</v>
      </c>
      <c r="M301" s="34" t="s">
        <v>782</v>
      </c>
      <c r="N301" s="34" t="str">
        <f t="shared" si="23"/>
        <v>Economic | Fintech funding/ investment</v>
      </c>
      <c r="O301" t="s">
        <v>2050</v>
      </c>
      <c r="P301" s="109" t="s">
        <v>2051</v>
      </c>
      <c r="Q301" s="38"/>
      <c r="R301" s="38"/>
      <c r="S301" t="s">
        <v>2052</v>
      </c>
      <c r="T301">
        <v>3</v>
      </c>
      <c r="U301">
        <v>4</v>
      </c>
      <c r="V301">
        <v>3</v>
      </c>
      <c r="W301">
        <v>3</v>
      </c>
      <c r="X301" s="106">
        <f t="shared" si="25"/>
        <v>3.25</v>
      </c>
      <c r="Y301" s="34"/>
      <c r="Z301" s="34"/>
    </row>
    <row r="302" spans="1:26" hidden="1">
      <c r="A302" s="41">
        <f t="shared" si="24"/>
        <v>299</v>
      </c>
      <c r="B302" s="35" t="s">
        <v>2053</v>
      </c>
      <c r="C302" s="35" t="str">
        <f t="shared" si="21"/>
        <v>Claude được ưu chuộng hơn ChatGPT tại hội nghị enterprise HumanX SF</v>
      </c>
      <c r="D302" t="s">
        <v>85</v>
      </c>
      <c r="E302" s="105" t="str">
        <f>VLOOKUP(X302,'Updating-Scoring'!$C$2:$D$7,2,TRUE)</f>
        <v>3 - Market signal</v>
      </c>
      <c r="F302">
        <f t="shared" si="22"/>
        <v>17</v>
      </c>
      <c r="G302" s="110">
        <v>46133</v>
      </c>
      <c r="H302" t="s">
        <v>2054</v>
      </c>
      <c r="I302" s="34">
        <v>46125</v>
      </c>
      <c r="J302" t="s">
        <v>284</v>
      </c>
      <c r="K302" s="34" t="s">
        <v>428</v>
      </c>
      <c r="L302" s="34" t="s">
        <v>451</v>
      </c>
      <c r="M302" s="34" t="s">
        <v>483</v>
      </c>
      <c r="N302" s="34" t="str">
        <f t="shared" si="23"/>
        <v>Technology | AI/ Gen AI</v>
      </c>
      <c r="O302" t="s">
        <v>2055</v>
      </c>
      <c r="P302" s="109" t="s">
        <v>2056</v>
      </c>
      <c r="Q302" s="38"/>
      <c r="R302" s="38"/>
      <c r="S302" t="s">
        <v>2057</v>
      </c>
      <c r="T302">
        <v>3.5</v>
      </c>
      <c r="U302">
        <v>4</v>
      </c>
      <c r="V302">
        <v>2</v>
      </c>
      <c r="W302">
        <v>3</v>
      </c>
      <c r="X302" s="106">
        <f t="shared" si="25"/>
        <v>3.25</v>
      </c>
      <c r="Y302" s="34"/>
      <c r="Z302" s="34"/>
    </row>
    <row r="303" spans="1:26" hidden="1">
      <c r="A303" s="41">
        <f t="shared" si="24"/>
        <v>300</v>
      </c>
      <c r="B303" s="35" t="s">
        <v>2058</v>
      </c>
      <c r="C303" s="35" t="str">
        <f t="shared" si="21"/>
        <v>Claude Design ra mắt: AI tạo visual cho non-designers, complement (không cạnh tranh) Canva</v>
      </c>
      <c r="D303" t="s">
        <v>1012</v>
      </c>
      <c r="E303" s="105" t="str">
        <f>VLOOKUP(X303,'Updating-Scoring'!$C$2:$D$7,2,TRUE)</f>
        <v>3 - Market signal</v>
      </c>
      <c r="F303">
        <f t="shared" si="22"/>
        <v>17</v>
      </c>
      <c r="G303" s="110">
        <v>46133</v>
      </c>
      <c r="H303" t="s">
        <v>2059</v>
      </c>
      <c r="I303" s="34">
        <v>46129</v>
      </c>
      <c r="J303" t="s">
        <v>284</v>
      </c>
      <c r="K303" s="34" t="s">
        <v>428</v>
      </c>
      <c r="L303" s="34" t="s">
        <v>451</v>
      </c>
      <c r="M303" s="34" t="s">
        <v>483</v>
      </c>
      <c r="N303" s="34" t="str">
        <f t="shared" si="23"/>
        <v>Technology | AI/ Gen AI</v>
      </c>
      <c r="O303" t="s">
        <v>2060</v>
      </c>
      <c r="P303" s="109" t="s">
        <v>2061</v>
      </c>
      <c r="Q303" s="38"/>
      <c r="R303" s="38"/>
      <c r="S303" t="s">
        <v>2062</v>
      </c>
      <c r="T303">
        <v>3.5</v>
      </c>
      <c r="U303">
        <v>3</v>
      </c>
      <c r="V303">
        <v>3</v>
      </c>
      <c r="W303">
        <v>3</v>
      </c>
      <c r="X303" s="106">
        <f t="shared" si="25"/>
        <v>3.2</v>
      </c>
      <c r="Y303" s="34"/>
      <c r="Z303" s="34"/>
    </row>
    <row r="304" spans="1:26" hidden="1">
      <c r="A304" s="41">
        <f t="shared" si="24"/>
        <v>301</v>
      </c>
      <c r="B304" s="35" t="s">
        <v>2063</v>
      </c>
      <c r="C304" s="35" t="str">
        <f t="shared" si="21"/>
        <v>Mỗi lần Anthropic ra sản phẩm, một ngành phần mềm "lo sợ" lần này là Figma và Adobe</v>
      </c>
      <c r="D304" t="s">
        <v>85</v>
      </c>
      <c r="E304" s="105" t="str">
        <f>VLOOKUP(X304,'Updating-Scoring'!$C$2:$D$7,2,TRUE)</f>
        <v>3 - Market signal</v>
      </c>
      <c r="F304">
        <f t="shared" si="22"/>
        <v>17</v>
      </c>
      <c r="G304" s="34">
        <v>46133</v>
      </c>
      <c r="H304" t="s">
        <v>2064</v>
      </c>
      <c r="I304" s="34">
        <v>46129</v>
      </c>
      <c r="J304" t="s">
        <v>284</v>
      </c>
      <c r="K304" s="34" t="s">
        <v>428</v>
      </c>
      <c r="L304" s="34" t="s">
        <v>451</v>
      </c>
      <c r="M304" s="34" t="s">
        <v>483</v>
      </c>
      <c r="N304" s="34" t="str">
        <f t="shared" si="23"/>
        <v>Technology | AI/ Gen AI</v>
      </c>
      <c r="O304" t="s">
        <v>2065</v>
      </c>
      <c r="P304" s="109" t="s">
        <v>2066</v>
      </c>
      <c r="Q304" s="38"/>
      <c r="R304" s="38"/>
      <c r="S304" t="s">
        <v>2067</v>
      </c>
      <c r="T304">
        <v>3</v>
      </c>
      <c r="U304">
        <v>4</v>
      </c>
      <c r="V304">
        <v>2</v>
      </c>
      <c r="W304">
        <v>4</v>
      </c>
      <c r="X304" s="106">
        <f t="shared" si="25"/>
        <v>3.2</v>
      </c>
      <c r="Y304" s="34"/>
      <c r="Z304" s="34"/>
    </row>
    <row r="305" spans="1:26" hidden="1">
      <c r="A305" s="41">
        <f t="shared" si="24"/>
        <v>302</v>
      </c>
      <c r="B305" s="35" t="s">
        <v>2068</v>
      </c>
      <c r="C305" s="35" t="str">
        <f t="shared" si="21"/>
        <v>Gemini tích hợp Chrome triển khai tại Việt Nam và 6 thị trường khác – AI embedded trong điểm truy cập chính</v>
      </c>
      <c r="D305" t="s">
        <v>1012</v>
      </c>
      <c r="E305" s="105" t="str">
        <f>VLOOKUP(X305,'Updating-Scoring'!$C$2:$D$7,2,TRUE)</f>
        <v>3 - Market signal</v>
      </c>
      <c r="F305">
        <f t="shared" si="22"/>
        <v>17</v>
      </c>
      <c r="G305" s="34">
        <v>46133</v>
      </c>
      <c r="H305" t="s">
        <v>2069</v>
      </c>
      <c r="I305" s="34">
        <v>46132</v>
      </c>
      <c r="J305" t="s">
        <v>284</v>
      </c>
      <c r="K305" s="34" t="s">
        <v>428</v>
      </c>
      <c r="L305" s="34" t="s">
        <v>451</v>
      </c>
      <c r="M305" s="34" t="s">
        <v>483</v>
      </c>
      <c r="N305" s="34" t="str">
        <f t="shared" si="23"/>
        <v>Technology | AI/ Gen AI</v>
      </c>
      <c r="O305" t="s">
        <v>2070</v>
      </c>
      <c r="P305" s="109" t="s">
        <v>2071</v>
      </c>
      <c r="Q305" s="38"/>
      <c r="R305" s="38"/>
      <c r="S305" t="s">
        <v>2072</v>
      </c>
      <c r="T305">
        <v>3</v>
      </c>
      <c r="U305">
        <v>3</v>
      </c>
      <c r="V305">
        <v>4</v>
      </c>
      <c r="W305">
        <v>3</v>
      </c>
      <c r="X305" s="106">
        <f t="shared" si="25"/>
        <v>3.2</v>
      </c>
      <c r="Y305" s="34"/>
      <c r="Z305" s="34"/>
    </row>
    <row r="306" spans="1:26" hidden="1">
      <c r="A306" s="41">
        <f t="shared" si="24"/>
        <v>303</v>
      </c>
      <c r="B306" s="35" t="s">
        <v>2073</v>
      </c>
      <c r="C306" s="35" t="str">
        <f t="shared" si="21"/>
        <v>Hà Nội đặt mục tiêu 100% cơ quan nhà nước dùng AI từ 1/10/2026</v>
      </c>
      <c r="D306" t="s">
        <v>1927</v>
      </c>
      <c r="E306" s="105" t="str">
        <f>VLOOKUP(X306,'Updating-Scoring'!$C$2:$D$7,2,TRUE)</f>
        <v>3 - Market signal</v>
      </c>
      <c r="F306">
        <f t="shared" si="22"/>
        <v>17</v>
      </c>
      <c r="G306" s="110">
        <v>46133</v>
      </c>
      <c r="H306" t="s">
        <v>2074</v>
      </c>
      <c r="I306" s="34">
        <v>46126</v>
      </c>
      <c r="J306" t="s">
        <v>284</v>
      </c>
      <c r="K306" s="34" t="s">
        <v>431</v>
      </c>
      <c r="L306" s="34" t="s">
        <v>445</v>
      </c>
      <c r="M306" s="34" t="s">
        <v>2075</v>
      </c>
      <c r="N306" s="34" t="str">
        <f t="shared" si="23"/>
        <v>Political | AI strategy</v>
      </c>
      <c r="O306" t="s">
        <v>2076</v>
      </c>
      <c r="P306" s="109" t="s">
        <v>2077</v>
      </c>
      <c r="Q306" s="38"/>
      <c r="R306" s="38"/>
      <c r="S306" t="s">
        <v>2078</v>
      </c>
      <c r="T306">
        <v>4</v>
      </c>
      <c r="U306">
        <v>3</v>
      </c>
      <c r="V306">
        <v>2</v>
      </c>
      <c r="W306">
        <v>3</v>
      </c>
      <c r="X306" s="106">
        <f t="shared" si="25"/>
        <v>3.2</v>
      </c>
      <c r="Y306" s="34"/>
      <c r="Z306" s="34"/>
    </row>
    <row r="307" spans="1:26" hidden="1">
      <c r="A307" s="41">
        <f t="shared" si="24"/>
        <v>304</v>
      </c>
      <c r="B307" s="35" t="s">
        <v>2079</v>
      </c>
      <c r="C307" s="35" t="str">
        <f t="shared" si="21"/>
        <v>Apple được cho là đang phát triển chatbot/AI hội thoại riêng</v>
      </c>
      <c r="D307" t="s">
        <v>119</v>
      </c>
      <c r="E307" s="105" t="str">
        <f>VLOOKUP(X307,'Updating-Scoring'!$C$2:$D$7,2,TRUE)</f>
        <v>3 - Market signal</v>
      </c>
      <c r="F307">
        <f t="shared" si="22"/>
        <v>17</v>
      </c>
      <c r="G307" s="110">
        <v>46133</v>
      </c>
      <c r="H307" t="s">
        <v>2080</v>
      </c>
      <c r="I307" s="34">
        <v>46128</v>
      </c>
      <c r="J307" t="s">
        <v>284</v>
      </c>
      <c r="K307" s="34" t="s">
        <v>428</v>
      </c>
      <c r="L307" s="34" t="s">
        <v>451</v>
      </c>
      <c r="M307" s="34" t="s">
        <v>483</v>
      </c>
      <c r="N307" s="34" t="str">
        <f t="shared" si="23"/>
        <v>Technology | AI/ Gen AI</v>
      </c>
      <c r="O307" t="s">
        <v>2081</v>
      </c>
      <c r="P307" s="109" t="s">
        <v>2082</v>
      </c>
      <c r="Q307" s="38"/>
      <c r="R307" s="38"/>
      <c r="S307" t="s">
        <v>2083</v>
      </c>
      <c r="T307">
        <v>4</v>
      </c>
      <c r="U307">
        <v>4</v>
      </c>
      <c r="V307">
        <v>2</v>
      </c>
      <c r="W307">
        <v>1</v>
      </c>
      <c r="X307" s="106">
        <f t="shared" si="25"/>
        <v>3.15</v>
      </c>
      <c r="Y307" s="34"/>
      <c r="Z307" s="34"/>
    </row>
    <row r="308" spans="1:26" hidden="1">
      <c r="A308" s="41">
        <f t="shared" si="24"/>
        <v>305</v>
      </c>
      <c r="B308" s="35" t="s">
        <v>2084</v>
      </c>
      <c r="C308" s="35" t="str">
        <f t="shared" si="21"/>
        <v>AI training mở cơ hội cho chuyên gia lớn tuổi – Reskilling đang lan rộng tại VN</v>
      </c>
      <c r="D308" t="s">
        <v>1927</v>
      </c>
      <c r="E308" s="105" t="str">
        <f>VLOOKUP(X308,'Updating-Scoring'!$C$2:$D$7,2,TRUE)</f>
        <v>3 - Market signal</v>
      </c>
      <c r="F308">
        <f t="shared" si="22"/>
        <v>17</v>
      </c>
      <c r="G308" s="110">
        <v>46133</v>
      </c>
      <c r="H308" t="s">
        <v>2085</v>
      </c>
      <c r="I308" s="34">
        <v>46125</v>
      </c>
      <c r="J308" t="s">
        <v>284</v>
      </c>
      <c r="K308" s="34" t="s">
        <v>431</v>
      </c>
      <c r="L308" s="34" t="s">
        <v>449</v>
      </c>
      <c r="M308" s="34" t="s">
        <v>482</v>
      </c>
      <c r="N308" s="34" t="str">
        <f t="shared" si="23"/>
        <v>Social | Digital workforce</v>
      </c>
      <c r="O308" t="s">
        <v>2086</v>
      </c>
      <c r="P308" s="109" t="s">
        <v>2087</v>
      </c>
      <c r="Q308" s="38"/>
      <c r="R308" s="38"/>
      <c r="S308" t="s">
        <v>2088</v>
      </c>
      <c r="T308">
        <v>3.5</v>
      </c>
      <c r="U308">
        <v>4</v>
      </c>
      <c r="V308">
        <v>2</v>
      </c>
      <c r="W308">
        <v>2</v>
      </c>
      <c r="X308" s="106">
        <f t="shared" si="25"/>
        <v>3.1</v>
      </c>
      <c r="Y308" s="34"/>
      <c r="Z308" s="34"/>
    </row>
    <row r="309" spans="1:26" hidden="1">
      <c r="A309" s="41">
        <f t="shared" si="24"/>
        <v>306</v>
      </c>
      <c r="B309" s="35" t="s">
        <v>2089</v>
      </c>
      <c r="C309" s="35" t="str">
        <f t="shared" si="21"/>
        <v>Anthropic chuyển sang token commitment – Chi phí AI enterprise tăng 2-3x, áp lực trực tiếp mọi doanh nghiệp VN dùng Claude</v>
      </c>
      <c r="D309" t="s">
        <v>85</v>
      </c>
      <c r="E309" s="105" t="str">
        <f>VLOOKUP(X309,'Updating-Scoring'!$C$2:$D$7,2,TRUE)</f>
        <v>2 - Minor signal</v>
      </c>
      <c r="F309">
        <f t="shared" si="22"/>
        <v>17</v>
      </c>
      <c r="G309" s="34">
        <v>46133</v>
      </c>
      <c r="H309" t="s">
        <v>2090</v>
      </c>
      <c r="I309" s="34">
        <v>46127</v>
      </c>
      <c r="J309" t="s">
        <v>284</v>
      </c>
      <c r="K309" s="34" t="s">
        <v>428</v>
      </c>
      <c r="L309" s="34" t="s">
        <v>447</v>
      </c>
      <c r="M309" s="34" t="s">
        <v>1945</v>
      </c>
      <c r="N309" s="34" t="str">
        <f t="shared" si="23"/>
        <v>Economic | AI/ Business model</v>
      </c>
      <c r="O309" t="s">
        <v>2091</v>
      </c>
      <c r="P309" s="109" t="s">
        <v>2092</v>
      </c>
      <c r="Q309" s="38"/>
      <c r="R309" s="38"/>
      <c r="S309" t="s">
        <v>2093</v>
      </c>
      <c r="T309">
        <v>3</v>
      </c>
      <c r="U309">
        <v>4</v>
      </c>
      <c r="V309">
        <v>1</v>
      </c>
      <c r="W309">
        <v>4</v>
      </c>
      <c r="X309" s="106">
        <f t="shared" si="25"/>
        <v>3.0000000000000004</v>
      </c>
      <c r="Y309" s="34"/>
      <c r="Z309" s="34"/>
    </row>
    <row r="310" spans="1:26" hidden="1">
      <c r="A310" s="41">
        <f t="shared" si="24"/>
        <v>307</v>
      </c>
      <c r="B310" s="35" t="s">
        <v>2094</v>
      </c>
      <c r="C310" s="35" t="str">
        <f t="shared" si="21"/>
        <v>Nghiên cứu 6.852 phiên thực tế: Claude Code kém tin cậy cho tác vụ phức tạp – Signal bắt buộc cho team kỹ thuật VN dùng Claude</v>
      </c>
      <c r="D310" t="s">
        <v>85</v>
      </c>
      <c r="E310" s="105" t="str">
        <f>VLOOKUP(X310,'Updating-Scoring'!$C$2:$D$7,2,TRUE)</f>
        <v>2 - Minor signal</v>
      </c>
      <c r="F310">
        <f t="shared" si="22"/>
        <v>17</v>
      </c>
      <c r="G310" s="34">
        <v>46133</v>
      </c>
      <c r="H310" t="s">
        <v>2095</v>
      </c>
      <c r="I310" s="34">
        <v>46125</v>
      </c>
      <c r="J310" t="s">
        <v>284</v>
      </c>
      <c r="K310" s="34" t="s">
        <v>428</v>
      </c>
      <c r="L310" s="34" t="s">
        <v>451</v>
      </c>
      <c r="M310" s="34" t="s">
        <v>483</v>
      </c>
      <c r="N310" s="34" t="str">
        <f t="shared" si="23"/>
        <v>Technology | AI/ Gen AI</v>
      </c>
      <c r="O310" t="s">
        <v>2096</v>
      </c>
      <c r="P310" s="109" t="s">
        <v>2097</v>
      </c>
      <c r="Q310" s="38"/>
      <c r="R310" s="38"/>
      <c r="S310" t="s">
        <v>2098</v>
      </c>
      <c r="T310">
        <v>3</v>
      </c>
      <c r="U310">
        <v>3</v>
      </c>
      <c r="V310">
        <v>3</v>
      </c>
      <c r="W310">
        <v>3</v>
      </c>
      <c r="X310" s="106">
        <f t="shared" si="25"/>
        <v>3</v>
      </c>
      <c r="Y310" s="34"/>
      <c r="Z310" s="34"/>
    </row>
    <row r="311" spans="1:26" hidden="1">
      <c r="A311" s="41">
        <f t="shared" si="24"/>
        <v>308</v>
      </c>
      <c r="B311" s="35" t="s">
        <v>2099</v>
      </c>
      <c r="C311" s="35" t="str">
        <f t="shared" si="21"/>
        <v>Schneider ra mắt EcoStruxure thế hệ 7 – B2B industrial, không liên quan hệ sinh thái super-app</v>
      </c>
      <c r="D311" t="s">
        <v>85</v>
      </c>
      <c r="E311" s="105" t="str">
        <f>VLOOKUP(X311,'Updating-Scoring'!$C$2:$D$7,2,TRUE)</f>
        <v>2 - Minor signal</v>
      </c>
      <c r="F311">
        <f t="shared" si="22"/>
        <v>17</v>
      </c>
      <c r="G311" s="34">
        <v>46133</v>
      </c>
      <c r="H311" t="s">
        <v>2100</v>
      </c>
      <c r="I311" s="34">
        <v>46127</v>
      </c>
      <c r="J311" t="s">
        <v>284</v>
      </c>
      <c r="K311" s="34" t="s">
        <v>428</v>
      </c>
      <c r="L311" s="34" t="s">
        <v>451</v>
      </c>
      <c r="M311" s="34" t="s">
        <v>2101</v>
      </c>
      <c r="N311" s="34" t="str">
        <f t="shared" si="23"/>
        <v>Technology | IoT/ Smart building</v>
      </c>
      <c r="O311" t="s">
        <v>2102</v>
      </c>
      <c r="P311" s="109" t="s">
        <v>2103</v>
      </c>
      <c r="Q311" s="38"/>
      <c r="R311" s="38"/>
      <c r="S311" t="s">
        <v>2104</v>
      </c>
      <c r="T311">
        <v>3</v>
      </c>
      <c r="U311">
        <v>3</v>
      </c>
      <c r="V311">
        <v>3</v>
      </c>
      <c r="W311">
        <v>3</v>
      </c>
      <c r="X311" s="106">
        <f t="shared" si="25"/>
        <v>3</v>
      </c>
      <c r="Y311" s="34"/>
      <c r="Z311" s="34"/>
    </row>
    <row r="312" spans="1:26" hidden="1">
      <c r="A312" s="41">
        <f t="shared" si="24"/>
        <v>309</v>
      </c>
      <c r="B312" s="35" t="s">
        <v>2105</v>
      </c>
      <c r="C312" s="35" t="str">
        <f t="shared" si="21"/>
        <v>Sayso – App tin tức video ngắn phương Tây, tín hiệu nhỏ về short-form content và media trust</v>
      </c>
      <c r="D312" t="s">
        <v>1012</v>
      </c>
      <c r="E312" s="105" t="str">
        <f>VLOOKUP(X312,'Updating-Scoring'!$C$2:$D$7,2,TRUE)</f>
        <v>2 - Minor signal</v>
      </c>
      <c r="F312">
        <f t="shared" si="22"/>
        <v>17</v>
      </c>
      <c r="G312" s="34">
        <v>46133</v>
      </c>
      <c r="H312" t="s">
        <v>2106</v>
      </c>
      <c r="I312" s="34">
        <v>46129</v>
      </c>
      <c r="J312" t="s">
        <v>284</v>
      </c>
      <c r="K312" s="34" t="s">
        <v>428</v>
      </c>
      <c r="L312" s="34" t="s">
        <v>451</v>
      </c>
      <c r="M312" s="34" t="s">
        <v>2107</v>
      </c>
      <c r="N312" s="34" t="str">
        <f t="shared" si="23"/>
        <v>Technology | Media/ Content</v>
      </c>
      <c r="O312" t="s">
        <v>2108</v>
      </c>
      <c r="P312" s="109" t="s">
        <v>2109</v>
      </c>
      <c r="Q312" s="38"/>
      <c r="R312" s="38"/>
      <c r="S312" t="s">
        <v>2110</v>
      </c>
      <c r="T312">
        <v>3</v>
      </c>
      <c r="U312">
        <v>3</v>
      </c>
      <c r="V312">
        <v>3</v>
      </c>
      <c r="W312">
        <v>3</v>
      </c>
      <c r="X312" s="106">
        <f t="shared" si="25"/>
        <v>3</v>
      </c>
      <c r="Y312" s="34"/>
      <c r="Z312" s="34"/>
    </row>
    <row r="313" spans="1:26" hidden="1">
      <c r="A313" s="41">
        <f t="shared" si="24"/>
        <v>310</v>
      </c>
      <c r="B313" s="35" t="s">
        <v>2111</v>
      </c>
      <c r="C313" s="35" t="str">
        <f t="shared" si="21"/>
        <v>Vietbank ra mắt Digital Plus app với UX cá nhân hóa – 'Trợ lý tài chính' là marketing copy, ngân hàng VN đang thu hẹp khoảng cách với fintech</v>
      </c>
      <c r="D313" t="s">
        <v>85</v>
      </c>
      <c r="E313" s="105" t="str">
        <f>VLOOKUP(X313,'Updating-Scoring'!$C$2:$D$7,2,TRUE)</f>
        <v>2 - Minor signal</v>
      </c>
      <c r="F313">
        <f t="shared" si="22"/>
        <v>17</v>
      </c>
      <c r="G313" s="34">
        <v>46133</v>
      </c>
      <c r="H313" t="s">
        <v>2112</v>
      </c>
      <c r="I313" s="34">
        <v>46125</v>
      </c>
      <c r="J313" t="s">
        <v>284</v>
      </c>
      <c r="K313" s="34" t="s">
        <v>431</v>
      </c>
      <c r="L313" s="34" t="s">
        <v>451</v>
      </c>
      <c r="M313" s="34" t="s">
        <v>489</v>
      </c>
      <c r="N313" s="34" t="str">
        <f t="shared" si="23"/>
        <v>Technology | Fintech/ Wallet</v>
      </c>
      <c r="O313" t="s">
        <v>2113</v>
      </c>
      <c r="P313" s="109" t="s">
        <v>2114</v>
      </c>
      <c r="Q313" s="38"/>
      <c r="R313" s="38"/>
      <c r="S313" t="s">
        <v>2115</v>
      </c>
      <c r="T313">
        <v>3</v>
      </c>
      <c r="U313">
        <v>3</v>
      </c>
      <c r="V313">
        <v>3</v>
      </c>
      <c r="W313">
        <v>3</v>
      </c>
      <c r="X313" s="106">
        <f t="shared" si="25"/>
        <v>3</v>
      </c>
      <c r="Y313" s="34"/>
      <c r="Z313" s="34"/>
    </row>
    <row r="314" spans="1:26" hidden="1">
      <c r="A314" s="41">
        <f t="shared" si="24"/>
        <v>311</v>
      </c>
      <c r="B314" s="35" t="s">
        <v>2116</v>
      </c>
      <c r="C314" s="35" t="str">
        <f t="shared" si="21"/>
        <v>Meta phát triển AI avatar của Zuckerberg – Thử nghiệm CEO digital twin, xu hướng dài hạn</v>
      </c>
      <c r="D314" t="s">
        <v>119</v>
      </c>
      <c r="E314" s="105" t="str">
        <f>VLOOKUP(X314,'Updating-Scoring'!$C$2:$D$7,2,TRUE)</f>
        <v>2 - Minor signal</v>
      </c>
      <c r="F314">
        <f t="shared" si="22"/>
        <v>17</v>
      </c>
      <c r="G314" s="34">
        <v>46133</v>
      </c>
      <c r="H314" t="s">
        <v>2117</v>
      </c>
      <c r="I314" s="34">
        <v>46126</v>
      </c>
      <c r="J314" t="s">
        <v>284</v>
      </c>
      <c r="K314" s="34" t="s">
        <v>428</v>
      </c>
      <c r="L314" s="34" t="s">
        <v>451</v>
      </c>
      <c r="M314" s="34" t="s">
        <v>483</v>
      </c>
      <c r="N314" s="34" t="str">
        <f t="shared" si="23"/>
        <v>Technology | AI/ Gen AI</v>
      </c>
      <c r="O314" t="s">
        <v>2118</v>
      </c>
      <c r="P314" s="109" t="s">
        <v>2119</v>
      </c>
      <c r="Q314" s="38"/>
      <c r="R314" s="38"/>
      <c r="S314" t="s">
        <v>2120</v>
      </c>
      <c r="T314">
        <v>3</v>
      </c>
      <c r="U314">
        <v>4</v>
      </c>
      <c r="V314">
        <v>2</v>
      </c>
      <c r="W314">
        <v>2</v>
      </c>
      <c r="X314" s="106">
        <f t="shared" si="25"/>
        <v>2.9</v>
      </c>
      <c r="Y314" s="34"/>
      <c r="Z314" s="34"/>
    </row>
    <row r="315" spans="1:26" hidden="1">
      <c r="A315" s="41">
        <f t="shared" si="24"/>
        <v>312</v>
      </c>
      <c r="B315" s="35" t="s">
        <v>2121</v>
      </c>
      <c r="C315" s="35" t="str">
        <f t="shared" si="21"/>
        <v>Xiaohongshu ra mắt RedShop – Social commerce TQ mở rộng cross-border, tín hiệu TMĐT VN</v>
      </c>
      <c r="D315" t="s">
        <v>144</v>
      </c>
      <c r="E315" s="105" t="str">
        <f>VLOOKUP(X315,'Updating-Scoring'!$C$2:$D$7,2,TRUE)</f>
        <v>2 - Minor signal</v>
      </c>
      <c r="F315">
        <f t="shared" si="22"/>
        <v>17</v>
      </c>
      <c r="G315" s="34">
        <v>46133</v>
      </c>
      <c r="H315" t="s">
        <v>2122</v>
      </c>
      <c r="I315" s="34">
        <v>46127</v>
      </c>
      <c r="J315" t="s">
        <v>284</v>
      </c>
      <c r="K315" s="34" t="s">
        <v>429</v>
      </c>
      <c r="L315" s="34" t="s">
        <v>447</v>
      </c>
      <c r="M315" s="34" t="s">
        <v>1929</v>
      </c>
      <c r="N315" s="34" t="str">
        <f t="shared" si="23"/>
        <v>Economic | eCommerce</v>
      </c>
      <c r="O315" t="s">
        <v>2123</v>
      </c>
      <c r="P315" s="109" t="s">
        <v>2124</v>
      </c>
      <c r="Q315" s="38"/>
      <c r="R315" s="38"/>
      <c r="S315" t="s">
        <v>2125</v>
      </c>
      <c r="T315">
        <v>3</v>
      </c>
      <c r="U315">
        <v>3</v>
      </c>
      <c r="V315">
        <v>3</v>
      </c>
      <c r="W315">
        <v>2</v>
      </c>
      <c r="X315" s="106">
        <f t="shared" si="25"/>
        <v>2.85</v>
      </c>
      <c r="Y315" s="34"/>
      <c r="Z315" s="34"/>
    </row>
    <row r="316" spans="1:26" hidden="1">
      <c r="A316" s="41">
        <f t="shared" si="24"/>
        <v>313</v>
      </c>
      <c r="B316" s="35" t="s">
        <v>2126</v>
      </c>
      <c r="C316" s="35" t="str">
        <f t="shared" si="21"/>
        <v>Trung Quốc siết quy định tipping và bảo vệ trẻ em trên livestream – Precedent chính sách quan trọng cho nền tảng TMĐT VN</v>
      </c>
      <c r="D316" t="s">
        <v>104</v>
      </c>
      <c r="E316" s="105" t="str">
        <f>VLOOKUP(X316,'Updating-Scoring'!$C$2:$D$7,2,TRUE)</f>
        <v>2 - Minor signal</v>
      </c>
      <c r="F316">
        <f t="shared" si="22"/>
        <v>17</v>
      </c>
      <c r="G316" s="34">
        <v>46133</v>
      </c>
      <c r="H316" t="s">
        <v>2127</v>
      </c>
      <c r="I316" s="34">
        <v>46126</v>
      </c>
      <c r="J316" t="s">
        <v>284</v>
      </c>
      <c r="K316" s="34" t="s">
        <v>429</v>
      </c>
      <c r="L316" s="34" t="s">
        <v>453</v>
      </c>
      <c r="M316" s="34" t="s">
        <v>493</v>
      </c>
      <c r="N316" s="34" t="str">
        <f t="shared" si="23"/>
        <v>Legal | eCommerce regulation</v>
      </c>
      <c r="O316" t="s">
        <v>2128</v>
      </c>
      <c r="P316" s="109" t="s">
        <v>2129</v>
      </c>
      <c r="Q316" s="38"/>
      <c r="R316" s="38"/>
      <c r="S316" t="s">
        <v>2130</v>
      </c>
      <c r="T316">
        <v>3</v>
      </c>
      <c r="U316">
        <v>3</v>
      </c>
      <c r="V316">
        <v>3</v>
      </c>
      <c r="W316">
        <v>2</v>
      </c>
      <c r="X316" s="106">
        <f t="shared" si="25"/>
        <v>2.85</v>
      </c>
      <c r="Y316" s="34"/>
      <c r="Z316" s="34"/>
    </row>
    <row r="317" spans="1:26" hidden="1">
      <c r="A317" s="41">
        <f t="shared" si="24"/>
        <v>314</v>
      </c>
      <c r="B317" s="35" t="s">
        <v>2131</v>
      </c>
      <c r="C317" s="35" t="str">
        <f t="shared" si="21"/>
        <v>YouTube cho phép ẩn Shorts – UX nhỏ không ảnh hưởng chiến lược</v>
      </c>
      <c r="D317" t="s">
        <v>85</v>
      </c>
      <c r="E317" s="105" t="str">
        <f>VLOOKUP(X317,'Updating-Scoring'!$C$2:$D$7,2,TRUE)</f>
        <v>2 - Minor signal</v>
      </c>
      <c r="F317">
        <f t="shared" si="22"/>
        <v>17</v>
      </c>
      <c r="G317" s="34">
        <v>46133</v>
      </c>
      <c r="H317" t="s">
        <v>2132</v>
      </c>
      <c r="I317" s="34">
        <v>46129</v>
      </c>
      <c r="J317" t="s">
        <v>284</v>
      </c>
      <c r="K317" s="34" t="s">
        <v>428</v>
      </c>
      <c r="L317" s="34" t="s">
        <v>451</v>
      </c>
      <c r="M317" s="34" t="s">
        <v>488</v>
      </c>
      <c r="N317" s="34" t="str">
        <f t="shared" si="23"/>
        <v>Technology | Platform policy</v>
      </c>
      <c r="O317" t="s">
        <v>2133</v>
      </c>
      <c r="P317" s="109" t="s">
        <v>2134</v>
      </c>
      <c r="Q317" s="38"/>
      <c r="R317" s="38"/>
      <c r="S317" t="s">
        <v>2135</v>
      </c>
      <c r="T317">
        <v>4</v>
      </c>
      <c r="U317">
        <v>2</v>
      </c>
      <c r="V317">
        <v>3</v>
      </c>
      <c r="W317">
        <v>1</v>
      </c>
      <c r="X317" s="106">
        <f t="shared" si="25"/>
        <v>2.85</v>
      </c>
      <c r="Y317" s="34"/>
      <c r="Z317" s="34"/>
    </row>
    <row r="318" spans="1:26" hidden="1">
      <c r="A318" s="41">
        <f t="shared" si="24"/>
        <v>315</v>
      </c>
      <c r="B318" s="35" t="s">
        <v>2136</v>
      </c>
      <c r="C318" s="35" t="str">
        <f t="shared" si="21"/>
        <v>RedotPay mở rộng thanh toán crypto qua Visa virtual card tại SEA – Theo dõi xu hướng crypto-payment bridge</v>
      </c>
      <c r="D318" t="s">
        <v>144</v>
      </c>
      <c r="E318" s="105" t="str">
        <f>VLOOKUP(X318,'Updating-Scoring'!$C$2:$D$7,2,TRUE)</f>
        <v>2 - Minor signal</v>
      </c>
      <c r="F318">
        <f t="shared" si="22"/>
        <v>17</v>
      </c>
      <c r="G318" s="34">
        <v>46133</v>
      </c>
      <c r="H318" t="s">
        <v>2137</v>
      </c>
      <c r="I318" s="34">
        <v>46127</v>
      </c>
      <c r="J318" t="s">
        <v>284</v>
      </c>
      <c r="K318" s="34" t="s">
        <v>430</v>
      </c>
      <c r="L318" s="34" t="s">
        <v>451</v>
      </c>
      <c r="M318" s="34" t="s">
        <v>485</v>
      </c>
      <c r="N318" s="34" t="str">
        <f t="shared" si="23"/>
        <v>Technology | Open banking/ API</v>
      </c>
      <c r="O318" t="s">
        <v>2138</v>
      </c>
      <c r="P318" s="109" t="s">
        <v>2139</v>
      </c>
      <c r="Q318" s="38"/>
      <c r="R318" s="38"/>
      <c r="S318" t="s">
        <v>2140</v>
      </c>
      <c r="T318">
        <v>3</v>
      </c>
      <c r="U318">
        <v>2</v>
      </c>
      <c r="V318">
        <v>3</v>
      </c>
      <c r="W318">
        <v>3</v>
      </c>
      <c r="X318" s="106">
        <f t="shared" si="25"/>
        <v>2.75</v>
      </c>
      <c r="Y318" s="34"/>
      <c r="Z318" s="34"/>
    </row>
    <row r="319" spans="1:26" hidden="1">
      <c r="A319" s="41">
        <f t="shared" si="24"/>
        <v>316</v>
      </c>
      <c r="B319" s="35" t="s">
        <v>2141</v>
      </c>
      <c r="C319" s="35" t="str">
        <f t="shared" si="21"/>
        <v>Google ra mắt Gemini native macOS app – Gemini là AI cuối cùng trong Big 3 có Mac app, desktop AI race chính thức ba bên</v>
      </c>
      <c r="D319" t="s">
        <v>138</v>
      </c>
      <c r="E319" s="105" t="str">
        <f>VLOOKUP(X319,'Updating-Scoring'!$C$2:$D$7,2,TRUE)</f>
        <v>2 - Minor signal</v>
      </c>
      <c r="F319">
        <f t="shared" si="22"/>
        <v>17</v>
      </c>
      <c r="G319" s="34">
        <v>46133</v>
      </c>
      <c r="H319" t="s">
        <v>2142</v>
      </c>
      <c r="I319" s="34">
        <v>46127</v>
      </c>
      <c r="J319" t="s">
        <v>284</v>
      </c>
      <c r="K319" s="34" t="s">
        <v>428</v>
      </c>
      <c r="L319" s="34" t="s">
        <v>451</v>
      </c>
      <c r="M319" s="34" t="s">
        <v>483</v>
      </c>
      <c r="N319" s="34" t="str">
        <f t="shared" si="23"/>
        <v>Technology | AI/ Gen AI</v>
      </c>
      <c r="O319" t="s">
        <v>2143</v>
      </c>
      <c r="P319" s="109" t="s">
        <v>2144</v>
      </c>
      <c r="Q319" s="38"/>
      <c r="R319" s="38"/>
      <c r="S319" t="s">
        <v>2145</v>
      </c>
      <c r="T319">
        <v>3</v>
      </c>
      <c r="U319">
        <v>3</v>
      </c>
      <c r="V319">
        <v>2</v>
      </c>
      <c r="W319">
        <v>2</v>
      </c>
      <c r="X319" s="106">
        <f t="shared" si="25"/>
        <v>2.65</v>
      </c>
      <c r="Y319" s="34"/>
      <c r="Z319" s="34"/>
    </row>
    <row r="320" spans="1:26" hidden="1">
      <c r="A320" s="41">
        <f t="shared" si="24"/>
        <v>317</v>
      </c>
      <c r="B320" s="35" t="s">
        <v>2146</v>
      </c>
      <c r="C320" s="35" t="str">
        <f t="shared" si="21"/>
        <v>Zoom tích hợp xác minh danh tính World ID – Identity verification trong video call trở thành xu hướng</v>
      </c>
      <c r="D320" t="s">
        <v>1012</v>
      </c>
      <c r="E320" s="105" t="str">
        <f>VLOOKUP(X320,'Updating-Scoring'!$C$2:$D$7,2,TRUE)</f>
        <v>2 - Minor signal</v>
      </c>
      <c r="F320">
        <f t="shared" si="22"/>
        <v>17</v>
      </c>
      <c r="G320" s="34">
        <v>46133</v>
      </c>
      <c r="H320" t="s">
        <v>2147</v>
      </c>
      <c r="I320" s="34">
        <v>46129</v>
      </c>
      <c r="J320" t="s">
        <v>284</v>
      </c>
      <c r="K320" s="34" t="s">
        <v>428</v>
      </c>
      <c r="L320" s="34" t="s">
        <v>451</v>
      </c>
      <c r="M320" s="34" t="s">
        <v>488</v>
      </c>
      <c r="N320" s="34" t="str">
        <f t="shared" si="23"/>
        <v>Technology | Platform policy</v>
      </c>
      <c r="O320" t="s">
        <v>2148</v>
      </c>
      <c r="P320" s="109" t="s">
        <v>2149</v>
      </c>
      <c r="Q320" s="38"/>
      <c r="R320" s="38"/>
      <c r="S320" t="s">
        <v>2150</v>
      </c>
      <c r="T320">
        <v>3</v>
      </c>
      <c r="U320">
        <v>3</v>
      </c>
      <c r="V320">
        <v>2</v>
      </c>
      <c r="W320">
        <v>2</v>
      </c>
      <c r="X320" s="106">
        <f t="shared" si="25"/>
        <v>2.65</v>
      </c>
      <c r="Y320" s="34"/>
      <c r="Z320" s="34"/>
    </row>
    <row r="321" spans="1:26" hidden="1">
      <c r="A321" s="41">
        <f t="shared" si="24"/>
        <v>318</v>
      </c>
      <c r="B321" s="35" t="s">
        <v>2151</v>
      </c>
      <c r="C321" s="35" t="str">
        <f t="shared" si="21"/>
        <v>Nhà đầu tư nghi ngờ định giá OpenAI, Anthropic: tăng trưởng doanh thu nhờ công cụ lập trình</v>
      </c>
      <c r="D321" t="s">
        <v>85</v>
      </c>
      <c r="E321" s="105" t="str">
        <f>VLOOKUP(X321,'Updating-Scoring'!$C$2:$D$7,2,TRUE)</f>
        <v>2 - Minor signal</v>
      </c>
      <c r="F321">
        <f t="shared" si="22"/>
        <v>17</v>
      </c>
      <c r="G321" s="34">
        <v>46133</v>
      </c>
      <c r="H321" t="s">
        <v>2152</v>
      </c>
      <c r="I321" s="34">
        <v>46128</v>
      </c>
      <c r="J321" t="s">
        <v>284</v>
      </c>
      <c r="K321" s="34" t="s">
        <v>428</v>
      </c>
      <c r="L321" s="34" t="s">
        <v>447</v>
      </c>
      <c r="M321" s="34" t="s">
        <v>473</v>
      </c>
      <c r="N321" s="34" t="str">
        <f t="shared" si="23"/>
        <v>Economic | Funding/ investment</v>
      </c>
      <c r="O321" t="s">
        <v>2153</v>
      </c>
      <c r="P321" s="109" t="s">
        <v>2154</v>
      </c>
      <c r="Q321" s="38"/>
      <c r="R321" s="38"/>
      <c r="S321" t="s">
        <v>2155</v>
      </c>
      <c r="T321">
        <v>3</v>
      </c>
      <c r="U321">
        <v>2.5</v>
      </c>
      <c r="V321">
        <v>2</v>
      </c>
      <c r="W321">
        <v>2</v>
      </c>
      <c r="X321" s="106">
        <f t="shared" si="25"/>
        <v>2.5249999999999999</v>
      </c>
      <c r="Y321" s="34"/>
      <c r="Z321" s="34"/>
    </row>
    <row r="322" spans="1:26" hidden="1">
      <c r="A322" s="41">
        <f t="shared" si="24"/>
        <v>319</v>
      </c>
      <c r="B322" s="35" t="s">
        <v>2156</v>
      </c>
      <c r="C322" s="35" t="str">
        <f t="shared" si="21"/>
        <v>Meta Superintelligence Labs ra mô hình đầu tiên – Cuộc đua AGI tăng nhiệt, tác động VN còn dài hạn</v>
      </c>
      <c r="D322" t="s">
        <v>85</v>
      </c>
      <c r="E322" s="105" t="str">
        <f>VLOOKUP(X322,'Updating-Scoring'!$C$2:$D$7,2,TRUE)</f>
        <v>2 - Minor signal</v>
      </c>
      <c r="F322">
        <f t="shared" si="22"/>
        <v>17</v>
      </c>
      <c r="G322" s="34">
        <v>46133</v>
      </c>
      <c r="H322" t="s">
        <v>2157</v>
      </c>
      <c r="I322" s="34">
        <v>46126</v>
      </c>
      <c r="J322" t="s">
        <v>284</v>
      </c>
      <c r="K322" s="34" t="s">
        <v>428</v>
      </c>
      <c r="L322" s="34" t="s">
        <v>451</v>
      </c>
      <c r="M322" s="34" t="s">
        <v>483</v>
      </c>
      <c r="N322" s="34" t="str">
        <f t="shared" si="23"/>
        <v>Technology | AI/ Gen AI</v>
      </c>
      <c r="O322" t="s">
        <v>2158</v>
      </c>
      <c r="P322" s="109" t="s">
        <v>2159</v>
      </c>
      <c r="Q322" s="38"/>
      <c r="R322" s="38"/>
      <c r="S322" t="s">
        <v>2160</v>
      </c>
      <c r="T322">
        <v>2</v>
      </c>
      <c r="U322">
        <v>2</v>
      </c>
      <c r="V322">
        <v>3</v>
      </c>
      <c r="W322">
        <v>4</v>
      </c>
      <c r="X322" s="106">
        <f t="shared" si="25"/>
        <v>2.5</v>
      </c>
      <c r="Y322" s="34"/>
      <c r="Z322" s="34"/>
    </row>
    <row r="323" spans="1:26" hidden="1">
      <c r="A323" s="41">
        <f t="shared" si="24"/>
        <v>320</v>
      </c>
      <c r="B323" s="35" t="s">
        <v>2161</v>
      </c>
      <c r="C323" s="35" t="str">
        <f t="shared" si="21"/>
        <v>TSMC doanh thu kỷ lục $35.7B – Xác nhận chu kỳ AI infrastructure chưa hạ nhiệt</v>
      </c>
      <c r="D323" t="s">
        <v>85</v>
      </c>
      <c r="E323" s="105" t="str">
        <f>VLOOKUP(X323,'Updating-Scoring'!$C$2:$D$7,2,TRUE)</f>
        <v>2 - Minor signal</v>
      </c>
      <c r="F323">
        <f t="shared" si="22"/>
        <v>17</v>
      </c>
      <c r="G323" s="34">
        <v>46133</v>
      </c>
      <c r="H323" t="s">
        <v>2162</v>
      </c>
      <c r="I323" s="34">
        <v>46125</v>
      </c>
      <c r="J323" t="s">
        <v>284</v>
      </c>
      <c r="K323" s="34" t="s">
        <v>428</v>
      </c>
      <c r="L323" s="34" t="s">
        <v>447</v>
      </c>
      <c r="M323" s="34" t="s">
        <v>2163</v>
      </c>
      <c r="N323" s="34" t="str">
        <f t="shared" si="23"/>
        <v>Economic | Semiconductor/ Hardware</v>
      </c>
      <c r="O323" t="s">
        <v>2164</v>
      </c>
      <c r="P323" s="109" t="s">
        <v>2165</v>
      </c>
      <c r="Q323" s="38"/>
      <c r="R323" s="38"/>
      <c r="S323" t="s">
        <v>2166</v>
      </c>
      <c r="T323">
        <v>2</v>
      </c>
      <c r="U323">
        <v>3</v>
      </c>
      <c r="V323">
        <v>2</v>
      </c>
      <c r="W323">
        <v>3</v>
      </c>
      <c r="X323" s="106">
        <f t="shared" si="25"/>
        <v>2.4000000000000004</v>
      </c>
      <c r="Y323" s="34"/>
      <c r="Z323" s="34"/>
    </row>
    <row r="324" spans="1:26" hidden="1">
      <c r="A324" s="41">
        <f t="shared" si="24"/>
        <v>321</v>
      </c>
      <c r="B324" s="35" t="s">
        <v>2167</v>
      </c>
      <c r="C324" s="35" t="str">
        <f t="shared" ref="C324:C360" si="26">HYPERLINK(B324,O324)</f>
        <v>Vinasa: AI là 'cơ hội vàng' đưa CNTT VN từ vendor → co-innovation partner – Paradox Jevons làm tăng nhu cầu CNTT</v>
      </c>
      <c r="D324" t="s">
        <v>1927</v>
      </c>
      <c r="E324" s="105" t="str">
        <f>VLOOKUP(X324,'Updating-Scoring'!$C$2:$D$7,2,TRUE)</f>
        <v>2 - Minor signal</v>
      </c>
      <c r="F324">
        <f t="shared" ref="F324:F351" si="27">WEEKNUM(G324,2)</f>
        <v>17</v>
      </c>
      <c r="G324" s="34">
        <v>46133</v>
      </c>
      <c r="H324" t="s">
        <v>2168</v>
      </c>
      <c r="I324" s="34">
        <v>46125</v>
      </c>
      <c r="J324" t="s">
        <v>284</v>
      </c>
      <c r="K324" s="34" t="s">
        <v>431</v>
      </c>
      <c r="L324" s="34" t="s">
        <v>447</v>
      </c>
      <c r="M324" s="34" t="s">
        <v>482</v>
      </c>
      <c r="N324" s="34" t="str">
        <f t="shared" ref="N324:N353" si="28">L324&amp;" | "&amp;M324</f>
        <v>Economic | Digital workforce</v>
      </c>
      <c r="O324" t="s">
        <v>2169</v>
      </c>
      <c r="P324" s="109" t="s">
        <v>2170</v>
      </c>
      <c r="Q324" s="38"/>
      <c r="R324" s="38"/>
      <c r="S324" t="s">
        <v>2171</v>
      </c>
      <c r="T324">
        <v>2</v>
      </c>
      <c r="U324">
        <v>3</v>
      </c>
      <c r="V324">
        <v>2</v>
      </c>
      <c r="W324">
        <v>3</v>
      </c>
      <c r="X324" s="106">
        <f t="shared" si="25"/>
        <v>2.4000000000000004</v>
      </c>
      <c r="Y324" s="34"/>
      <c r="Z324" s="34"/>
    </row>
    <row r="325" spans="1:26" hidden="1">
      <c r="A325" s="41">
        <f t="shared" ref="A325:A360" si="29">ROW()-3</f>
        <v>322</v>
      </c>
      <c r="B325" s="35" t="s">
        <v>2172</v>
      </c>
      <c r="C325" s="35" t="str">
        <f t="shared" si="26"/>
        <v>Thiếu văn hóa dữ liệu kìm hãm ngân hàng VN ứng dụng AI – Rào cản gián tiếp cho super-app khi chọn đối tác</v>
      </c>
      <c r="D325" t="s">
        <v>104</v>
      </c>
      <c r="E325" s="105" t="str">
        <f>VLOOKUP(X325,'Updating-Scoring'!$C$2:$D$7,2,TRUE)</f>
        <v>2 - Minor signal</v>
      </c>
      <c r="F325">
        <f t="shared" si="27"/>
        <v>17</v>
      </c>
      <c r="G325" s="34">
        <v>46133</v>
      </c>
      <c r="H325" t="s">
        <v>2173</v>
      </c>
      <c r="I325" s="34">
        <v>46126</v>
      </c>
      <c r="J325" t="s">
        <v>284</v>
      </c>
      <c r="K325" s="34" t="s">
        <v>431</v>
      </c>
      <c r="L325" s="34" t="s">
        <v>447</v>
      </c>
      <c r="M325" s="34" t="s">
        <v>1987</v>
      </c>
      <c r="N325" s="34" t="str">
        <f t="shared" si="28"/>
        <v>Economic | Banking/ Financial services</v>
      </c>
      <c r="O325" t="s">
        <v>2174</v>
      </c>
      <c r="P325" s="109" t="s">
        <v>2175</v>
      </c>
      <c r="Q325" s="38"/>
      <c r="R325" s="38"/>
      <c r="S325" t="s">
        <v>2176</v>
      </c>
      <c r="T325">
        <v>3</v>
      </c>
      <c r="U325">
        <v>2</v>
      </c>
      <c r="V325">
        <v>2</v>
      </c>
      <c r="W325">
        <v>2</v>
      </c>
      <c r="X325" s="106">
        <f t="shared" si="25"/>
        <v>2.4</v>
      </c>
      <c r="Y325" s="34"/>
      <c r="Z325" s="34"/>
    </row>
    <row r="326" spans="1:26" hidden="1">
      <c r="A326" s="41">
        <f t="shared" si="29"/>
        <v>323</v>
      </c>
      <c r="B326" s="35" t="s">
        <v>2177</v>
      </c>
      <c r="C326" s="35" t="str">
        <f t="shared" si="26"/>
        <v>Xác thực sinh trắc học SIM – Nền tảng digital identity mới thúc đẩy eKYC cho fintech VN</v>
      </c>
      <c r="D326" t="s">
        <v>119</v>
      </c>
      <c r="E326" s="105" t="str">
        <f>VLOOKUP(X326,'Updating-Scoring'!$C$2:$D$7,2,TRUE)</f>
        <v>2 - Minor signal</v>
      </c>
      <c r="F326">
        <f t="shared" si="27"/>
        <v>17</v>
      </c>
      <c r="G326" s="34">
        <v>46133</v>
      </c>
      <c r="H326" t="s">
        <v>2178</v>
      </c>
      <c r="I326" s="34">
        <v>46127</v>
      </c>
      <c r="J326" t="s">
        <v>284</v>
      </c>
      <c r="K326" s="34" t="s">
        <v>431</v>
      </c>
      <c r="L326" s="34" t="s">
        <v>445</v>
      </c>
      <c r="M326" s="34" t="s">
        <v>471</v>
      </c>
      <c r="N326" s="34" t="str">
        <f t="shared" si="28"/>
        <v>Political | National digital strategy</v>
      </c>
      <c r="O326" t="s">
        <v>2179</v>
      </c>
      <c r="P326" s="109" t="s">
        <v>2180</v>
      </c>
      <c r="Q326" s="38"/>
      <c r="R326" s="38"/>
      <c r="S326" t="s">
        <v>2181</v>
      </c>
      <c r="T326">
        <v>3</v>
      </c>
      <c r="U326">
        <v>2</v>
      </c>
      <c r="V326">
        <v>2</v>
      </c>
      <c r="W326">
        <v>2</v>
      </c>
      <c r="X326" s="106">
        <f t="shared" si="25"/>
        <v>2.4</v>
      </c>
      <c r="Y326" s="34"/>
      <c r="Z326" s="34"/>
    </row>
    <row r="327" spans="1:26" hidden="1">
      <c r="A327" s="41">
        <f t="shared" si="29"/>
        <v>324</v>
      </c>
      <c r="B327" s="35" t="s">
        <v>2182</v>
      </c>
      <c r="C327" s="35" t="str">
        <f t="shared" si="26"/>
        <v>Apple siết chặt kiểm soát AI app trên App Store – Rào cản phân phối cho tính năng AI trên iOS</v>
      </c>
      <c r="D327" t="s">
        <v>85</v>
      </c>
      <c r="E327" s="105" t="str">
        <f>VLOOKUP(X327,'Updating-Scoring'!$C$2:$D$7,2,TRUE)</f>
        <v>2 - Minor signal</v>
      </c>
      <c r="F327">
        <f t="shared" si="27"/>
        <v>17</v>
      </c>
      <c r="G327" s="34">
        <v>46133</v>
      </c>
      <c r="H327" t="s">
        <v>2183</v>
      </c>
      <c r="I327" s="34">
        <v>46128</v>
      </c>
      <c r="J327" t="s">
        <v>284</v>
      </c>
      <c r="K327" s="34" t="s">
        <v>428</v>
      </c>
      <c r="L327" s="34" t="s">
        <v>451</v>
      </c>
      <c r="M327" s="34" t="s">
        <v>488</v>
      </c>
      <c r="N327" s="34" t="str">
        <f t="shared" si="28"/>
        <v>Technology | Platform policy</v>
      </c>
      <c r="O327" t="s">
        <v>2184</v>
      </c>
      <c r="P327" s="109" t="s">
        <v>2185</v>
      </c>
      <c r="Q327" s="38"/>
      <c r="R327" s="38"/>
      <c r="S327" t="s">
        <v>2186</v>
      </c>
      <c r="T327">
        <v>2</v>
      </c>
      <c r="U327">
        <v>2</v>
      </c>
      <c r="V327">
        <v>3</v>
      </c>
      <c r="W327">
        <v>3</v>
      </c>
      <c r="X327" s="106">
        <f t="shared" si="25"/>
        <v>2.35</v>
      </c>
      <c r="Y327" s="34"/>
      <c r="Z327" s="34"/>
    </row>
    <row r="328" spans="1:26" hidden="1">
      <c r="A328" s="41">
        <f t="shared" si="29"/>
        <v>325</v>
      </c>
      <c r="B328" s="35" t="s">
        <v>2187</v>
      </c>
      <c r="C328" s="35" t="str">
        <f t="shared" si="26"/>
        <v>70% doanh nghiệp VN thiếu nhân lực data governance – Rào cản triển khai AI</v>
      </c>
      <c r="D328" t="s">
        <v>104</v>
      </c>
      <c r="E328" s="105" t="str">
        <f>VLOOKUP(X328,'Updating-Scoring'!$C$2:$D$7,2,TRUE)</f>
        <v>2 - Minor signal</v>
      </c>
      <c r="F328">
        <f t="shared" si="27"/>
        <v>17</v>
      </c>
      <c r="G328" s="34">
        <v>46133</v>
      </c>
      <c r="H328" t="s">
        <v>2188</v>
      </c>
      <c r="I328" s="34">
        <v>46127</v>
      </c>
      <c r="J328" t="s">
        <v>284</v>
      </c>
      <c r="K328" s="34" t="s">
        <v>431</v>
      </c>
      <c r="L328" s="34" t="s">
        <v>449</v>
      </c>
      <c r="M328" s="34" t="s">
        <v>482</v>
      </c>
      <c r="N328" s="34" t="str">
        <f t="shared" si="28"/>
        <v>Social | Digital workforce</v>
      </c>
      <c r="O328" t="s">
        <v>2189</v>
      </c>
      <c r="P328" s="109" t="s">
        <v>2190</v>
      </c>
      <c r="Q328" s="38"/>
      <c r="R328" s="38"/>
      <c r="S328" t="s">
        <v>2191</v>
      </c>
      <c r="T328">
        <v>3</v>
      </c>
      <c r="U328">
        <v>2</v>
      </c>
      <c r="V328">
        <v>2</v>
      </c>
      <c r="W328">
        <v>1</v>
      </c>
      <c r="X328" s="106">
        <f t="shared" si="25"/>
        <v>2.25</v>
      </c>
      <c r="Y328" s="34"/>
      <c r="Z328" s="34"/>
    </row>
    <row r="329" spans="1:26" hidden="1">
      <c r="A329" s="41">
        <f t="shared" si="29"/>
        <v>326</v>
      </c>
      <c r="B329" s="35" t="s">
        <v>2192</v>
      </c>
      <c r="C329" s="35" t="str">
        <f t="shared" si="26"/>
        <v>Alibaba ra mắt robot thương mại đầu tiên – Robotics thương mại châu Á tăng tốc, VN theo dõi dài hạn</v>
      </c>
      <c r="D329" t="s">
        <v>138</v>
      </c>
      <c r="E329" s="105" t="str">
        <f>VLOOKUP(X329,'Updating-Scoring'!$C$2:$D$7,2,TRUE)</f>
        <v>2 - Minor signal</v>
      </c>
      <c r="F329">
        <f t="shared" si="27"/>
        <v>17</v>
      </c>
      <c r="G329" s="34">
        <v>46133</v>
      </c>
      <c r="H329" t="s">
        <v>2193</v>
      </c>
      <c r="I329" s="34">
        <v>46126</v>
      </c>
      <c r="J329" t="s">
        <v>284</v>
      </c>
      <c r="K329" s="34" t="s">
        <v>429</v>
      </c>
      <c r="L329" s="34" t="s">
        <v>451</v>
      </c>
      <c r="M329" s="34" t="s">
        <v>2194</v>
      </c>
      <c r="N329" s="34" t="str">
        <f t="shared" si="28"/>
        <v>Technology | Robotics/ Hardware</v>
      </c>
      <c r="O329" t="s">
        <v>2195</v>
      </c>
      <c r="P329" s="109" t="s">
        <v>2196</v>
      </c>
      <c r="Q329" s="38"/>
      <c r="R329" s="38"/>
      <c r="S329" t="s">
        <v>2197</v>
      </c>
      <c r="T329">
        <v>2</v>
      </c>
      <c r="U329">
        <v>2</v>
      </c>
      <c r="V329">
        <v>2</v>
      </c>
      <c r="W329">
        <v>3</v>
      </c>
      <c r="X329" s="106">
        <f t="shared" si="25"/>
        <v>2.1500000000000004</v>
      </c>
      <c r="Y329" s="34"/>
      <c r="Z329" s="34"/>
    </row>
    <row r="330" spans="1:26" hidden="1">
      <c r="A330" s="41">
        <f t="shared" si="29"/>
        <v>327</v>
      </c>
      <c r="B330" s="35" t="s">
        <v>2198</v>
      </c>
      <c r="C330" s="35" t="str">
        <f t="shared" si="26"/>
        <v>Apple chi $3.000/ngày/team cho Claude nội bộ – Benchmark chi phí AI enterprise đang trở thành chi phí vận hành chuẩn</v>
      </c>
      <c r="D330" t="s">
        <v>85</v>
      </c>
      <c r="E330" s="105" t="str">
        <f>VLOOKUP(X330,'Updating-Scoring'!$C$2:$D$7,2,TRUE)</f>
        <v>2 - Minor signal</v>
      </c>
      <c r="F330">
        <f t="shared" si="27"/>
        <v>17</v>
      </c>
      <c r="G330" s="34">
        <v>46133</v>
      </c>
      <c r="H330" t="s">
        <v>2199</v>
      </c>
      <c r="I330" s="34">
        <v>46126</v>
      </c>
      <c r="J330" t="s">
        <v>284</v>
      </c>
      <c r="K330" s="34" t="s">
        <v>428</v>
      </c>
      <c r="L330" s="34" t="s">
        <v>447</v>
      </c>
      <c r="M330" s="34" t="s">
        <v>1945</v>
      </c>
      <c r="N330" s="34" t="str">
        <f t="shared" si="28"/>
        <v>Economic | AI/ Business model</v>
      </c>
      <c r="O330" t="s">
        <v>2200</v>
      </c>
      <c r="P330" s="109" t="s">
        <v>2201</v>
      </c>
      <c r="Q330" s="38"/>
      <c r="R330" s="38"/>
      <c r="S330" t="s">
        <v>2202</v>
      </c>
      <c r="T330">
        <v>2</v>
      </c>
      <c r="U330">
        <v>2</v>
      </c>
      <c r="V330">
        <v>2</v>
      </c>
      <c r="W330">
        <v>2</v>
      </c>
      <c r="X330" s="106">
        <f t="shared" si="25"/>
        <v>2</v>
      </c>
      <c r="Y330" s="34"/>
      <c r="Z330" s="34"/>
    </row>
    <row r="331" spans="1:26" hidden="1">
      <c r="A331" s="41">
        <f t="shared" si="29"/>
        <v>328</v>
      </c>
      <c r="B331" s="35" t="s">
        <v>2203</v>
      </c>
      <c r="C331" s="35" t="str">
        <f t="shared" si="26"/>
        <v>AI chiếm 40% vốn VC crypto Q1/2026 – Giao thoa AI và crypto blockchain đang tăng tốc</v>
      </c>
      <c r="D331" t="s">
        <v>144</v>
      </c>
      <c r="E331" s="105" t="str">
        <f>VLOOKUP(X331,'Updating-Scoring'!$C$2:$D$7,2,TRUE)</f>
        <v>2 - Minor signal</v>
      </c>
      <c r="F331">
        <f t="shared" si="27"/>
        <v>17</v>
      </c>
      <c r="G331" s="34">
        <v>46133</v>
      </c>
      <c r="H331" t="s">
        <v>2204</v>
      </c>
      <c r="I331" s="34">
        <v>46128</v>
      </c>
      <c r="J331" t="s">
        <v>284</v>
      </c>
      <c r="K331" s="34" t="s">
        <v>428</v>
      </c>
      <c r="L331" s="34" t="s">
        <v>447</v>
      </c>
      <c r="M331" s="34" t="s">
        <v>2205</v>
      </c>
      <c r="N331" s="34" t="str">
        <f t="shared" si="28"/>
        <v>Economic | Crypto/ Blockchain</v>
      </c>
      <c r="O331" t="s">
        <v>2206</v>
      </c>
      <c r="P331" s="109" t="s">
        <v>2207</v>
      </c>
      <c r="Q331" s="38"/>
      <c r="R331" s="38"/>
      <c r="S331" t="s">
        <v>2208</v>
      </c>
      <c r="T331">
        <v>2</v>
      </c>
      <c r="U331">
        <v>2</v>
      </c>
      <c r="V331">
        <v>2</v>
      </c>
      <c r="W331">
        <v>2</v>
      </c>
      <c r="X331" s="106">
        <f t="shared" si="25"/>
        <v>2</v>
      </c>
      <c r="Y331" s="34"/>
      <c r="Z331" s="34"/>
    </row>
    <row r="332" spans="1:26" hidden="1">
      <c r="A332" s="41">
        <f t="shared" si="29"/>
        <v>329</v>
      </c>
      <c r="B332" s="35" t="s">
        <v>2209</v>
      </c>
      <c r="C332" s="35" t="str">
        <f t="shared" si="26"/>
        <v>Digital worker AI tăng năng suất 20-40% – Xu hướng workplace automation đến gần với doanh nghiệp VN</v>
      </c>
      <c r="D332" t="s">
        <v>104</v>
      </c>
      <c r="E332" s="105" t="str">
        <f>VLOOKUP(X332,'Updating-Scoring'!$C$2:$D$7,2,TRUE)</f>
        <v>2 - Minor signal</v>
      </c>
      <c r="F332">
        <f t="shared" si="27"/>
        <v>17</v>
      </c>
      <c r="G332" s="34">
        <v>46133</v>
      </c>
      <c r="H332" t="s">
        <v>2210</v>
      </c>
      <c r="I332" s="34">
        <v>46127</v>
      </c>
      <c r="J332" t="s">
        <v>284</v>
      </c>
      <c r="K332" s="34" t="s">
        <v>428</v>
      </c>
      <c r="L332" s="34" t="s">
        <v>451</v>
      </c>
      <c r="M332" s="34" t="s">
        <v>483</v>
      </c>
      <c r="N332" s="34" t="str">
        <f t="shared" si="28"/>
        <v>Technology | AI/ Gen AI</v>
      </c>
      <c r="O332" t="s">
        <v>2211</v>
      </c>
      <c r="P332" s="109" t="s">
        <v>2212</v>
      </c>
      <c r="Q332" s="38"/>
      <c r="R332" s="38"/>
      <c r="S332" t="s">
        <v>2213</v>
      </c>
      <c r="T332">
        <v>2</v>
      </c>
      <c r="U332">
        <v>2</v>
      </c>
      <c r="V332">
        <v>2</v>
      </c>
      <c r="W332">
        <v>2</v>
      </c>
      <c r="X332" s="106">
        <f t="shared" si="25"/>
        <v>2</v>
      </c>
      <c r="Y332" s="34"/>
      <c r="Z332" s="34"/>
    </row>
    <row r="333" spans="1:26" hidden="1">
      <c r="A333" s="41">
        <f t="shared" si="29"/>
        <v>330</v>
      </c>
      <c r="B333" s="35" t="s">
        <v>2214</v>
      </c>
      <c r="C333" s="35" t="str">
        <f t="shared" si="26"/>
        <v>Fed họp khẩn về rủi ro AI với hệ thống tài chính – Precedent quản lý AI trong ngành banking</v>
      </c>
      <c r="D333" t="s">
        <v>85</v>
      </c>
      <c r="E333" s="105" t="str">
        <f>VLOOKUP(X333,'Updating-Scoring'!$C$2:$D$7,2,TRUE)</f>
        <v>2 - Minor signal</v>
      </c>
      <c r="F333">
        <f t="shared" si="27"/>
        <v>17</v>
      </c>
      <c r="G333" s="34">
        <v>46133</v>
      </c>
      <c r="H333" t="s">
        <v>2215</v>
      </c>
      <c r="I333" s="34">
        <v>46125</v>
      </c>
      <c r="J333" t="s">
        <v>284</v>
      </c>
      <c r="K333" s="34" t="s">
        <v>428</v>
      </c>
      <c r="L333" s="34" t="s">
        <v>451</v>
      </c>
      <c r="M333" s="34" t="s">
        <v>487</v>
      </c>
      <c r="N333" s="34" t="str">
        <f t="shared" si="28"/>
        <v>Technology | Cybersecurity</v>
      </c>
      <c r="O333" t="s">
        <v>2216</v>
      </c>
      <c r="P333" s="109" t="s">
        <v>2217</v>
      </c>
      <c r="Q333" s="38"/>
      <c r="R333" s="38"/>
      <c r="S333" t="s">
        <v>2218</v>
      </c>
      <c r="T333">
        <v>2</v>
      </c>
      <c r="U333">
        <v>2</v>
      </c>
      <c r="V333">
        <v>2</v>
      </c>
      <c r="W333">
        <v>2</v>
      </c>
      <c r="X333" s="106">
        <f t="shared" si="25"/>
        <v>2</v>
      </c>
      <c r="Y333" s="34"/>
      <c r="Z333" s="34"/>
    </row>
    <row r="334" spans="1:26" hidden="1">
      <c r="A334" s="41">
        <f t="shared" si="29"/>
        <v>331</v>
      </c>
      <c r="B334" s="35" t="s">
        <v>2219</v>
      </c>
      <c r="C334" s="35" t="str">
        <f t="shared" si="26"/>
        <v>AI Day 2026 VN – Sự kiện thúc đẩy hệ sinh thái AI</v>
      </c>
      <c r="D334" t="s">
        <v>1927</v>
      </c>
      <c r="E334" s="105" t="str">
        <f>VLOOKUP(X334,'Updating-Scoring'!$C$2:$D$7,2,TRUE)</f>
        <v>2 - Minor signal</v>
      </c>
      <c r="F334">
        <f t="shared" si="27"/>
        <v>17</v>
      </c>
      <c r="G334" s="34">
        <v>46133</v>
      </c>
      <c r="H334" t="s">
        <v>2220</v>
      </c>
      <c r="I334" s="34">
        <v>46127</v>
      </c>
      <c r="J334" t="s">
        <v>284</v>
      </c>
      <c r="K334" s="34" t="s">
        <v>431</v>
      </c>
      <c r="L334" s="34" t="s">
        <v>451</v>
      </c>
      <c r="M334" s="34" t="s">
        <v>483</v>
      </c>
      <c r="N334" s="34" t="str">
        <f t="shared" si="28"/>
        <v>Technology | AI/ Gen AI</v>
      </c>
      <c r="O334" t="s">
        <v>2221</v>
      </c>
      <c r="P334" s="109" t="s">
        <v>2222</v>
      </c>
      <c r="Q334" s="38"/>
      <c r="R334" s="38"/>
      <c r="S334" t="s">
        <v>2223</v>
      </c>
      <c r="T334">
        <v>2</v>
      </c>
      <c r="U334">
        <v>2</v>
      </c>
      <c r="V334">
        <v>2</v>
      </c>
      <c r="W334">
        <v>2</v>
      </c>
      <c r="X334" s="106">
        <f t="shared" si="25"/>
        <v>2</v>
      </c>
      <c r="Y334" s="34"/>
      <c r="Z334" s="34"/>
    </row>
    <row r="335" spans="1:26" hidden="1">
      <c r="A335" s="41">
        <f t="shared" si="29"/>
        <v>332</v>
      </c>
      <c r="B335" s="35" t="s">
        <v>2224</v>
      </c>
      <c r="C335" s="35" t="str">
        <f t="shared" si="26"/>
        <v>VN thử nghiệm internet 50 Gbps – Hạ tầng cho AI real-time và thanh toán tốc độ cao</v>
      </c>
      <c r="D335" t="s">
        <v>1927</v>
      </c>
      <c r="E335" s="105" t="str">
        <f>VLOOKUP(X335,'Updating-Scoring'!$C$2:$D$7,2,TRUE)</f>
        <v>2 - Minor signal</v>
      </c>
      <c r="F335">
        <f t="shared" si="27"/>
        <v>17</v>
      </c>
      <c r="G335" s="34">
        <v>46133</v>
      </c>
      <c r="H335" t="s">
        <v>2225</v>
      </c>
      <c r="I335" s="34">
        <v>46128</v>
      </c>
      <c r="J335" t="s">
        <v>284</v>
      </c>
      <c r="K335" s="34" t="s">
        <v>431</v>
      </c>
      <c r="L335" s="34" t="s">
        <v>451</v>
      </c>
      <c r="M335" s="34" t="s">
        <v>2226</v>
      </c>
      <c r="N335" s="34" t="str">
        <f t="shared" si="28"/>
        <v>Technology | Digital infrastructure</v>
      </c>
      <c r="O335" t="s">
        <v>2227</v>
      </c>
      <c r="P335" s="109" t="s">
        <v>2228</v>
      </c>
      <c r="Q335" s="38"/>
      <c r="R335" s="38"/>
      <c r="S335" t="s">
        <v>2229</v>
      </c>
      <c r="T335">
        <v>2</v>
      </c>
      <c r="U335">
        <v>2</v>
      </c>
      <c r="V335">
        <v>1</v>
      </c>
      <c r="W335">
        <v>3</v>
      </c>
      <c r="X335" s="106">
        <f t="shared" si="25"/>
        <v>1.95</v>
      </c>
      <c r="Y335" s="34"/>
      <c r="Z335" s="34"/>
    </row>
    <row r="336" spans="1:26" hidden="1">
      <c r="A336" s="41">
        <f t="shared" si="29"/>
        <v>333</v>
      </c>
      <c r="B336" s="35" t="s">
        <v>2230</v>
      </c>
      <c r="C336" s="35" t="str">
        <f t="shared" si="26"/>
        <v>Amazon mở hub Thâm Quyến cho seller TQ – Cross-border TMĐT TQ tăng tốc, áp lực gián tiếp lên TMĐT VN</v>
      </c>
      <c r="D336" t="s">
        <v>144</v>
      </c>
      <c r="E336" s="105" t="str">
        <f>VLOOKUP(X336,'Updating-Scoring'!$C$2:$D$7,2,TRUE)</f>
        <v>2 - Minor signal</v>
      </c>
      <c r="F336">
        <f t="shared" si="27"/>
        <v>17</v>
      </c>
      <c r="G336" s="34">
        <v>46133</v>
      </c>
      <c r="H336" t="s">
        <v>2231</v>
      </c>
      <c r="I336" s="34">
        <v>46127</v>
      </c>
      <c r="J336" t="s">
        <v>284</v>
      </c>
      <c r="K336" s="34" t="s">
        <v>429</v>
      </c>
      <c r="L336" s="34" t="s">
        <v>447</v>
      </c>
      <c r="M336" s="34" t="s">
        <v>1929</v>
      </c>
      <c r="N336" s="34" t="str">
        <f t="shared" si="28"/>
        <v>Economic | eCommerce</v>
      </c>
      <c r="O336" t="s">
        <v>2232</v>
      </c>
      <c r="P336" s="109" t="s">
        <v>2233</v>
      </c>
      <c r="Q336" s="38"/>
      <c r="R336" s="38"/>
      <c r="S336" t="s">
        <v>2234</v>
      </c>
      <c r="T336">
        <v>2</v>
      </c>
      <c r="U336">
        <v>2</v>
      </c>
      <c r="V336">
        <v>2</v>
      </c>
      <c r="W336">
        <v>1</v>
      </c>
      <c r="X336" s="106">
        <f t="shared" si="25"/>
        <v>1.85</v>
      </c>
      <c r="Y336" s="34"/>
      <c r="Z336" s="34"/>
    </row>
    <row r="337" spans="1:26" hidden="1">
      <c r="A337" s="41">
        <f t="shared" si="29"/>
        <v>334</v>
      </c>
      <c r="B337" s="35" t="s">
        <v>2235</v>
      </c>
      <c r="C337" s="35" t="str">
        <f t="shared" si="26"/>
        <v>TNG Digital triển khai lương qua e-wallet cho lao động nhập cư Malaysia – Mô hình fintech for underserved</v>
      </c>
      <c r="D337" t="s">
        <v>144</v>
      </c>
      <c r="E337" s="105" t="str">
        <f>VLOOKUP(X337,'Updating-Scoring'!$C$2:$D$7,2,TRUE)</f>
        <v>2 - Minor signal</v>
      </c>
      <c r="F337">
        <f t="shared" si="27"/>
        <v>17</v>
      </c>
      <c r="G337" s="34">
        <v>46133</v>
      </c>
      <c r="H337" t="s">
        <v>2236</v>
      </c>
      <c r="I337" s="34">
        <v>46128</v>
      </c>
      <c r="J337" t="s">
        <v>284</v>
      </c>
      <c r="K337" s="34" t="s">
        <v>430</v>
      </c>
      <c r="L337" s="34" t="s">
        <v>447</v>
      </c>
      <c r="M337" s="34" t="s">
        <v>489</v>
      </c>
      <c r="N337" s="34" t="str">
        <f t="shared" si="28"/>
        <v>Economic | Fintech/ Wallet</v>
      </c>
      <c r="O337" t="s">
        <v>2237</v>
      </c>
      <c r="P337" s="109" t="s">
        <v>2238</v>
      </c>
      <c r="Q337" s="38"/>
      <c r="R337" s="38"/>
      <c r="S337" t="s">
        <v>2239</v>
      </c>
      <c r="T337">
        <v>2</v>
      </c>
      <c r="U337">
        <v>2</v>
      </c>
      <c r="V337">
        <v>2</v>
      </c>
      <c r="W337">
        <v>1</v>
      </c>
      <c r="X337" s="106">
        <f t="shared" ref="X337:X360" si="30">IF(G337&lt;DATE(2026,4,30),T337*$T$1+U337*$U$1+V337*$V$1+W337*$W$1,T337*$T$2+U337*$U$2)</f>
        <v>1.85</v>
      </c>
      <c r="Y337" s="34"/>
      <c r="Z337" s="34"/>
    </row>
    <row r="338" spans="1:26" hidden="1">
      <c r="A338" s="41">
        <f t="shared" si="29"/>
        <v>335</v>
      </c>
      <c r="B338" s="35" t="s">
        <v>2240</v>
      </c>
      <c r="C338" s="35" t="str">
        <f t="shared" si="26"/>
        <v>EU cấm mạng xã hội dưới 15 tuổi – Precedent bảo vệ trẻ em online lan sang VN</v>
      </c>
      <c r="D338" t="s">
        <v>85</v>
      </c>
      <c r="E338" s="105" t="str">
        <f>VLOOKUP(X338,'Updating-Scoring'!$C$2:$D$7,2,TRUE)</f>
        <v>2 - Minor signal</v>
      </c>
      <c r="F338">
        <f t="shared" si="27"/>
        <v>17</v>
      </c>
      <c r="G338" s="34">
        <v>46133</v>
      </c>
      <c r="H338" t="s">
        <v>2241</v>
      </c>
      <c r="I338" s="34">
        <v>46123</v>
      </c>
      <c r="J338" t="s">
        <v>284</v>
      </c>
      <c r="K338" s="34" t="s">
        <v>428</v>
      </c>
      <c r="L338" s="34" t="s">
        <v>453</v>
      </c>
      <c r="M338" s="34" t="s">
        <v>494</v>
      </c>
      <c r="N338" s="34" t="str">
        <f t="shared" si="28"/>
        <v>Legal | Social media regulation</v>
      </c>
      <c r="O338" t="s">
        <v>2242</v>
      </c>
      <c r="P338" s="109" t="s">
        <v>2243</v>
      </c>
      <c r="Q338" s="38"/>
      <c r="R338" s="38"/>
      <c r="S338" t="s">
        <v>2244</v>
      </c>
      <c r="T338">
        <v>2</v>
      </c>
      <c r="U338">
        <v>2</v>
      </c>
      <c r="V338">
        <v>2</v>
      </c>
      <c r="W338">
        <v>1</v>
      </c>
      <c r="X338" s="106">
        <f t="shared" si="30"/>
        <v>1.85</v>
      </c>
      <c r="Y338" s="34"/>
      <c r="Z338" s="34"/>
    </row>
    <row r="339" spans="1:26" hidden="1">
      <c r="A339" s="41">
        <f t="shared" si="29"/>
        <v>336</v>
      </c>
      <c r="B339" s="35" t="s">
        <v>2245</v>
      </c>
      <c r="C339" s="35" t="str">
        <f t="shared" si="26"/>
        <v>Anthropic đình chỉ API Claude của OpenClaw không báo trước – Rủi ro vendor lock-in AI</v>
      </c>
      <c r="D339" t="s">
        <v>144</v>
      </c>
      <c r="E339" s="105" t="str">
        <f>VLOOKUP(X339,'Updating-Scoring'!$C$2:$D$7,2,TRUE)</f>
        <v>2 - Minor signal</v>
      </c>
      <c r="F339">
        <f t="shared" si="27"/>
        <v>17</v>
      </c>
      <c r="G339" s="34">
        <v>46133</v>
      </c>
      <c r="H339" t="s">
        <v>2246</v>
      </c>
      <c r="I339" s="34">
        <v>46128</v>
      </c>
      <c r="J339" t="s">
        <v>284</v>
      </c>
      <c r="K339" s="34" t="s">
        <v>428</v>
      </c>
      <c r="L339" s="34" t="s">
        <v>451</v>
      </c>
      <c r="M339" s="34" t="s">
        <v>483</v>
      </c>
      <c r="N339" s="34" t="str">
        <f t="shared" si="28"/>
        <v>Technology | AI/ Gen AI</v>
      </c>
      <c r="O339" t="s">
        <v>2247</v>
      </c>
      <c r="P339" s="109" t="s">
        <v>2248</v>
      </c>
      <c r="Q339" s="38"/>
      <c r="R339" s="38"/>
      <c r="S339" t="s">
        <v>2249</v>
      </c>
      <c r="T339">
        <v>2</v>
      </c>
      <c r="U339">
        <v>2</v>
      </c>
      <c r="V339">
        <v>2</v>
      </c>
      <c r="W339">
        <v>1</v>
      </c>
      <c r="X339" s="106">
        <f t="shared" si="30"/>
        <v>1.85</v>
      </c>
      <c r="Y339" s="34"/>
      <c r="Z339" s="34"/>
    </row>
    <row r="340" spans="1:26" hidden="1">
      <c r="A340" s="41">
        <f t="shared" si="29"/>
        <v>337</v>
      </c>
      <c r="B340" s="35" t="s">
        <v>2250</v>
      </c>
      <c r="C340" s="35" t="str">
        <f t="shared" si="26"/>
        <v>Rủi ro bảo mật SMB VN gia tăng – Cơ hội cho tính năng bảo mật B2B tích hợp trong hệ sinh thái merchant</v>
      </c>
      <c r="D340" t="s">
        <v>119</v>
      </c>
      <c r="E340" s="105" t="str">
        <f>VLOOKUP(X340,'Updating-Scoring'!$C$2:$D$7,2,TRUE)</f>
        <v>2 - Minor signal</v>
      </c>
      <c r="F340">
        <f t="shared" si="27"/>
        <v>17</v>
      </c>
      <c r="G340" s="34">
        <v>46133</v>
      </c>
      <c r="H340" t="s">
        <v>2251</v>
      </c>
      <c r="I340" s="34">
        <v>46128</v>
      </c>
      <c r="J340" t="s">
        <v>284</v>
      </c>
      <c r="K340" s="34" t="s">
        <v>431</v>
      </c>
      <c r="L340" s="34" t="s">
        <v>451</v>
      </c>
      <c r="M340" s="34" t="s">
        <v>487</v>
      </c>
      <c r="N340" s="34" t="str">
        <f t="shared" si="28"/>
        <v>Technology | Cybersecurity</v>
      </c>
      <c r="O340" t="s">
        <v>2252</v>
      </c>
      <c r="P340" s="109" t="s">
        <v>2253</v>
      </c>
      <c r="Q340" s="38"/>
      <c r="R340" s="38"/>
      <c r="S340" t="s">
        <v>2254</v>
      </c>
      <c r="T340">
        <v>2</v>
      </c>
      <c r="U340">
        <v>2</v>
      </c>
      <c r="V340">
        <v>2</v>
      </c>
      <c r="W340">
        <v>1</v>
      </c>
      <c r="X340" s="106">
        <f t="shared" si="30"/>
        <v>1.85</v>
      </c>
      <c r="Y340" s="34"/>
      <c r="Z340" s="34"/>
    </row>
    <row r="341" spans="1:26" hidden="1">
      <c r="A341" s="41">
        <f t="shared" si="29"/>
        <v>338</v>
      </c>
      <c r="B341" s="35" t="s">
        <v>2255</v>
      </c>
      <c r="C341" s="35" t="str">
        <f t="shared" si="26"/>
        <v>YouTube trì hoãn ads trong peak engagement livestream – Tín hiệu nhỏ cho live commerce VN</v>
      </c>
      <c r="D341" t="s">
        <v>1012</v>
      </c>
      <c r="E341" s="105" t="str">
        <f>VLOOKUP(X341,'Updating-Scoring'!$C$2:$D$7,2,TRUE)</f>
        <v>2 - Minor signal</v>
      </c>
      <c r="F341">
        <f t="shared" si="27"/>
        <v>17</v>
      </c>
      <c r="G341" s="34">
        <v>46133</v>
      </c>
      <c r="H341" t="s">
        <v>2256</v>
      </c>
      <c r="I341" s="34">
        <v>46126</v>
      </c>
      <c r="J341" t="s">
        <v>284</v>
      </c>
      <c r="K341" s="34" t="s">
        <v>428</v>
      </c>
      <c r="L341" s="34" t="s">
        <v>451</v>
      </c>
      <c r="M341" s="34" t="s">
        <v>488</v>
      </c>
      <c r="N341" s="34" t="str">
        <f t="shared" si="28"/>
        <v>Technology | Platform policy</v>
      </c>
      <c r="O341" t="s">
        <v>2257</v>
      </c>
      <c r="P341" s="109" t="s">
        <v>2258</v>
      </c>
      <c r="Q341" s="38"/>
      <c r="R341" s="38"/>
      <c r="S341" t="s">
        <v>2259</v>
      </c>
      <c r="T341">
        <v>2</v>
      </c>
      <c r="U341">
        <v>2</v>
      </c>
      <c r="V341">
        <v>2</v>
      </c>
      <c r="W341">
        <v>1</v>
      </c>
      <c r="X341" s="106">
        <f t="shared" si="30"/>
        <v>1.85</v>
      </c>
      <c r="Y341" s="34"/>
      <c r="Z341" s="34"/>
    </row>
    <row r="342" spans="1:26" hidden="1">
      <c r="A342" s="41">
        <f t="shared" si="29"/>
        <v>339</v>
      </c>
      <c r="B342" s="35" t="s">
        <v>2260</v>
      </c>
      <c r="C342" s="35" t="str">
        <f t="shared" si="26"/>
        <v>Trung Quốc tuyển tài năng AI từ Silicon Valley – Cuộc chiến nhân lực AI cấp quốc gia</v>
      </c>
      <c r="D342" t="s">
        <v>104</v>
      </c>
      <c r="E342" s="105" t="str">
        <f>VLOOKUP(X342,'Updating-Scoring'!$C$2:$D$7,2,TRUE)</f>
        <v>1 - Noise</v>
      </c>
      <c r="F342">
        <f t="shared" si="27"/>
        <v>17</v>
      </c>
      <c r="G342" s="34">
        <v>46133</v>
      </c>
      <c r="H342" t="s">
        <v>2261</v>
      </c>
      <c r="I342" s="34">
        <v>46126</v>
      </c>
      <c r="J342" t="s">
        <v>284</v>
      </c>
      <c r="K342" s="34" t="s">
        <v>429</v>
      </c>
      <c r="L342" s="34" t="s">
        <v>449</v>
      </c>
      <c r="M342" s="34" t="s">
        <v>482</v>
      </c>
      <c r="N342" s="34" t="str">
        <f t="shared" si="28"/>
        <v>Social | Digital workforce</v>
      </c>
      <c r="O342" t="s">
        <v>2262</v>
      </c>
      <c r="P342" s="109" t="s">
        <v>2263</v>
      </c>
      <c r="Q342" s="38"/>
      <c r="R342" s="38"/>
      <c r="S342" t="s">
        <v>2264</v>
      </c>
      <c r="T342">
        <v>2</v>
      </c>
      <c r="U342">
        <v>2</v>
      </c>
      <c r="V342">
        <v>1</v>
      </c>
      <c r="W342">
        <v>2</v>
      </c>
      <c r="X342" s="106">
        <f t="shared" si="30"/>
        <v>1.8</v>
      </c>
      <c r="Y342" s="34"/>
      <c r="Z342" s="34"/>
    </row>
    <row r="343" spans="1:26" hidden="1">
      <c r="A343" s="41">
        <f t="shared" si="29"/>
        <v>340</v>
      </c>
      <c r="B343" s="35" t="s">
        <v>2265</v>
      </c>
      <c r="C343" s="35" t="str">
        <f t="shared" si="26"/>
        <v>Khoảng cách AI với người khuyết tật – Tín hiệu accessibility cần đưa vào lộ trình product</v>
      </c>
      <c r="D343" t="s">
        <v>104</v>
      </c>
      <c r="E343" s="105" t="str">
        <f>VLOOKUP(X343,'Updating-Scoring'!$C$2:$D$7,2,TRUE)</f>
        <v>1 - Noise</v>
      </c>
      <c r="F343">
        <f t="shared" si="27"/>
        <v>17</v>
      </c>
      <c r="G343" s="34">
        <v>46133</v>
      </c>
      <c r="H343" t="s">
        <v>2266</v>
      </c>
      <c r="I343" s="34">
        <v>46127</v>
      </c>
      <c r="J343" t="s">
        <v>284</v>
      </c>
      <c r="K343" s="34" t="s">
        <v>431</v>
      </c>
      <c r="L343" s="34" t="s">
        <v>449</v>
      </c>
      <c r="M343" s="34" t="s">
        <v>2267</v>
      </c>
      <c r="N343" s="34" t="str">
        <f t="shared" si="28"/>
        <v>Social | Digital inclusion</v>
      </c>
      <c r="O343" t="s">
        <v>2268</v>
      </c>
      <c r="P343" s="109" t="s">
        <v>2269</v>
      </c>
      <c r="Q343" s="38"/>
      <c r="R343" s="38"/>
      <c r="S343" t="s">
        <v>2270</v>
      </c>
      <c r="T343">
        <v>2</v>
      </c>
      <c r="U343">
        <v>2</v>
      </c>
      <c r="V343">
        <v>1</v>
      </c>
      <c r="W343">
        <v>2</v>
      </c>
      <c r="X343" s="106">
        <f t="shared" si="30"/>
        <v>1.8</v>
      </c>
      <c r="Y343" s="34"/>
      <c r="Z343" s="34"/>
    </row>
    <row r="344" spans="1:26" hidden="1">
      <c r="A344" s="41">
        <f t="shared" si="29"/>
        <v>341</v>
      </c>
      <c r="B344" s="35" t="s">
        <v>2271</v>
      </c>
      <c r="C344" s="35" t="str">
        <f t="shared" si="26"/>
        <v>Chiến lược AI giáo dục Trung Quốc 2030 – Benchmark chính sách nhân lực AI cho VN</v>
      </c>
      <c r="D344" t="s">
        <v>104</v>
      </c>
      <c r="E344" s="105" t="str">
        <f>VLOOKUP(X344,'Updating-Scoring'!$C$2:$D$7,2,TRUE)</f>
        <v>1 - Noise</v>
      </c>
      <c r="F344">
        <f t="shared" si="27"/>
        <v>17</v>
      </c>
      <c r="G344" s="34">
        <v>46133</v>
      </c>
      <c r="H344" t="s">
        <v>2272</v>
      </c>
      <c r="I344" s="34">
        <v>46126</v>
      </c>
      <c r="J344" t="s">
        <v>284</v>
      </c>
      <c r="K344" s="34" t="s">
        <v>429</v>
      </c>
      <c r="L344" s="34" t="s">
        <v>451</v>
      </c>
      <c r="M344" s="34" t="s">
        <v>483</v>
      </c>
      <c r="N344" s="34" t="str">
        <f t="shared" si="28"/>
        <v>Technology | AI/ Gen AI</v>
      </c>
      <c r="O344" t="s">
        <v>2273</v>
      </c>
      <c r="P344" s="109" t="s">
        <v>2274</v>
      </c>
      <c r="Q344" s="38"/>
      <c r="R344" s="38"/>
      <c r="S344" t="s">
        <v>2275</v>
      </c>
      <c r="T344">
        <v>2</v>
      </c>
      <c r="U344">
        <v>2</v>
      </c>
      <c r="V344">
        <v>1</v>
      </c>
      <c r="W344">
        <v>2</v>
      </c>
      <c r="X344" s="106">
        <f t="shared" si="30"/>
        <v>1.8</v>
      </c>
      <c r="Y344" s="34"/>
      <c r="Z344" s="34"/>
    </row>
    <row r="345" spans="1:26" hidden="1">
      <c r="A345" s="41">
        <f t="shared" si="29"/>
        <v>342</v>
      </c>
      <c r="B345" s="35" t="s">
        <v>2276</v>
      </c>
      <c r="C345" s="35" t="str">
        <f t="shared" si="26"/>
        <v>Gizmo AI learning 13M users nhận $22M – EdTech AI tăng tốc</v>
      </c>
      <c r="D345" t="s">
        <v>1012</v>
      </c>
      <c r="E345" s="105" t="str">
        <f>VLOOKUP(X345,'Updating-Scoring'!$C$2:$D$7,2,TRUE)</f>
        <v>1 - Noise</v>
      </c>
      <c r="F345">
        <f t="shared" si="27"/>
        <v>17</v>
      </c>
      <c r="G345" s="34">
        <v>46133</v>
      </c>
      <c r="H345" t="s">
        <v>2277</v>
      </c>
      <c r="I345" s="34">
        <v>46127</v>
      </c>
      <c r="J345" t="s">
        <v>284</v>
      </c>
      <c r="K345" s="34" t="s">
        <v>428</v>
      </c>
      <c r="L345" s="34" t="s">
        <v>451</v>
      </c>
      <c r="M345" s="34" t="s">
        <v>2278</v>
      </c>
      <c r="N345" s="34" t="str">
        <f t="shared" si="28"/>
        <v>Technology | EdTech</v>
      </c>
      <c r="O345" t="s">
        <v>2279</v>
      </c>
      <c r="P345" s="109" t="s">
        <v>2280</v>
      </c>
      <c r="Q345" s="38"/>
      <c r="R345" s="38"/>
      <c r="S345" t="s">
        <v>2281</v>
      </c>
      <c r="T345">
        <v>2</v>
      </c>
      <c r="U345">
        <v>2</v>
      </c>
      <c r="V345">
        <v>1</v>
      </c>
      <c r="W345">
        <v>2</v>
      </c>
      <c r="X345" s="106">
        <f t="shared" si="30"/>
        <v>1.8</v>
      </c>
      <c r="Y345" s="34"/>
      <c r="Z345" s="34"/>
    </row>
    <row r="346" spans="1:26" hidden="1">
      <c r="A346" s="41">
        <f t="shared" si="29"/>
        <v>343</v>
      </c>
      <c r="B346" s="35" t="s">
        <v>2282</v>
      </c>
      <c r="C346" s="35" t="str">
        <f t="shared" si="26"/>
        <v>Roblox tạo tài khoản trẻ em riêng – Tiêu chuẩn mới cho nền tảng số phục vụ trẻ em</v>
      </c>
      <c r="D346" t="s">
        <v>138</v>
      </c>
      <c r="E346" s="105" t="str">
        <f>VLOOKUP(X346,'Updating-Scoring'!$C$2:$D$7,2,TRUE)</f>
        <v>1 - Noise</v>
      </c>
      <c r="F346">
        <f t="shared" si="27"/>
        <v>17</v>
      </c>
      <c r="G346" s="34">
        <v>46133</v>
      </c>
      <c r="H346" t="s">
        <v>2283</v>
      </c>
      <c r="I346" s="34">
        <v>46125</v>
      </c>
      <c r="J346" t="s">
        <v>284</v>
      </c>
      <c r="K346" s="34" t="s">
        <v>428</v>
      </c>
      <c r="L346" s="34" t="s">
        <v>453</v>
      </c>
      <c r="M346" s="34" t="s">
        <v>494</v>
      </c>
      <c r="N346" s="34" t="str">
        <f t="shared" si="28"/>
        <v>Legal | Social media regulation</v>
      </c>
      <c r="O346" t="s">
        <v>2284</v>
      </c>
      <c r="P346" s="109" t="s">
        <v>2285</v>
      </c>
      <c r="Q346" s="38"/>
      <c r="R346" s="38"/>
      <c r="S346" t="s">
        <v>2286</v>
      </c>
      <c r="T346">
        <v>2</v>
      </c>
      <c r="U346">
        <v>2</v>
      </c>
      <c r="V346">
        <v>1</v>
      </c>
      <c r="W346">
        <v>1</v>
      </c>
      <c r="X346" s="106">
        <f t="shared" si="30"/>
        <v>1.65</v>
      </c>
      <c r="Y346" s="34"/>
      <c r="Z346" s="34"/>
    </row>
    <row r="347" spans="1:26" hidden="1">
      <c r="A347" s="41">
        <f t="shared" si="29"/>
        <v>344</v>
      </c>
      <c r="B347" s="35" t="s">
        <v>2287</v>
      </c>
      <c r="C347" s="35" t="str">
        <f t="shared" si="26"/>
        <v>Phổ cập tên miền .vn tiếng Việt – Hỗ trợ số hóa SME, tác động gián tiếp đến hệ sinh thái merchant</v>
      </c>
      <c r="D347" t="s">
        <v>119</v>
      </c>
      <c r="E347" s="105" t="str">
        <f>VLOOKUP(X347,'Updating-Scoring'!$C$2:$D$7,2,TRUE)</f>
        <v>1 - Noise</v>
      </c>
      <c r="F347">
        <f t="shared" si="27"/>
        <v>17</v>
      </c>
      <c r="G347" s="34">
        <v>46133</v>
      </c>
      <c r="H347" t="s">
        <v>2288</v>
      </c>
      <c r="I347" s="34">
        <v>46129</v>
      </c>
      <c r="J347" t="s">
        <v>284</v>
      </c>
      <c r="K347" s="34" t="s">
        <v>431</v>
      </c>
      <c r="L347" s="34" t="s">
        <v>451</v>
      </c>
      <c r="M347" s="34" t="s">
        <v>2226</v>
      </c>
      <c r="N347" s="34" t="str">
        <f t="shared" si="28"/>
        <v>Technology | Digital infrastructure</v>
      </c>
      <c r="O347" t="s">
        <v>2289</v>
      </c>
      <c r="P347" s="109" t="s">
        <v>2290</v>
      </c>
      <c r="Q347" s="38"/>
      <c r="R347" s="38"/>
      <c r="S347" t="s">
        <v>2291</v>
      </c>
      <c r="T347">
        <v>2</v>
      </c>
      <c r="U347">
        <v>2</v>
      </c>
      <c r="V347">
        <v>1</v>
      </c>
      <c r="W347">
        <v>1</v>
      </c>
      <c r="X347" s="106">
        <f t="shared" si="30"/>
        <v>1.65</v>
      </c>
      <c r="Y347" s="34"/>
      <c r="Z347" s="34"/>
    </row>
    <row r="348" spans="1:26" hidden="1">
      <c r="A348" s="41">
        <f t="shared" si="29"/>
        <v>345</v>
      </c>
      <c r="B348" s="35" t="s">
        <v>2292</v>
      </c>
      <c r="C348" s="35" t="str">
        <f t="shared" si="26"/>
        <v>Google Photos thêm AI chỉnh ảnh – Tính năng UX nhỏ không ảnh hưởng chiến lược</v>
      </c>
      <c r="D348" t="s">
        <v>1012</v>
      </c>
      <c r="E348" s="105" t="str">
        <f>VLOOKUP(X348,'Updating-Scoring'!$C$2:$D$7,2,TRUE)</f>
        <v>1 - Noise</v>
      </c>
      <c r="F348">
        <f t="shared" si="27"/>
        <v>17</v>
      </c>
      <c r="G348" s="34">
        <v>46133</v>
      </c>
      <c r="H348" t="s">
        <v>2293</v>
      </c>
      <c r="I348" s="34">
        <v>46132</v>
      </c>
      <c r="J348" t="s">
        <v>284</v>
      </c>
      <c r="K348" s="34" t="s">
        <v>428</v>
      </c>
      <c r="L348" s="34" t="s">
        <v>451</v>
      </c>
      <c r="M348" s="34" t="s">
        <v>483</v>
      </c>
      <c r="N348" s="34" t="str">
        <f t="shared" si="28"/>
        <v>Technology | AI/ Gen AI</v>
      </c>
      <c r="O348" t="s">
        <v>2294</v>
      </c>
      <c r="P348" s="109" t="s">
        <v>2295</v>
      </c>
      <c r="Q348" s="38"/>
      <c r="R348" s="38"/>
      <c r="S348" t="s">
        <v>2296</v>
      </c>
      <c r="T348">
        <v>1</v>
      </c>
      <c r="U348">
        <v>2</v>
      </c>
      <c r="V348">
        <v>1</v>
      </c>
      <c r="W348">
        <v>2</v>
      </c>
      <c r="X348" s="106">
        <f t="shared" si="30"/>
        <v>1.4000000000000001</v>
      </c>
      <c r="Y348" s="34"/>
      <c r="Z348" s="34"/>
    </row>
    <row r="349" spans="1:26" hidden="1">
      <c r="A349" s="41">
        <f t="shared" si="29"/>
        <v>346</v>
      </c>
      <c r="B349" s="35" t="s">
        <v>2297</v>
      </c>
      <c r="C349" s="35" t="str">
        <f t="shared" si="26"/>
        <v>Thương vụ creator TikTok 975 triệu USD thất bại – Bong bóng định giá creator economy đang xì hơi</v>
      </c>
      <c r="D349" t="s">
        <v>85</v>
      </c>
      <c r="E349" s="105" t="str">
        <f>VLOOKUP(X349,'Updating-Scoring'!$C$2:$D$7,2,TRUE)</f>
        <v>1 - Noise</v>
      </c>
      <c r="F349">
        <f t="shared" si="27"/>
        <v>17</v>
      </c>
      <c r="G349" s="34">
        <v>46133</v>
      </c>
      <c r="H349" t="s">
        <v>2298</v>
      </c>
      <c r="I349" s="34">
        <v>46123</v>
      </c>
      <c r="J349" t="s">
        <v>284</v>
      </c>
      <c r="K349" s="34" t="s">
        <v>428</v>
      </c>
      <c r="L349" s="34" t="s">
        <v>447</v>
      </c>
      <c r="M349" s="34" t="s">
        <v>2299</v>
      </c>
      <c r="N349" s="34" t="str">
        <f t="shared" si="28"/>
        <v>Economic | Capital market</v>
      </c>
      <c r="O349" t="s">
        <v>2300</v>
      </c>
      <c r="P349" s="109" t="s">
        <v>2301</v>
      </c>
      <c r="Q349" s="38"/>
      <c r="R349" s="38"/>
      <c r="S349" t="s">
        <v>2302</v>
      </c>
      <c r="T349">
        <v>1</v>
      </c>
      <c r="U349">
        <v>2</v>
      </c>
      <c r="V349">
        <v>1</v>
      </c>
      <c r="W349">
        <v>1</v>
      </c>
      <c r="X349" s="106">
        <f t="shared" si="30"/>
        <v>1.25</v>
      </c>
      <c r="Y349" s="34"/>
      <c r="Z349" s="34"/>
    </row>
    <row r="350" spans="1:26" hidden="1">
      <c r="A350" s="41">
        <f t="shared" si="29"/>
        <v>347</v>
      </c>
      <c r="B350" s="35" t="s">
        <v>2303</v>
      </c>
      <c r="C350" s="35" t="str">
        <f t="shared" si="26"/>
        <v>Roku vượt 100 triệu người dùng nhờ quảng cáo connected TV – Không liên quan VN</v>
      </c>
      <c r="D350" t="s">
        <v>138</v>
      </c>
      <c r="E350" s="105" t="str">
        <f>VLOOKUP(X350,'Updating-Scoring'!$C$2:$D$7,2,TRUE)</f>
        <v>1 - Noise</v>
      </c>
      <c r="F350">
        <f t="shared" si="27"/>
        <v>17</v>
      </c>
      <c r="G350" s="34">
        <v>46133</v>
      </c>
      <c r="H350" t="s">
        <v>2304</v>
      </c>
      <c r="I350" s="34">
        <v>46128</v>
      </c>
      <c r="J350" t="s">
        <v>284</v>
      </c>
      <c r="K350" s="34" t="s">
        <v>428</v>
      </c>
      <c r="L350" s="34" t="s">
        <v>451</v>
      </c>
      <c r="M350" s="34" t="s">
        <v>2305</v>
      </c>
      <c r="N350" s="34" t="str">
        <f t="shared" si="28"/>
        <v>Technology | Ad tech</v>
      </c>
      <c r="O350" t="s">
        <v>2306</v>
      </c>
      <c r="P350" s="109" t="s">
        <v>2307</v>
      </c>
      <c r="Q350" s="38"/>
      <c r="R350" s="38"/>
      <c r="S350" t="s">
        <v>2308</v>
      </c>
      <c r="T350">
        <v>1</v>
      </c>
      <c r="U350">
        <v>2</v>
      </c>
      <c r="V350">
        <v>1</v>
      </c>
      <c r="W350">
        <v>1</v>
      </c>
      <c r="X350" s="106">
        <f t="shared" si="30"/>
        <v>1.25</v>
      </c>
      <c r="Y350" s="34"/>
      <c r="Z350" s="34"/>
    </row>
    <row r="351" spans="1:26" hidden="1">
      <c r="A351" s="41">
        <f t="shared" si="29"/>
        <v>348</v>
      </c>
      <c r="B351" s="35" t="s">
        <v>2309</v>
      </c>
      <c r="C351" s="35" t="str">
        <f t="shared" si="26"/>
        <v>Messenger lỗi đồng bộ lịch sử chat – Vấn đề kỹ thuật nhỏ không ảnh hưởng chiến lược</v>
      </c>
      <c r="D351" t="s">
        <v>1927</v>
      </c>
      <c r="E351" s="105" t="str">
        <f>VLOOKUP(X351,'Updating-Scoring'!$C$2:$D$7,2,TRUE)</f>
        <v>1 - Noise</v>
      </c>
      <c r="F351">
        <f t="shared" si="27"/>
        <v>17</v>
      </c>
      <c r="G351" s="34">
        <v>46133</v>
      </c>
      <c r="H351" t="s">
        <v>2310</v>
      </c>
      <c r="I351" s="34">
        <v>46128</v>
      </c>
      <c r="J351" t="s">
        <v>284</v>
      </c>
      <c r="K351" s="34" t="s">
        <v>428</v>
      </c>
      <c r="L351" s="34" t="s">
        <v>451</v>
      </c>
      <c r="M351" s="34" t="s">
        <v>1981</v>
      </c>
      <c r="N351" s="34" t="str">
        <f t="shared" si="28"/>
        <v>Technology | Messaging/ Social</v>
      </c>
      <c r="O351" t="s">
        <v>2311</v>
      </c>
      <c r="P351" s="109" t="s">
        <v>2312</v>
      </c>
      <c r="Q351" s="38"/>
      <c r="R351" s="38"/>
      <c r="S351" t="s">
        <v>2313</v>
      </c>
      <c r="T351">
        <v>1</v>
      </c>
      <c r="U351">
        <v>2</v>
      </c>
      <c r="V351">
        <v>1</v>
      </c>
      <c r="W351">
        <v>1</v>
      </c>
      <c r="X351" s="106">
        <f t="shared" si="30"/>
        <v>1.25</v>
      </c>
      <c r="Y351" s="34"/>
      <c r="Z351" s="34"/>
    </row>
    <row r="352" spans="1:26" hidden="1">
      <c r="A352" s="41">
        <f t="shared" si="29"/>
        <v>349</v>
      </c>
      <c r="B352" s="35" t="s">
        <v>2314</v>
      </c>
      <c r="C352" s="35" t="str">
        <f t="shared" si="26"/>
        <v>Token ONUS VN về 0 – Cảnh báo rủi ro crypto nội địa</v>
      </c>
      <c r="D352" t="s">
        <v>119</v>
      </c>
      <c r="E352" s="105" t="str">
        <f>VLOOKUP(X352,'Updating-Scoring'!$C$2:$D$7,2,TRUE)</f>
        <v>1 - Noise</v>
      </c>
      <c r="F352">
        <f t="shared" ref="F352:F360" si="31">WEEKNUM(G352,2)</f>
        <v>17</v>
      </c>
      <c r="G352" s="34">
        <v>46133</v>
      </c>
      <c r="H352" t="s">
        <v>2315</v>
      </c>
      <c r="I352" s="34">
        <v>46124</v>
      </c>
      <c r="J352" t="s">
        <v>284</v>
      </c>
      <c r="K352" s="34" t="s">
        <v>431</v>
      </c>
      <c r="L352" s="34" t="s">
        <v>447</v>
      </c>
      <c r="M352" s="34" t="s">
        <v>2205</v>
      </c>
      <c r="N352" s="34" t="str">
        <f t="shared" si="28"/>
        <v>Economic | Crypto/ Blockchain</v>
      </c>
      <c r="O352" t="s">
        <v>2316</v>
      </c>
      <c r="P352" s="109" t="s">
        <v>2317</v>
      </c>
      <c r="Q352" s="38"/>
      <c r="R352" s="38"/>
      <c r="S352" t="s">
        <v>2318</v>
      </c>
      <c r="T352">
        <v>1</v>
      </c>
      <c r="U352">
        <v>2</v>
      </c>
      <c r="V352">
        <v>1</v>
      </c>
      <c r="W352">
        <v>1</v>
      </c>
      <c r="X352" s="106">
        <f t="shared" si="30"/>
        <v>1.25</v>
      </c>
      <c r="Y352" s="34"/>
      <c r="Z352" s="34"/>
    </row>
    <row r="353" spans="1:26" hidden="1">
      <c r="A353" s="41">
        <f t="shared" si="29"/>
        <v>350</v>
      </c>
      <c r="B353" s="35" t="s">
        <v>2319</v>
      </c>
      <c r="C353" s="35" t="str">
        <f t="shared" si="26"/>
        <v>Tuyên bố AI nguy hiểm của Anthropic bị cộng đồng bảo mật phản bác là chiêu trò marketing</v>
      </c>
      <c r="D353" t="s">
        <v>85</v>
      </c>
      <c r="E353" s="105" t="str">
        <f>VLOOKUP(X353,'Updating-Scoring'!$C$2:$D$7,2,TRUE)</f>
        <v>1 - Noise</v>
      </c>
      <c r="F353">
        <f t="shared" si="31"/>
        <v>17</v>
      </c>
      <c r="G353" s="34">
        <v>46133</v>
      </c>
      <c r="H353" t="s">
        <v>2320</v>
      </c>
      <c r="I353" s="34">
        <v>46123</v>
      </c>
      <c r="J353" t="s">
        <v>284</v>
      </c>
      <c r="K353" s="34" t="s">
        <v>428</v>
      </c>
      <c r="L353" s="34" t="s">
        <v>451</v>
      </c>
      <c r="M353" s="34" t="s">
        <v>483</v>
      </c>
      <c r="N353" s="34" t="str">
        <f t="shared" si="28"/>
        <v>Technology | AI/ Gen AI</v>
      </c>
      <c r="O353" t="s">
        <v>2321</v>
      </c>
      <c r="P353" s="109" t="s">
        <v>2322</v>
      </c>
      <c r="Q353" s="38"/>
      <c r="R353" s="38"/>
      <c r="S353" t="s">
        <v>2323</v>
      </c>
      <c r="T353">
        <v>1</v>
      </c>
      <c r="U353">
        <v>1</v>
      </c>
      <c r="V353">
        <v>2</v>
      </c>
      <c r="W353">
        <v>1</v>
      </c>
      <c r="X353" s="106">
        <f t="shared" si="30"/>
        <v>1.2</v>
      </c>
      <c r="Y353" s="34"/>
      <c r="Z353" s="34"/>
    </row>
    <row r="354" spans="1:26" hidden="1">
      <c r="A354" s="41">
        <f t="shared" si="29"/>
        <v>351</v>
      </c>
      <c r="B354" s="35" t="s">
        <v>2324</v>
      </c>
      <c r="C354" s="35" t="str">
        <f t="shared" si="26"/>
        <v>Chiến lược đầu tư AI: khi nào vào nhanh khi nào chờ – Quan điểm VC SEA</v>
      </c>
      <c r="D354" t="s">
        <v>144</v>
      </c>
      <c r="E354" s="105" t="str">
        <f>VLOOKUP(X354,'Updating-Scoring'!$C$2:$D$7,2,TRUE)</f>
        <v>1 - Noise</v>
      </c>
      <c r="F354">
        <f t="shared" si="31"/>
        <v>17</v>
      </c>
      <c r="G354" s="34">
        <v>46133</v>
      </c>
      <c r="H354" t="s">
        <v>2325</v>
      </c>
      <c r="I354" s="34">
        <v>46127</v>
      </c>
      <c r="J354" t="s">
        <v>284</v>
      </c>
      <c r="K354" s="34" t="s">
        <v>428</v>
      </c>
      <c r="L354" s="34" t="s">
        <v>447</v>
      </c>
      <c r="M354" s="34" t="s">
        <v>782</v>
      </c>
      <c r="N354" s="34" t="str">
        <f t="shared" ref="N354:N360" si="32">L354&amp;" | "&amp;M354</f>
        <v>Economic | Fintech funding/ investment</v>
      </c>
      <c r="O354" t="s">
        <v>2326</v>
      </c>
      <c r="P354" s="109" t="s">
        <v>2327</v>
      </c>
      <c r="Q354" s="38"/>
      <c r="R354" s="38"/>
      <c r="S354" t="s">
        <v>2328</v>
      </c>
      <c r="T354">
        <v>1</v>
      </c>
      <c r="U354">
        <v>1</v>
      </c>
      <c r="V354">
        <v>1</v>
      </c>
      <c r="W354">
        <v>1</v>
      </c>
      <c r="X354" s="106">
        <f t="shared" si="30"/>
        <v>1</v>
      </c>
      <c r="Y354" s="34"/>
      <c r="Z354" s="34"/>
    </row>
    <row r="355" spans="1:26" hidden="1">
      <c r="A355" s="41">
        <f t="shared" si="29"/>
        <v>352</v>
      </c>
      <c r="B355" s="35" t="s">
        <v>2329</v>
      </c>
      <c r="C355" s="35" t="str">
        <f t="shared" si="26"/>
        <v>Gigs – App lưu trữ lịch sử concert niche, không liên quan VN</v>
      </c>
      <c r="D355" t="s">
        <v>1012</v>
      </c>
      <c r="E355" s="105" t="str">
        <f>VLOOKUP(X355,'Updating-Scoring'!$C$2:$D$7,2,TRUE)</f>
        <v>1 - Noise</v>
      </c>
      <c r="F355">
        <f t="shared" si="31"/>
        <v>17</v>
      </c>
      <c r="G355" s="34">
        <v>46133</v>
      </c>
      <c r="H355" t="s">
        <v>2330</v>
      </c>
      <c r="I355" s="34">
        <v>46129</v>
      </c>
      <c r="J355" t="s">
        <v>284</v>
      </c>
      <c r="K355" s="34" t="s">
        <v>428</v>
      </c>
      <c r="L355" s="34" t="s">
        <v>451</v>
      </c>
      <c r="M355" s="34" t="s">
        <v>2331</v>
      </c>
      <c r="N355" s="34" t="str">
        <f t="shared" si="32"/>
        <v>Technology | Entertainment</v>
      </c>
      <c r="O355" t="s">
        <v>2332</v>
      </c>
      <c r="P355" s="109" t="s">
        <v>2333</v>
      </c>
      <c r="Q355" s="38"/>
      <c r="R355" s="38"/>
      <c r="S355" t="s">
        <v>2334</v>
      </c>
      <c r="T355">
        <v>1</v>
      </c>
      <c r="U355">
        <v>1</v>
      </c>
      <c r="V355">
        <v>1</v>
      </c>
      <c r="W355">
        <v>1</v>
      </c>
      <c r="X355" s="106">
        <f t="shared" si="30"/>
        <v>1</v>
      </c>
      <c r="Y355" s="34"/>
      <c r="Z355" s="34"/>
    </row>
    <row r="356" spans="1:26" hidden="1">
      <c r="A356" s="41">
        <f t="shared" si="29"/>
        <v>353</v>
      </c>
      <c r="B356" s="35" t="s">
        <v>2335</v>
      </c>
      <c r="C356" s="35" t="str">
        <f t="shared" si="26"/>
        <v>Freecash gian lận lên top App Store – Lỗ hổng kiểm duyệt app</v>
      </c>
      <c r="D356" t="s">
        <v>1012</v>
      </c>
      <c r="E356" s="105" t="str">
        <f>VLOOKUP(X356,'Updating-Scoring'!$C$2:$D$7,2,TRUE)</f>
        <v>1 - Noise</v>
      </c>
      <c r="F356">
        <f t="shared" si="31"/>
        <v>17</v>
      </c>
      <c r="G356" s="34">
        <v>46133</v>
      </c>
      <c r="H356" t="s">
        <v>2336</v>
      </c>
      <c r="I356" s="34">
        <v>46126</v>
      </c>
      <c r="J356" t="s">
        <v>284</v>
      </c>
      <c r="K356" s="34" t="s">
        <v>428</v>
      </c>
      <c r="L356" s="34" t="s">
        <v>451</v>
      </c>
      <c r="M356" s="34" t="s">
        <v>488</v>
      </c>
      <c r="N356" s="34" t="str">
        <f t="shared" si="32"/>
        <v>Technology | Platform policy</v>
      </c>
      <c r="O356" t="s">
        <v>2337</v>
      </c>
      <c r="P356" s="109" t="s">
        <v>2338</v>
      </c>
      <c r="Q356" s="38"/>
      <c r="R356" s="38"/>
      <c r="S356" t="s">
        <v>2339</v>
      </c>
      <c r="T356">
        <v>1</v>
      </c>
      <c r="U356">
        <v>1</v>
      </c>
      <c r="V356">
        <v>1</v>
      </c>
      <c r="W356">
        <v>1</v>
      </c>
      <c r="X356" s="106">
        <f t="shared" si="30"/>
        <v>1</v>
      </c>
      <c r="Y356" s="34"/>
      <c r="Z356" s="34"/>
    </row>
    <row r="357" spans="1:26" hidden="1">
      <c r="A357" s="41">
        <f t="shared" si="29"/>
        <v>354</v>
      </c>
      <c r="B357" s="35" t="s">
        <v>2340</v>
      </c>
      <c r="C357" s="35" t="str">
        <f t="shared" si="26"/>
        <v>Fathom ra tính năng họp không cần bot – Productivity AI niche, không liên quan VN</v>
      </c>
      <c r="D357" t="s">
        <v>1012</v>
      </c>
      <c r="E357" s="105" t="str">
        <f>VLOOKUP(X357,'Updating-Scoring'!$C$2:$D$7,2,TRUE)</f>
        <v>1 - Noise</v>
      </c>
      <c r="F357">
        <f t="shared" si="31"/>
        <v>17</v>
      </c>
      <c r="G357" s="34">
        <v>46133</v>
      </c>
      <c r="H357" t="s">
        <v>2341</v>
      </c>
      <c r="I357" s="34">
        <v>46127</v>
      </c>
      <c r="J357" t="s">
        <v>284</v>
      </c>
      <c r="K357" s="34" t="s">
        <v>428</v>
      </c>
      <c r="L357" s="34" t="s">
        <v>451</v>
      </c>
      <c r="M357" s="34" t="s">
        <v>2342</v>
      </c>
      <c r="N357" s="34" t="str">
        <f t="shared" si="32"/>
        <v>Technology | Productivity</v>
      </c>
      <c r="O357" t="s">
        <v>2343</v>
      </c>
      <c r="P357" s="109" t="s">
        <v>2344</v>
      </c>
      <c r="Q357" s="38"/>
      <c r="R357" s="38"/>
      <c r="S357" t="s">
        <v>2345</v>
      </c>
      <c r="T357">
        <v>1</v>
      </c>
      <c r="U357">
        <v>1</v>
      </c>
      <c r="V357">
        <v>1</v>
      </c>
      <c r="W357">
        <v>1</v>
      </c>
      <c r="X357" s="106">
        <f t="shared" si="30"/>
        <v>1</v>
      </c>
      <c r="Y357" s="34"/>
      <c r="Z357" s="34"/>
    </row>
    <row r="358" spans="1:26" hidden="1">
      <c r="A358" s="41">
        <f t="shared" si="29"/>
        <v>355</v>
      </c>
      <c r="B358" s="35" t="s">
        <v>2346</v>
      </c>
      <c r="C358" s="35" t="str">
        <f t="shared" si="26"/>
        <v>Microsoft khai tử Outlook Lite – Tập trung sản phẩm, không tác động VN</v>
      </c>
      <c r="D358" t="s">
        <v>1012</v>
      </c>
      <c r="E358" s="105" t="str">
        <f>VLOOKUP(X358,'Updating-Scoring'!$C$2:$D$7,2,TRUE)</f>
        <v>1 - Noise</v>
      </c>
      <c r="F358">
        <f t="shared" si="31"/>
        <v>17</v>
      </c>
      <c r="G358" s="34">
        <v>46133</v>
      </c>
      <c r="H358" t="s">
        <v>2347</v>
      </c>
      <c r="I358" s="34">
        <v>46125</v>
      </c>
      <c r="J358" t="s">
        <v>284</v>
      </c>
      <c r="K358" s="34" t="s">
        <v>428</v>
      </c>
      <c r="L358" s="34" t="s">
        <v>451</v>
      </c>
      <c r="M358" s="34" t="s">
        <v>2342</v>
      </c>
      <c r="N358" s="34" t="str">
        <f t="shared" si="32"/>
        <v>Technology | Productivity</v>
      </c>
      <c r="O358" t="s">
        <v>2348</v>
      </c>
      <c r="P358" s="109" t="s">
        <v>2349</v>
      </c>
      <c r="Q358" s="38"/>
      <c r="R358" s="38"/>
      <c r="S358" t="s">
        <v>2350</v>
      </c>
      <c r="T358">
        <v>1</v>
      </c>
      <c r="U358">
        <v>1</v>
      </c>
      <c r="V358">
        <v>1</v>
      </c>
      <c r="W358">
        <v>1</v>
      </c>
      <c r="X358" s="106">
        <f t="shared" si="30"/>
        <v>1</v>
      </c>
      <c r="Y358" s="34"/>
      <c r="Z358" s="34"/>
    </row>
    <row r="359" spans="1:26" hidden="1">
      <c r="A359" s="41">
        <f t="shared" si="29"/>
        <v>356</v>
      </c>
      <c r="B359" s="35"/>
      <c r="C359" s="35" t="str">
        <f t="shared" si="26"/>
        <v>ZaloPay x JOYOUNG: Voucher 10% tối đa 100k</v>
      </c>
      <c r="D359" t="s">
        <v>2351</v>
      </c>
      <c r="E359" s="105" t="str">
        <f>VLOOKUP(X359,'Updating-Scoring'!$C$2:$D$7,2,TRUE)</f>
        <v>4 - Strategic shift</v>
      </c>
      <c r="F359">
        <f t="shared" si="31"/>
        <v>17</v>
      </c>
      <c r="G359" s="110">
        <v>46133</v>
      </c>
      <c r="H359" t="s">
        <v>2352</v>
      </c>
      <c r="I359" s="34">
        <v>46113</v>
      </c>
      <c r="J359" t="s">
        <v>170</v>
      </c>
      <c r="K359" s="34" t="s">
        <v>433</v>
      </c>
      <c r="L359" s="34" t="s">
        <v>459</v>
      </c>
      <c r="M359" s="34" t="s">
        <v>898</v>
      </c>
      <c r="N359" s="34" t="str">
        <f t="shared" si="32"/>
        <v>Partnership | Merchant partnership</v>
      </c>
      <c r="O359" t="s">
        <v>2353</v>
      </c>
      <c r="P359" s="109" t="s">
        <v>2354</v>
      </c>
      <c r="Q359" s="38">
        <v>46129</v>
      </c>
      <c r="R359" s="38">
        <v>46135</v>
      </c>
      <c r="T359">
        <v>4</v>
      </c>
      <c r="U359">
        <v>4</v>
      </c>
      <c r="V359">
        <v>4</v>
      </c>
      <c r="W359">
        <v>3</v>
      </c>
      <c r="X359" s="106">
        <f t="shared" si="30"/>
        <v>3.8500000000000005</v>
      </c>
      <c r="Y359" s="34"/>
      <c r="Z359" s="34"/>
    </row>
    <row r="360" spans="1:26" hidden="1">
      <c r="A360" s="41">
        <f t="shared" si="29"/>
        <v>357</v>
      </c>
      <c r="B360" s="35"/>
      <c r="C360" s="35" t="str">
        <f t="shared" si="26"/>
        <v>ZaloPay x Vietlott SMS: Nhận 3000 xu khi thanh toán Vietlott trên ZaloPay</v>
      </c>
      <c r="D360" t="s">
        <v>2351</v>
      </c>
      <c r="E360" s="105" t="str">
        <f>VLOOKUP(X360,'Updating-Scoring'!$C$2:$D$7,2,TRUE)</f>
        <v>4 - Strategic shift</v>
      </c>
      <c r="F360">
        <f t="shared" si="31"/>
        <v>17</v>
      </c>
      <c r="G360" s="110">
        <v>46133</v>
      </c>
      <c r="H360" t="s">
        <v>2355</v>
      </c>
      <c r="I360" s="34">
        <v>46121</v>
      </c>
      <c r="J360" t="s">
        <v>170</v>
      </c>
      <c r="K360" s="34" t="s">
        <v>434</v>
      </c>
      <c r="L360" s="34" t="s">
        <v>457</v>
      </c>
      <c r="M360" s="34" t="s">
        <v>413</v>
      </c>
      <c r="N360" s="34" t="str">
        <f t="shared" si="32"/>
        <v>Marketing | User activation</v>
      </c>
      <c r="O360" t="s">
        <v>2356</v>
      </c>
      <c r="P360" s="109" t="s">
        <v>2357</v>
      </c>
      <c r="Q360" s="38">
        <v>46121</v>
      </c>
      <c r="R360" s="38">
        <v>46142</v>
      </c>
      <c r="T360">
        <v>4</v>
      </c>
      <c r="U360">
        <v>4</v>
      </c>
      <c r="V360">
        <v>4</v>
      </c>
      <c r="W360">
        <v>3</v>
      </c>
      <c r="X360" s="106">
        <f t="shared" si="30"/>
        <v>3.8500000000000005</v>
      </c>
      <c r="Y360" s="34"/>
      <c r="Z360" s="34"/>
    </row>
    <row r="361" spans="1:26">
      <c r="A361" s="41">
        <f t="shared" ref="A361:A392" si="33">ROW()-3</f>
        <v>358</v>
      </c>
      <c r="B361" s="35" t="s">
        <v>2358</v>
      </c>
      <c r="C361" s="35" t="str">
        <f t="shared" ref="C361:C392" si="34">HYPERLINK(B361,O361)</f>
        <v>Indonesia Prabowo ký sắc lệnh cắt hoa hồng ride-hailing xuống 8% – Tác động trực tiếp Grab và GoTo</v>
      </c>
      <c r="D361" t="s">
        <v>144</v>
      </c>
      <c r="E361" s="105" t="str">
        <f>VLOOKUP(X361,'Updating-Scoring'!$C$2:$D$7,2,TRUE)</f>
        <v>5 - Industry disruption</v>
      </c>
      <c r="F361">
        <f t="shared" ref="F361:F392" si="35">WEEKNUM(G361,2)</f>
        <v>18</v>
      </c>
      <c r="G361" s="110">
        <v>46145</v>
      </c>
      <c r="H361" t="s">
        <v>2359</v>
      </c>
      <c r="I361" s="34">
        <v>46143</v>
      </c>
      <c r="J361" t="s">
        <v>284</v>
      </c>
      <c r="K361" s="34" t="s">
        <v>430</v>
      </c>
      <c r="L361" s="34" t="s">
        <v>453</v>
      </c>
      <c r="M361" s="34" t="s">
        <v>493</v>
      </c>
      <c r="N361" s="34" t="str">
        <f t="shared" ref="N361:N392" si="36">L361&amp;" | "&amp;M361</f>
        <v>Legal | eCommerce regulation</v>
      </c>
      <c r="O361" s="109" t="s">
        <v>2360</v>
      </c>
      <c r="P361" s="38" t="s">
        <v>2361</v>
      </c>
      <c r="R361" s="38"/>
      <c r="T361">
        <v>5</v>
      </c>
      <c r="U361">
        <v>5</v>
      </c>
      <c r="X361" s="106">
        <f t="shared" ref="X361:X392" si="37">IF(G361&lt;DATE(2026,4,30),T361*$T$1+U361*$U$1+V361*$V$1+W361*$W$1,T361*$T$2+U361*$U$2)</f>
        <v>5</v>
      </c>
      <c r="Y361" s="34" t="s">
        <v>2362</v>
      </c>
      <c r="Z361" s="34"/>
    </row>
    <row r="362" spans="1:26">
      <c r="A362" s="41">
        <f t="shared" si="33"/>
        <v>359</v>
      </c>
      <c r="B362" s="35" t="s">
        <v>2363</v>
      </c>
      <c r="C362" s="35" t="str">
        <f t="shared" si="34"/>
        <v>Trung Quốc ban hành chính sách bảo vệ tài xế gig economy</v>
      </c>
      <c r="D362" t="s">
        <v>104</v>
      </c>
      <c r="E362" s="105" t="str">
        <f>VLOOKUP(X362,'Updating-Scoring'!$C$2:$D$7,2,TRUE)</f>
        <v>5 - Industry disruption</v>
      </c>
      <c r="F362">
        <f t="shared" si="35"/>
        <v>18</v>
      </c>
      <c r="G362" s="110">
        <v>46145</v>
      </c>
      <c r="H362" t="s">
        <v>2364</v>
      </c>
      <c r="I362" s="34">
        <v>46132</v>
      </c>
      <c r="J362" t="s">
        <v>284</v>
      </c>
      <c r="K362" s="34" t="s">
        <v>429</v>
      </c>
      <c r="L362" s="34" t="s">
        <v>453</v>
      </c>
      <c r="M362" s="34" t="s">
        <v>493</v>
      </c>
      <c r="N362" s="34" t="str">
        <f t="shared" si="36"/>
        <v>Legal | eCommerce regulation</v>
      </c>
      <c r="O362" s="109" t="s">
        <v>2365</v>
      </c>
      <c r="P362" s="38" t="s">
        <v>2366</v>
      </c>
      <c r="R362" s="38"/>
      <c r="T362">
        <v>5</v>
      </c>
      <c r="U362">
        <v>5</v>
      </c>
      <c r="X362" s="106">
        <f t="shared" si="37"/>
        <v>5</v>
      </c>
      <c r="Y362" s="34" t="s">
        <v>2362</v>
      </c>
      <c r="Z362" s="34"/>
    </row>
    <row r="363" spans="1:26">
      <c r="A363" s="41">
        <f t="shared" si="33"/>
        <v>360</v>
      </c>
      <c r="B363" s="35" t="s">
        <v>2367</v>
      </c>
      <c r="C363" s="35" t="str">
        <f t="shared" si="34"/>
        <v>Stripe Link ra mắt: ví điện tử cho AI agent tự động thanh toán thay user</v>
      </c>
      <c r="D363" t="s">
        <v>1012</v>
      </c>
      <c r="E363" s="105" t="str">
        <f>VLOOKUP(X363,'Updating-Scoring'!$C$2:$D$7,2,TRUE)</f>
        <v>5 - Industry disruption</v>
      </c>
      <c r="F363">
        <f t="shared" si="35"/>
        <v>18</v>
      </c>
      <c r="G363" s="110">
        <v>46145</v>
      </c>
      <c r="H363" t="s">
        <v>2368</v>
      </c>
      <c r="I363" s="34">
        <v>46142</v>
      </c>
      <c r="J363" t="s">
        <v>284</v>
      </c>
      <c r="K363" s="34" t="s">
        <v>428</v>
      </c>
      <c r="L363" s="34" t="s">
        <v>451</v>
      </c>
      <c r="M363" s="34" t="s">
        <v>485</v>
      </c>
      <c r="N363" s="34" t="str">
        <f t="shared" si="36"/>
        <v>Technology | Open banking/ API</v>
      </c>
      <c r="O363" s="109" t="s">
        <v>2369</v>
      </c>
      <c r="P363" s="38" t="s">
        <v>2370</v>
      </c>
      <c r="Q363" s="37">
        <v>46142</v>
      </c>
      <c r="R363" s="38"/>
      <c r="T363">
        <v>4.8</v>
      </c>
      <c r="U363">
        <v>5</v>
      </c>
      <c r="X363" s="106">
        <f t="shared" si="37"/>
        <v>4.88</v>
      </c>
      <c r="Y363" s="34" t="s">
        <v>2371</v>
      </c>
      <c r="Z363" s="34"/>
    </row>
    <row r="364" spans="1:26">
      <c r="A364" s="41">
        <f t="shared" si="33"/>
        <v>361</v>
      </c>
      <c r="B364" s="35" t="s">
        <v>2372</v>
      </c>
      <c r="C364" s="35" t="str">
        <f t="shared" si="34"/>
        <v>WeChat Pay mở rộng QR payments sang 5 nước châu Á – Cạnh tranh trực tiếp với Alipay+ và QR nội địa</v>
      </c>
      <c r="D364" t="s">
        <v>144</v>
      </c>
      <c r="E364" s="105" t="str">
        <f>VLOOKUP(X364,'Updating-Scoring'!$C$2:$D$7,2,TRUE)</f>
        <v>5 - Industry disruption</v>
      </c>
      <c r="F364">
        <f t="shared" si="35"/>
        <v>18</v>
      </c>
      <c r="G364" s="110">
        <v>46145</v>
      </c>
      <c r="H364" t="s">
        <v>2373</v>
      </c>
      <c r="I364" s="34">
        <v>46137</v>
      </c>
      <c r="J364" t="s">
        <v>284</v>
      </c>
      <c r="K364" s="34" t="s">
        <v>430</v>
      </c>
      <c r="L364" s="34" t="s">
        <v>451</v>
      </c>
      <c r="M364" s="34" t="s">
        <v>485</v>
      </c>
      <c r="N364" s="34" t="str">
        <f t="shared" si="36"/>
        <v>Technology | Open banking/ API</v>
      </c>
      <c r="O364" s="109" t="s">
        <v>2374</v>
      </c>
      <c r="P364" s="38" t="s">
        <v>2375</v>
      </c>
      <c r="R364" s="38"/>
      <c r="T364">
        <v>4.8</v>
      </c>
      <c r="U364">
        <v>5</v>
      </c>
      <c r="X364" s="106">
        <f t="shared" si="37"/>
        <v>4.88</v>
      </c>
      <c r="Y364" s="34" t="s">
        <v>2371</v>
      </c>
      <c r="Z364" s="34"/>
    </row>
    <row r="365" spans="1:26">
      <c r="A365" s="41">
        <f t="shared" si="33"/>
        <v>362</v>
      </c>
      <c r="B365" s="35" t="s">
        <v>2376</v>
      </c>
      <c r="C365" s="35" t="str">
        <f t="shared" si="34"/>
        <v>Ant International ra mắt AMP – Giao thức agentic payment đầu tiên cho mobile</v>
      </c>
      <c r="D365" t="s">
        <v>144</v>
      </c>
      <c r="E365" s="105" t="str">
        <f>VLOOKUP(X365,'Updating-Scoring'!$C$2:$D$7,2,TRUE)</f>
        <v>5 - Industry disruption</v>
      </c>
      <c r="F365">
        <f t="shared" si="35"/>
        <v>18</v>
      </c>
      <c r="G365" s="110">
        <v>46145</v>
      </c>
      <c r="H365" t="s">
        <v>2377</v>
      </c>
      <c r="I365" s="34">
        <v>46142</v>
      </c>
      <c r="J365" t="s">
        <v>284</v>
      </c>
      <c r="K365" s="34" t="s">
        <v>430</v>
      </c>
      <c r="L365" s="34" t="s">
        <v>451</v>
      </c>
      <c r="M365" s="34" t="s">
        <v>485</v>
      </c>
      <c r="N365" s="34" t="str">
        <f t="shared" si="36"/>
        <v>Technology | Open banking/ API</v>
      </c>
      <c r="O365" s="109" t="s">
        <v>2378</v>
      </c>
      <c r="P365" s="38" t="s">
        <v>2379</v>
      </c>
      <c r="R365" s="38"/>
      <c r="T365">
        <v>4.8</v>
      </c>
      <c r="U365">
        <v>4.5</v>
      </c>
      <c r="X365" s="106">
        <f t="shared" si="37"/>
        <v>4.68</v>
      </c>
      <c r="Y365" s="34" t="s">
        <v>2371</v>
      </c>
      <c r="Z365" s="34"/>
    </row>
    <row r="366" spans="1:26">
      <c r="A366" s="41">
        <f t="shared" si="33"/>
        <v>363</v>
      </c>
      <c r="B366" s="35" t="s">
        <v>2380</v>
      </c>
      <c r="C366" s="35" t="str">
        <f t="shared" si="34"/>
        <v>Uber tích hợp đặt khách sạn qua Expedia – Super-app ride+food+travel đang hình thành tại Mỹ</v>
      </c>
      <c r="D366" t="s">
        <v>138</v>
      </c>
      <c r="E366" s="105" t="str">
        <f>VLOOKUP(X366,'Updating-Scoring'!$C$2:$D$7,2,TRUE)</f>
        <v>5 - Industry disruption</v>
      </c>
      <c r="F366">
        <f t="shared" si="35"/>
        <v>18</v>
      </c>
      <c r="G366" s="110">
        <v>46145</v>
      </c>
      <c r="H366" t="s">
        <v>2381</v>
      </c>
      <c r="I366" s="34">
        <v>46141</v>
      </c>
      <c r="J366" t="s">
        <v>284</v>
      </c>
      <c r="K366" s="34" t="s">
        <v>428</v>
      </c>
      <c r="L366" s="34" t="s">
        <v>447</v>
      </c>
      <c r="M366" s="34" t="s">
        <v>476</v>
      </c>
      <c r="N366" s="34" t="str">
        <f t="shared" si="36"/>
        <v>Economic | Business model change</v>
      </c>
      <c r="O366" s="109" t="s">
        <v>2382</v>
      </c>
      <c r="P366" s="38" t="s">
        <v>2383</v>
      </c>
      <c r="R366" s="38"/>
      <c r="T366">
        <v>4</v>
      </c>
      <c r="U366">
        <v>5</v>
      </c>
      <c r="X366" s="106">
        <f t="shared" si="37"/>
        <v>4.4000000000000004</v>
      </c>
      <c r="Y366" s="34" t="s">
        <v>2362</v>
      </c>
      <c r="Z366" s="34"/>
    </row>
    <row r="367" spans="1:26">
      <c r="A367" s="41">
        <f t="shared" si="33"/>
        <v>364</v>
      </c>
      <c r="B367" s="35" t="s">
        <v>2384</v>
      </c>
      <c r="C367" s="35" t="str">
        <f t="shared" si="34"/>
        <v>Người Việt chốt 126 triệu sản phẩm/ngày trên TMĐT – Số liệu thực tế quy mô thị trường</v>
      </c>
      <c r="D367" t="s">
        <v>85</v>
      </c>
      <c r="E367" s="105" t="str">
        <f>VLOOKUP(X367,'Updating-Scoring'!$C$2:$D$7,2,TRUE)</f>
        <v>4 - Strategic shift</v>
      </c>
      <c r="F367">
        <f t="shared" si="35"/>
        <v>18</v>
      </c>
      <c r="G367" s="110">
        <v>46145</v>
      </c>
      <c r="H367" t="s">
        <v>2385</v>
      </c>
      <c r="I367" s="34">
        <v>46141</v>
      </c>
      <c r="J367" t="s">
        <v>284</v>
      </c>
      <c r="K367" s="34" t="s">
        <v>431</v>
      </c>
      <c r="L367" s="34" t="s">
        <v>447</v>
      </c>
      <c r="M367" s="34" t="s">
        <v>476</v>
      </c>
      <c r="N367" s="34" t="str">
        <f t="shared" si="36"/>
        <v>Economic | Business model change</v>
      </c>
      <c r="O367" s="109" t="s">
        <v>2386</v>
      </c>
      <c r="P367" s="38" t="s">
        <v>2387</v>
      </c>
      <c r="R367" s="38"/>
      <c r="T367">
        <v>4</v>
      </c>
      <c r="U367">
        <v>4.5</v>
      </c>
      <c r="X367" s="106">
        <f t="shared" si="37"/>
        <v>4.2</v>
      </c>
      <c r="Y367" s="34" t="s">
        <v>228</v>
      </c>
      <c r="Z367" s="34"/>
    </row>
    <row r="368" spans="1:26">
      <c r="A368" s="41">
        <f t="shared" si="33"/>
        <v>365</v>
      </c>
      <c r="B368" s="35" t="s">
        <v>2388</v>
      </c>
      <c r="C368" s="35" t="str">
        <f t="shared" si="34"/>
        <v>Giao Hàng Nhanh tái định vị để chiếm lợi thế trong cuộc đua TMĐT</v>
      </c>
      <c r="D368" t="s">
        <v>2389</v>
      </c>
      <c r="E368" s="105" t="str">
        <f>VLOOKUP(X368,'Updating-Scoring'!$C$2:$D$7,2,TRUE)</f>
        <v>4 - Strategic shift</v>
      </c>
      <c r="F368">
        <f t="shared" si="35"/>
        <v>18</v>
      </c>
      <c r="G368" s="110">
        <v>46145</v>
      </c>
      <c r="H368" t="s">
        <v>2390</v>
      </c>
      <c r="I368" s="34">
        <v>46128</v>
      </c>
      <c r="J368" t="s">
        <v>284</v>
      </c>
      <c r="K368" s="34" t="s">
        <v>431</v>
      </c>
      <c r="L368" s="34" t="s">
        <v>447</v>
      </c>
      <c r="M368" s="34" t="s">
        <v>476</v>
      </c>
      <c r="N368" s="34" t="str">
        <f t="shared" si="36"/>
        <v>Economic | Business model change</v>
      </c>
      <c r="O368" s="109" t="s">
        <v>2391</v>
      </c>
      <c r="P368" s="38" t="s">
        <v>2392</v>
      </c>
      <c r="R368" s="38"/>
      <c r="T368">
        <v>4</v>
      </c>
      <c r="U368">
        <v>4</v>
      </c>
      <c r="X368" s="106">
        <f t="shared" si="37"/>
        <v>4</v>
      </c>
      <c r="Y368" s="34" t="s">
        <v>2362</v>
      </c>
      <c r="Z368" s="34"/>
    </row>
    <row r="369" spans="1:26">
      <c r="A369" s="41">
        <f t="shared" si="33"/>
        <v>366</v>
      </c>
      <c r="B369" s="35" t="s">
        <v>2393</v>
      </c>
      <c r="C369" s="35" t="str">
        <f t="shared" si="34"/>
        <v>Airwallex chính thức mở rộng hoạt động sang Indonesia và Việt Nam</v>
      </c>
      <c r="D369" t="s">
        <v>144</v>
      </c>
      <c r="E369" s="105" t="str">
        <f>VLOOKUP(X369,'Updating-Scoring'!$C$2:$D$7,2,TRUE)</f>
        <v>4 - Strategic shift</v>
      </c>
      <c r="F369">
        <f t="shared" si="35"/>
        <v>18</v>
      </c>
      <c r="G369" s="110">
        <v>46145</v>
      </c>
      <c r="H369" t="s">
        <v>2394</v>
      </c>
      <c r="I369" s="34">
        <v>46136</v>
      </c>
      <c r="J369" t="s">
        <v>284</v>
      </c>
      <c r="K369" s="34" t="s">
        <v>430</v>
      </c>
      <c r="L369" s="34" t="s">
        <v>447</v>
      </c>
      <c r="M369" s="34" t="s">
        <v>2395</v>
      </c>
      <c r="N369" s="34" t="str">
        <f t="shared" si="36"/>
        <v>Economic | Funding/ Investment</v>
      </c>
      <c r="O369" s="109" t="s">
        <v>2396</v>
      </c>
      <c r="P369" s="38" t="s">
        <v>2397</v>
      </c>
      <c r="R369" s="38"/>
      <c r="T369">
        <v>4</v>
      </c>
      <c r="U369">
        <v>4</v>
      </c>
      <c r="X369" s="106">
        <f t="shared" si="37"/>
        <v>4</v>
      </c>
      <c r="Y369" s="34" t="s">
        <v>2371</v>
      </c>
      <c r="Z369" s="34"/>
    </row>
    <row r="370" spans="1:26">
      <c r="A370" s="41">
        <f t="shared" si="33"/>
        <v>367</v>
      </c>
      <c r="B370" s="35" t="s">
        <v>2398</v>
      </c>
      <c r="C370" s="35" t="str">
        <f t="shared" si="34"/>
        <v>TikTok ra dịch vụ gợi ý nhà hàng tại Indonesia – Mở rộng sang local services, cạnh tranh Grab</v>
      </c>
      <c r="D370" t="s">
        <v>144</v>
      </c>
      <c r="E370" s="105" t="str">
        <f>VLOOKUP(X370,'Updating-Scoring'!$C$2:$D$7,2,TRUE)</f>
        <v>4 - Strategic shift</v>
      </c>
      <c r="F370">
        <f t="shared" si="35"/>
        <v>18</v>
      </c>
      <c r="G370" s="110">
        <v>46145</v>
      </c>
      <c r="H370" t="s">
        <v>2399</v>
      </c>
      <c r="I370" s="34">
        <v>46140</v>
      </c>
      <c r="J370" t="s">
        <v>284</v>
      </c>
      <c r="K370" s="34" t="s">
        <v>430</v>
      </c>
      <c r="L370" s="34" t="s">
        <v>451</v>
      </c>
      <c r="M370" s="34" t="s">
        <v>483</v>
      </c>
      <c r="N370" s="34" t="str">
        <f t="shared" si="36"/>
        <v>Technology | AI/ Gen AI</v>
      </c>
      <c r="O370" s="109" t="s">
        <v>2400</v>
      </c>
      <c r="P370" s="38" t="s">
        <v>2401</v>
      </c>
      <c r="R370" s="38"/>
      <c r="T370">
        <v>4</v>
      </c>
      <c r="U370">
        <v>4</v>
      </c>
      <c r="X370" s="106">
        <f t="shared" si="37"/>
        <v>4</v>
      </c>
      <c r="Y370" s="34" t="s">
        <v>228</v>
      </c>
      <c r="Z370" s="34"/>
    </row>
    <row r="371" spans="1:26">
      <c r="A371" s="41">
        <f t="shared" si="33"/>
        <v>368</v>
      </c>
      <c r="B371" s="35" t="s">
        <v>2402</v>
      </c>
      <c r="C371" s="35" t="str">
        <f t="shared" si="34"/>
        <v>TikTok mở rộng đối tượng Sinh viên với tính năng Campus Hub</v>
      </c>
      <c r="D371" t="s">
        <v>1012</v>
      </c>
      <c r="E371" s="105" t="str">
        <f>VLOOKUP(X371,'Updating-Scoring'!$C$2:$D$7,2,TRUE)</f>
        <v>4 - Strategic shift</v>
      </c>
      <c r="F371">
        <f t="shared" si="35"/>
        <v>18</v>
      </c>
      <c r="G371" s="110">
        <v>46145</v>
      </c>
      <c r="H371" t="s">
        <v>2403</v>
      </c>
      <c r="I371" s="34">
        <v>46142</v>
      </c>
      <c r="J371" t="s">
        <v>284</v>
      </c>
      <c r="K371" s="34" t="s">
        <v>428</v>
      </c>
      <c r="L371" s="34" t="s">
        <v>451</v>
      </c>
      <c r="M371" s="34" t="s">
        <v>483</v>
      </c>
      <c r="N371" s="34" t="str">
        <f t="shared" si="36"/>
        <v>Technology | AI/ Gen AI</v>
      </c>
      <c r="O371" s="109" t="s">
        <v>2404</v>
      </c>
      <c r="P371" s="38" t="s">
        <v>2405</v>
      </c>
      <c r="Q371" s="37">
        <v>46142</v>
      </c>
      <c r="R371" s="38"/>
      <c r="T371">
        <v>4</v>
      </c>
      <c r="U371">
        <v>4</v>
      </c>
      <c r="X371" s="106">
        <f t="shared" si="37"/>
        <v>4</v>
      </c>
      <c r="Y371" s="34" t="s">
        <v>2406</v>
      </c>
      <c r="Z371" s="34"/>
    </row>
    <row r="372" spans="1:26">
      <c r="A372" s="41">
        <f t="shared" si="33"/>
        <v>369</v>
      </c>
      <c r="B372" s="35" t="s">
        <v>2407</v>
      </c>
      <c r="C372" s="35" t="str">
        <f t="shared" si="34"/>
        <v>BIDV mở rộng thanh toán QR xuyên biên giới Việt – Hàn</v>
      </c>
      <c r="D372" t="s">
        <v>1927</v>
      </c>
      <c r="E372" s="105" t="str">
        <f>VLOOKUP(X372,'Updating-Scoring'!$C$2:$D$7,2,TRUE)</f>
        <v>4 - Strategic shift</v>
      </c>
      <c r="F372">
        <f t="shared" si="35"/>
        <v>18</v>
      </c>
      <c r="G372" s="34">
        <v>46145</v>
      </c>
      <c r="H372" t="s">
        <v>2408</v>
      </c>
      <c r="I372" s="34">
        <v>46137</v>
      </c>
      <c r="J372" t="s">
        <v>284</v>
      </c>
      <c r="K372" s="34" t="s">
        <v>431</v>
      </c>
      <c r="L372" s="34" t="s">
        <v>451</v>
      </c>
      <c r="M372" s="34" t="s">
        <v>485</v>
      </c>
      <c r="N372" s="34" t="str">
        <f t="shared" si="36"/>
        <v>Technology | Open banking/ API</v>
      </c>
      <c r="O372" s="109" t="s">
        <v>2409</v>
      </c>
      <c r="P372" s="38" t="s">
        <v>2410</v>
      </c>
      <c r="R372" s="38"/>
      <c r="T372">
        <v>4</v>
      </c>
      <c r="U372">
        <v>4</v>
      </c>
      <c r="X372" s="106">
        <f t="shared" si="37"/>
        <v>4</v>
      </c>
      <c r="Y372" s="34" t="s">
        <v>2371</v>
      </c>
      <c r="Z372" s="34"/>
    </row>
    <row r="373" spans="1:26">
      <c r="A373" s="41">
        <f t="shared" si="33"/>
        <v>370</v>
      </c>
      <c r="B373" s="35" t="s">
        <v>2411</v>
      </c>
      <c r="C373" s="35" t="str">
        <f t="shared" si="34"/>
        <v>Ant International tăng cường công nghệ bảo mật để mở rộng Alipay toàn cầu</v>
      </c>
      <c r="D373" t="s">
        <v>144</v>
      </c>
      <c r="E373" s="105" t="str">
        <f>VLOOKUP(X373,'Updating-Scoring'!$C$2:$D$7,2,TRUE)</f>
        <v>4 - Strategic shift</v>
      </c>
      <c r="F373">
        <f t="shared" si="35"/>
        <v>18</v>
      </c>
      <c r="G373" s="110">
        <v>46145</v>
      </c>
      <c r="H373" t="s">
        <v>2412</v>
      </c>
      <c r="I373" s="34">
        <v>46140</v>
      </c>
      <c r="J373" t="s">
        <v>284</v>
      </c>
      <c r="K373" s="34" t="s">
        <v>430</v>
      </c>
      <c r="L373" s="34" t="s">
        <v>451</v>
      </c>
      <c r="M373" s="34" t="s">
        <v>485</v>
      </c>
      <c r="N373" s="34" t="str">
        <f t="shared" si="36"/>
        <v>Technology | Open banking/ API</v>
      </c>
      <c r="O373" s="109" t="s">
        <v>2413</v>
      </c>
      <c r="P373" s="38" t="s">
        <v>2414</v>
      </c>
      <c r="R373" s="38"/>
      <c r="T373">
        <v>4</v>
      </c>
      <c r="U373">
        <v>4</v>
      </c>
      <c r="X373" s="106">
        <f t="shared" si="37"/>
        <v>4</v>
      </c>
      <c r="Y373" s="34" t="s">
        <v>2371</v>
      </c>
      <c r="Z373" s="34"/>
    </row>
    <row r="374" spans="1:26">
      <c r="A374" s="41">
        <f t="shared" si="33"/>
        <v>371</v>
      </c>
      <c r="B374" s="35" t="s">
        <v>2415</v>
      </c>
      <c r="C374" s="35" t="str">
        <f t="shared" si="34"/>
        <v>Nhiều ngân hàng VN dừng chuyển tiền nhanh &gt;500 triệu đồng – Siết quy định thanh toán tức thì lớn</v>
      </c>
      <c r="D374" t="s">
        <v>1927</v>
      </c>
      <c r="E374" s="105" t="str">
        <f>VLOOKUP(X374,'Updating-Scoring'!$C$2:$D$7,2,TRUE)</f>
        <v>4 - Strategic shift</v>
      </c>
      <c r="F374">
        <f t="shared" si="35"/>
        <v>18</v>
      </c>
      <c r="G374" s="34">
        <v>46145</v>
      </c>
      <c r="H374" t="s">
        <v>2416</v>
      </c>
      <c r="I374" s="34">
        <v>46133</v>
      </c>
      <c r="J374" t="s">
        <v>284</v>
      </c>
      <c r="K374" s="34" t="s">
        <v>431</v>
      </c>
      <c r="L374" s="34" t="s">
        <v>453</v>
      </c>
      <c r="M374" s="34" t="s">
        <v>489</v>
      </c>
      <c r="N374" s="34" t="str">
        <f t="shared" si="36"/>
        <v>Legal | Fintech/ Wallet</v>
      </c>
      <c r="O374" s="109" t="s">
        <v>2417</v>
      </c>
      <c r="P374" s="38" t="s">
        <v>2418</v>
      </c>
      <c r="R374" s="38"/>
      <c r="T374">
        <v>4</v>
      </c>
      <c r="U374">
        <v>3.5</v>
      </c>
      <c r="X374" s="106">
        <f t="shared" si="37"/>
        <v>3.8</v>
      </c>
      <c r="Y374" s="34" t="s">
        <v>2371</v>
      </c>
      <c r="Z374" s="34"/>
    </row>
    <row r="375" spans="1:26">
      <c r="A375" s="41">
        <f t="shared" si="33"/>
        <v>372</v>
      </c>
      <c r="B375" s="35" t="s">
        <v>2419</v>
      </c>
      <c r="C375" s="35" t="str">
        <f t="shared" si="34"/>
        <v>OpenClaw ra phiên bản cloud cho người Việt – AI agent trên nền tảng đám mây</v>
      </c>
      <c r="D375" t="s">
        <v>85</v>
      </c>
      <c r="E375" s="105" t="str">
        <f>VLOOKUP(X375,'Updating-Scoring'!$C$2:$D$7,2,TRUE)</f>
        <v>4 - Strategic shift</v>
      </c>
      <c r="F375">
        <f t="shared" si="35"/>
        <v>18</v>
      </c>
      <c r="G375" s="34">
        <v>46145</v>
      </c>
      <c r="H375" t="s">
        <v>2420</v>
      </c>
      <c r="I375" s="34">
        <v>46133</v>
      </c>
      <c r="J375" t="s">
        <v>284</v>
      </c>
      <c r="K375" s="34" t="s">
        <v>431</v>
      </c>
      <c r="L375" s="34" t="s">
        <v>451</v>
      </c>
      <c r="M375" s="34" t="s">
        <v>483</v>
      </c>
      <c r="N375" s="34" t="str">
        <f t="shared" si="36"/>
        <v>Technology | AI/ Gen AI</v>
      </c>
      <c r="O375" s="109" t="s">
        <v>2421</v>
      </c>
      <c r="P375" s="38" t="s">
        <v>2422</v>
      </c>
      <c r="R375" s="38"/>
      <c r="T375">
        <v>3.6</v>
      </c>
      <c r="U375">
        <v>4</v>
      </c>
      <c r="X375" s="106">
        <f t="shared" si="37"/>
        <v>3.7600000000000002</v>
      </c>
      <c r="Y375" s="34" t="s">
        <v>86</v>
      </c>
      <c r="Z375" s="34"/>
    </row>
    <row r="376" spans="1:26">
      <c r="A376" s="41">
        <f t="shared" si="33"/>
        <v>373</v>
      </c>
      <c r="B376" s="35" t="s">
        <v>2423</v>
      </c>
      <c r="C376" s="35" t="str">
        <f t="shared" si="34"/>
        <v>Doanh nghiệp công nghệ Trung Quốc đẩy nhanh thương mại hóa AI để tạo lợi nhuận</v>
      </c>
      <c r="D376" t="s">
        <v>1927</v>
      </c>
      <c r="E376" s="105" t="str">
        <f>VLOOKUP(X376,'Updating-Scoring'!$C$2:$D$7,2,TRUE)</f>
        <v>4 - Strategic shift</v>
      </c>
      <c r="F376">
        <f t="shared" si="35"/>
        <v>18</v>
      </c>
      <c r="G376" s="110">
        <v>46145</v>
      </c>
      <c r="H376" t="s">
        <v>2424</v>
      </c>
      <c r="I376" s="34">
        <v>46131</v>
      </c>
      <c r="J376" t="s">
        <v>284</v>
      </c>
      <c r="K376" s="34" t="s">
        <v>429</v>
      </c>
      <c r="L376" s="34" t="s">
        <v>447</v>
      </c>
      <c r="M376" s="34" t="s">
        <v>476</v>
      </c>
      <c r="N376" s="34" t="str">
        <f t="shared" si="36"/>
        <v>Economic | Business model change</v>
      </c>
      <c r="O376" s="109" t="s">
        <v>2425</v>
      </c>
      <c r="P376" s="38" t="s">
        <v>2426</v>
      </c>
      <c r="Q376" s="38"/>
      <c r="R376" s="38"/>
      <c r="T376">
        <v>3.5</v>
      </c>
      <c r="U376">
        <v>4</v>
      </c>
      <c r="X376" s="106">
        <f t="shared" si="37"/>
        <v>3.7</v>
      </c>
      <c r="Y376" s="34" t="s">
        <v>86</v>
      </c>
      <c r="Z376" s="34"/>
    </row>
    <row r="377" spans="1:26">
      <c r="A377" s="41">
        <f t="shared" si="33"/>
        <v>374</v>
      </c>
      <c r="B377" s="35" t="s">
        <v>2427</v>
      </c>
      <c r="C377" s="35" t="str">
        <f t="shared" si="34"/>
        <v>Yelp nâng cấp AI assistant thành “trợ lý hành động” cho ăn uống và dịch vụ</v>
      </c>
      <c r="D377" t="s">
        <v>1012</v>
      </c>
      <c r="E377" s="105" t="str">
        <f>VLOOKUP(X377,'Updating-Scoring'!$C$2:$D$7,2,TRUE)</f>
        <v>4 - Strategic shift</v>
      </c>
      <c r="F377">
        <f t="shared" si="35"/>
        <v>18</v>
      </c>
      <c r="G377" s="110">
        <v>46145</v>
      </c>
      <c r="H377" t="s">
        <v>2428</v>
      </c>
      <c r="I377" s="34">
        <v>46133</v>
      </c>
      <c r="J377" t="s">
        <v>284</v>
      </c>
      <c r="K377" s="34" t="s">
        <v>428</v>
      </c>
      <c r="L377" s="34" t="s">
        <v>451</v>
      </c>
      <c r="M377" s="34" t="s">
        <v>483</v>
      </c>
      <c r="N377" s="34" t="str">
        <f t="shared" si="36"/>
        <v>Technology | AI/ Gen AI</v>
      </c>
      <c r="O377" s="109" t="s">
        <v>2429</v>
      </c>
      <c r="P377" s="38" t="s">
        <v>2430</v>
      </c>
      <c r="Q377" s="37">
        <v>46133</v>
      </c>
      <c r="R377" s="38"/>
      <c r="T377">
        <v>3.5</v>
      </c>
      <c r="U377">
        <v>4</v>
      </c>
      <c r="X377" s="106">
        <f t="shared" si="37"/>
        <v>3.7</v>
      </c>
      <c r="Y377" s="34" t="s">
        <v>2362</v>
      </c>
      <c r="Z377" s="34"/>
    </row>
    <row r="378" spans="1:26">
      <c r="A378" s="41">
        <f t="shared" si="33"/>
        <v>375</v>
      </c>
      <c r="B378" s="35" t="s">
        <v>2431</v>
      </c>
      <c r="C378" s="35" t="str">
        <f t="shared" si="34"/>
        <v>Snapchat đưa quảng cáo hội thoại bằng AI vào trải nghiệm người dùng</v>
      </c>
      <c r="D378" t="s">
        <v>1012</v>
      </c>
      <c r="E378" s="105" t="str">
        <f>VLOOKUP(X378,'Updating-Scoring'!$C$2:$D$7,2,TRUE)</f>
        <v>4 - Strategic shift</v>
      </c>
      <c r="F378">
        <f t="shared" si="35"/>
        <v>18</v>
      </c>
      <c r="G378" s="110">
        <v>46145</v>
      </c>
      <c r="H378" t="s">
        <v>2432</v>
      </c>
      <c r="I378" s="34">
        <v>46140</v>
      </c>
      <c r="J378" t="s">
        <v>284</v>
      </c>
      <c r="K378" s="34" t="s">
        <v>428</v>
      </c>
      <c r="L378" s="34" t="s">
        <v>451</v>
      </c>
      <c r="M378" s="34" t="s">
        <v>483</v>
      </c>
      <c r="N378" s="34" t="str">
        <f t="shared" si="36"/>
        <v>Technology | AI/ Gen AI</v>
      </c>
      <c r="O378" s="109" t="s">
        <v>2433</v>
      </c>
      <c r="P378" s="38" t="s">
        <v>2434</v>
      </c>
      <c r="Q378" s="37">
        <v>46140</v>
      </c>
      <c r="R378" s="38"/>
      <c r="T378">
        <v>3.5</v>
      </c>
      <c r="U378">
        <v>4</v>
      </c>
      <c r="X378" s="106">
        <f t="shared" si="37"/>
        <v>3.7</v>
      </c>
      <c r="Y378" s="34" t="s">
        <v>2406</v>
      </c>
      <c r="Z378" s="34"/>
    </row>
    <row r="379" spans="1:26">
      <c r="A379" s="41">
        <f t="shared" si="33"/>
        <v>376</v>
      </c>
      <c r="B379" s="35" t="s">
        <v>2435</v>
      </c>
      <c r="C379" s="35" t="str">
        <f t="shared" si="34"/>
        <v>WhatsApp mở rộng nạp tiền di động để thúc đẩy mảng thanh toán tại Ấn Độ</v>
      </c>
      <c r="D379" t="s">
        <v>1012</v>
      </c>
      <c r="E379" s="105" t="str">
        <f>VLOOKUP(X379,'Updating-Scoring'!$C$2:$D$7,2,TRUE)</f>
        <v>4 - Strategic shift</v>
      </c>
      <c r="F379">
        <f t="shared" si="35"/>
        <v>18</v>
      </c>
      <c r="G379" s="110">
        <v>46145</v>
      </c>
      <c r="H379" t="s">
        <v>2436</v>
      </c>
      <c r="I379" s="34">
        <v>46135</v>
      </c>
      <c r="J379" t="s">
        <v>284</v>
      </c>
      <c r="K379" s="34" t="s">
        <v>428</v>
      </c>
      <c r="L379" s="34" t="s">
        <v>451</v>
      </c>
      <c r="M379" s="34" t="s">
        <v>485</v>
      </c>
      <c r="N379" s="34" t="str">
        <f t="shared" si="36"/>
        <v>Technology | Open banking/ API</v>
      </c>
      <c r="O379" s="109" t="s">
        <v>2437</v>
      </c>
      <c r="P379" s="38" t="s">
        <v>2438</v>
      </c>
      <c r="Q379" s="37">
        <v>46135</v>
      </c>
      <c r="R379" s="38"/>
      <c r="T379">
        <v>3.5</v>
      </c>
      <c r="U379">
        <v>4</v>
      </c>
      <c r="X379" s="106">
        <f t="shared" si="37"/>
        <v>3.7</v>
      </c>
      <c r="Y379" s="34" t="s">
        <v>2406</v>
      </c>
      <c r="Z379" s="34"/>
    </row>
    <row r="380" spans="1:26">
      <c r="A380" s="41">
        <f t="shared" si="33"/>
        <v>377</v>
      </c>
      <c r="B380" s="35" t="s">
        <v>2439</v>
      </c>
      <c r="C380" s="35" t="str">
        <f t="shared" si="34"/>
        <v>Thương mại điện tử Ấn Độ chuyển sang mô hình storefront dùng AI age</v>
      </c>
      <c r="D380" t="s">
        <v>144</v>
      </c>
      <c r="E380" s="105" t="str">
        <f>VLOOKUP(X380,'Updating-Scoring'!$C$2:$D$7,2,TRUE)</f>
        <v>4 - Strategic shift</v>
      </c>
      <c r="F380">
        <f t="shared" si="35"/>
        <v>18</v>
      </c>
      <c r="G380" s="110">
        <v>46145</v>
      </c>
      <c r="H380" t="s">
        <v>2440</v>
      </c>
      <c r="I380" s="34">
        <v>46137</v>
      </c>
      <c r="J380" t="s">
        <v>284</v>
      </c>
      <c r="K380" s="34" t="s">
        <v>428</v>
      </c>
      <c r="L380" s="34" t="s">
        <v>451</v>
      </c>
      <c r="M380" s="34" t="s">
        <v>483</v>
      </c>
      <c r="N380" s="34" t="str">
        <f t="shared" si="36"/>
        <v>Technology | AI/ Gen AI</v>
      </c>
      <c r="O380" s="109" t="s">
        <v>2441</v>
      </c>
      <c r="P380" s="38" t="s">
        <v>2442</v>
      </c>
      <c r="Q380" s="38"/>
      <c r="R380" s="38"/>
      <c r="T380">
        <v>4</v>
      </c>
      <c r="U380">
        <v>3</v>
      </c>
      <c r="X380" s="106">
        <f t="shared" si="37"/>
        <v>3.6</v>
      </c>
      <c r="Y380" s="34" t="s">
        <v>228</v>
      </c>
      <c r="Z380" s="34"/>
    </row>
    <row r="381" spans="1:26">
      <c r="A381" s="41">
        <f t="shared" si="33"/>
        <v>378</v>
      </c>
      <c r="B381" s="35" t="s">
        <v>2443</v>
      </c>
      <c r="C381" s="35" t="str">
        <f t="shared" si="34"/>
        <v>Threads bổ sung live chat để tăng tương tác theo thời gian thực</v>
      </c>
      <c r="D381" t="s">
        <v>1012</v>
      </c>
      <c r="E381" s="105" t="str">
        <f>VLOOKUP(X381,'Updating-Scoring'!$C$2:$D$7,2,TRUE)</f>
        <v>4 - Strategic shift</v>
      </c>
      <c r="F381">
        <f t="shared" si="35"/>
        <v>18</v>
      </c>
      <c r="G381" s="110">
        <v>46145</v>
      </c>
      <c r="H381" t="s">
        <v>2444</v>
      </c>
      <c r="I381" s="34">
        <v>46134</v>
      </c>
      <c r="J381" t="s">
        <v>284</v>
      </c>
      <c r="K381" s="34" t="s">
        <v>428</v>
      </c>
      <c r="L381" s="34" t="s">
        <v>451</v>
      </c>
      <c r="M381" s="34" t="s">
        <v>483</v>
      </c>
      <c r="N381" s="34" t="str">
        <f t="shared" si="36"/>
        <v>Technology | AI/ Gen AI</v>
      </c>
      <c r="O381" s="109" t="s">
        <v>2445</v>
      </c>
      <c r="P381" s="38" t="s">
        <v>2446</v>
      </c>
      <c r="Q381" s="38"/>
      <c r="R381" s="38"/>
      <c r="T381">
        <v>4</v>
      </c>
      <c r="U381">
        <v>3</v>
      </c>
      <c r="X381" s="106">
        <f t="shared" si="37"/>
        <v>3.6</v>
      </c>
      <c r="Y381" s="34" t="s">
        <v>2406</v>
      </c>
      <c r="Z381" s="34"/>
    </row>
    <row r="382" spans="1:26">
      <c r="A382" s="41">
        <f t="shared" si="33"/>
        <v>379</v>
      </c>
      <c r="B382" s="35" t="s">
        <v>2447</v>
      </c>
      <c r="C382" s="35" t="str">
        <f t="shared" si="34"/>
        <v>Meta tái cấu trúc hệ thống quản lý tài khoản xuyên ứng dụng</v>
      </c>
      <c r="D382" t="s">
        <v>1012</v>
      </c>
      <c r="E382" s="105" t="str">
        <f>VLOOKUP(X382,'Updating-Scoring'!$C$2:$D$7,2,TRUE)</f>
        <v>4 - Strategic shift</v>
      </c>
      <c r="F382">
        <f t="shared" si="35"/>
        <v>18</v>
      </c>
      <c r="G382" s="110">
        <v>46145</v>
      </c>
      <c r="H382" t="s">
        <v>2448</v>
      </c>
      <c r="I382" s="34">
        <v>46135</v>
      </c>
      <c r="J382" t="s">
        <v>284</v>
      </c>
      <c r="K382" s="34" t="s">
        <v>428</v>
      </c>
      <c r="L382" s="34" t="s">
        <v>451</v>
      </c>
      <c r="M382" s="34" t="s">
        <v>483</v>
      </c>
      <c r="N382" s="34" t="str">
        <f t="shared" si="36"/>
        <v>Technology | AI/ Gen AI</v>
      </c>
      <c r="O382" s="109" t="s">
        <v>2449</v>
      </c>
      <c r="P382" s="38" t="s">
        <v>2450</v>
      </c>
      <c r="Q382" s="38"/>
      <c r="R382" s="38"/>
      <c r="T382">
        <v>3.6</v>
      </c>
      <c r="U382">
        <v>3.4</v>
      </c>
      <c r="X382" s="106">
        <f t="shared" si="37"/>
        <v>3.5200000000000005</v>
      </c>
      <c r="Y382" s="34" t="s">
        <v>2406</v>
      </c>
      <c r="Z382" s="34"/>
    </row>
    <row r="383" spans="1:26">
      <c r="A383" s="41">
        <f t="shared" si="33"/>
        <v>380</v>
      </c>
      <c r="B383" s="35" t="s">
        <v>2451</v>
      </c>
      <c r="C383" s="35" t="str">
        <f t="shared" si="34"/>
        <v>Apple trả Google $1B/năm tích hợp Gemini vào Siri – AI partnership lớn nhất trong lịch sử mobile</v>
      </c>
      <c r="D383" t="s">
        <v>85</v>
      </c>
      <c r="E383" s="105" t="str">
        <f>VLOOKUP(X383,'Updating-Scoring'!$C$2:$D$7,2,TRUE)</f>
        <v>4 - Strategic shift</v>
      </c>
      <c r="F383">
        <f t="shared" si="35"/>
        <v>18</v>
      </c>
      <c r="G383" s="110">
        <v>46145</v>
      </c>
      <c r="H383" t="s">
        <v>2452</v>
      </c>
      <c r="I383" s="34">
        <v>46135</v>
      </c>
      <c r="J383" t="s">
        <v>284</v>
      </c>
      <c r="K383" s="34" t="s">
        <v>428</v>
      </c>
      <c r="L383" s="34" t="s">
        <v>447</v>
      </c>
      <c r="M383" s="34" t="s">
        <v>476</v>
      </c>
      <c r="N383" s="34" t="str">
        <f t="shared" si="36"/>
        <v>Economic | Business model change</v>
      </c>
      <c r="O383" s="109" t="s">
        <v>2453</v>
      </c>
      <c r="P383" s="38" t="s">
        <v>2454</v>
      </c>
      <c r="Q383" s="38"/>
      <c r="R383" s="38"/>
      <c r="T383">
        <v>3.5</v>
      </c>
      <c r="U383">
        <v>3.5</v>
      </c>
      <c r="X383" s="106">
        <f t="shared" si="37"/>
        <v>3.5</v>
      </c>
      <c r="Y383" s="34" t="s">
        <v>86</v>
      </c>
      <c r="Z383" s="34"/>
    </row>
    <row r="384" spans="1:26">
      <c r="A384" s="41">
        <f t="shared" si="33"/>
        <v>381</v>
      </c>
      <c r="B384" s="35" t="s">
        <v>2455</v>
      </c>
      <c r="C384" s="35" t="str">
        <f t="shared" si="34"/>
        <v>Meta cho phép phụ huynh theo dõi chủ đề con trao đổi với Meta A</v>
      </c>
      <c r="D384" t="s">
        <v>1012</v>
      </c>
      <c r="E384" s="105" t="str">
        <f>VLOOKUP(X384,'Updating-Scoring'!$C$2:$D$7,2,TRUE)</f>
        <v>3 - Market signal</v>
      </c>
      <c r="F384">
        <f t="shared" si="35"/>
        <v>18</v>
      </c>
      <c r="G384" s="110">
        <v>46145</v>
      </c>
      <c r="H384" t="s">
        <v>2456</v>
      </c>
      <c r="I384" s="34">
        <v>46135</v>
      </c>
      <c r="J384" t="s">
        <v>284</v>
      </c>
      <c r="K384" s="34" t="s">
        <v>428</v>
      </c>
      <c r="L384" s="34" t="s">
        <v>453</v>
      </c>
      <c r="M384" s="34" t="s">
        <v>494</v>
      </c>
      <c r="N384" s="34" t="str">
        <f t="shared" si="36"/>
        <v>Legal | Social media regulation</v>
      </c>
      <c r="O384" s="109" t="s">
        <v>2457</v>
      </c>
      <c r="P384" s="37" t="s">
        <v>2458</v>
      </c>
      <c r="Q384" s="38"/>
      <c r="R384" s="38"/>
      <c r="T384">
        <v>3.4</v>
      </c>
      <c r="U384">
        <v>3</v>
      </c>
      <c r="X384" s="106">
        <f t="shared" si="37"/>
        <v>3.24</v>
      </c>
      <c r="Y384" s="34" t="s">
        <v>2406</v>
      </c>
      <c r="Z384" s="34"/>
    </row>
    <row r="385" spans="1:26">
      <c r="A385" s="41">
        <f t="shared" si="33"/>
        <v>382</v>
      </c>
      <c r="B385" s="35" t="s">
        <v>2459</v>
      </c>
      <c r="C385" s="35" t="str">
        <f t="shared" si="34"/>
        <v>Amazon đưa AI hỏi–đáp bằng giọng nói lên trang sản phẩm</v>
      </c>
      <c r="D385" t="s">
        <v>1012</v>
      </c>
      <c r="E385" s="105" t="str">
        <f>VLOOKUP(X385,'Updating-Scoring'!$C$2:$D$7,2,TRUE)</f>
        <v>3 - Market signal</v>
      </c>
      <c r="F385">
        <f t="shared" si="35"/>
        <v>18</v>
      </c>
      <c r="G385" s="110">
        <v>46145</v>
      </c>
      <c r="H385" t="s">
        <v>2460</v>
      </c>
      <c r="I385" s="34">
        <v>46140</v>
      </c>
      <c r="J385" t="s">
        <v>284</v>
      </c>
      <c r="K385" s="34" t="s">
        <v>428</v>
      </c>
      <c r="L385" s="34" t="s">
        <v>451</v>
      </c>
      <c r="M385" s="34" t="s">
        <v>483</v>
      </c>
      <c r="N385" s="34" t="str">
        <f t="shared" si="36"/>
        <v>Technology | AI/ Gen AI</v>
      </c>
      <c r="O385" s="109" t="s">
        <v>2461</v>
      </c>
      <c r="P385" t="s">
        <v>2462</v>
      </c>
      <c r="Q385" s="37">
        <v>46136</v>
      </c>
      <c r="R385" s="38"/>
      <c r="T385">
        <v>3.4</v>
      </c>
      <c r="U385">
        <v>3</v>
      </c>
      <c r="X385" s="106">
        <f t="shared" si="37"/>
        <v>3.24</v>
      </c>
      <c r="Y385" s="34" t="s">
        <v>228</v>
      </c>
      <c r="Z385" s="34"/>
    </row>
    <row r="386" spans="1:26">
      <c r="A386" s="41">
        <f t="shared" si="33"/>
        <v>383</v>
      </c>
      <c r="B386" s="35" t="s">
        <v>2463</v>
      </c>
      <c r="C386" s="35" t="str">
        <f t="shared" si="34"/>
        <v>Fintech Malaysia đưa Pay Later vào thanh toán thẻ để mở rộng chi tiêu</v>
      </c>
      <c r="D386" t="s">
        <v>144</v>
      </c>
      <c r="E386" s="105" t="str">
        <f>VLOOKUP(X386,'Updating-Scoring'!$C$2:$D$7,2,TRUE)</f>
        <v>3 - Market signal</v>
      </c>
      <c r="F386">
        <f t="shared" si="35"/>
        <v>18</v>
      </c>
      <c r="G386" s="110">
        <v>46145</v>
      </c>
      <c r="H386" t="s">
        <v>2464</v>
      </c>
      <c r="I386" s="34">
        <v>46136</v>
      </c>
      <c r="J386" t="s">
        <v>284</v>
      </c>
      <c r="K386" s="34" t="s">
        <v>430</v>
      </c>
      <c r="L386" s="34" t="s">
        <v>447</v>
      </c>
      <c r="M386" s="34" t="s">
        <v>476</v>
      </c>
      <c r="N386" s="34" t="str">
        <f t="shared" si="36"/>
        <v>Economic | Business model change</v>
      </c>
      <c r="O386" s="109" t="s">
        <v>2465</v>
      </c>
      <c r="P386" t="s">
        <v>2466</v>
      </c>
      <c r="Q386" s="37">
        <v>46135</v>
      </c>
      <c r="R386" s="38"/>
      <c r="T386">
        <v>3.3</v>
      </c>
      <c r="U386">
        <v>3.1</v>
      </c>
      <c r="X386" s="106">
        <f t="shared" si="37"/>
        <v>3.2199999999999998</v>
      </c>
      <c r="Y386" s="34" t="s">
        <v>2371</v>
      </c>
      <c r="Z386" s="34"/>
    </row>
    <row r="387" spans="1:26">
      <c r="A387" s="41">
        <f t="shared" si="33"/>
        <v>384</v>
      </c>
      <c r="B387" s="35" t="s">
        <v>2467</v>
      </c>
      <c r="C387" s="35" t="str">
        <f t="shared" si="34"/>
        <v>X tái xây dựng nền tảng quảng cáo, đặt AI làm lõi vận hành</v>
      </c>
      <c r="D387" t="s">
        <v>1012</v>
      </c>
      <c r="E387" s="105" t="str">
        <f>VLOOKUP(X387,'Updating-Scoring'!$C$2:$D$7,2,TRUE)</f>
        <v>3 - Market signal</v>
      </c>
      <c r="F387">
        <f t="shared" si="35"/>
        <v>18</v>
      </c>
      <c r="G387" s="110">
        <v>46145</v>
      </c>
      <c r="H387" t="s">
        <v>2468</v>
      </c>
      <c r="I387" s="34">
        <v>46142</v>
      </c>
      <c r="J387" t="s">
        <v>284</v>
      </c>
      <c r="K387" s="34" t="s">
        <v>428</v>
      </c>
      <c r="L387" s="34" t="s">
        <v>451</v>
      </c>
      <c r="M387" s="34" t="s">
        <v>483</v>
      </c>
      <c r="N387" s="34" t="str">
        <f t="shared" si="36"/>
        <v>Technology | AI/ Gen AI</v>
      </c>
      <c r="O387" s="109" t="s">
        <v>2469</v>
      </c>
      <c r="P387" t="s">
        <v>2470</v>
      </c>
      <c r="Q387" s="37">
        <v>46142</v>
      </c>
      <c r="R387" s="38"/>
      <c r="T387">
        <v>3.3</v>
      </c>
      <c r="U387">
        <v>3</v>
      </c>
      <c r="X387" s="106">
        <f t="shared" si="37"/>
        <v>3.1799999999999997</v>
      </c>
      <c r="Y387" s="34" t="s">
        <v>2406</v>
      </c>
      <c r="Z387" s="34"/>
    </row>
    <row r="388" spans="1:26">
      <c r="A388" s="41">
        <f t="shared" si="33"/>
        <v>385</v>
      </c>
      <c r="B388" s="35" t="s">
        <v>2471</v>
      </c>
      <c r="C388" s="35" t="str">
        <f t="shared" si="34"/>
        <v>X đóng cửa tính năng Communities do ít người dùng và spam lan tràn</v>
      </c>
      <c r="D388" t="s">
        <v>1012</v>
      </c>
      <c r="E388" s="105" t="str">
        <f>VLOOKUP(X388,'Updating-Scoring'!$C$2:$D$7,2,TRUE)</f>
        <v>3 - Market signal</v>
      </c>
      <c r="F388">
        <f t="shared" si="35"/>
        <v>18</v>
      </c>
      <c r="G388" s="34">
        <v>46145</v>
      </c>
      <c r="H388" t="s">
        <v>2472</v>
      </c>
      <c r="I388" s="34">
        <v>46135</v>
      </c>
      <c r="J388" t="s">
        <v>284</v>
      </c>
      <c r="K388" s="34" t="s">
        <v>428</v>
      </c>
      <c r="L388" s="34" t="s">
        <v>451</v>
      </c>
      <c r="M388" s="34" t="s">
        <v>483</v>
      </c>
      <c r="N388" s="34" t="str">
        <f t="shared" si="36"/>
        <v>Technology | AI/ Gen AI</v>
      </c>
      <c r="O388" s="109" t="s">
        <v>2473</v>
      </c>
      <c r="P388" t="s">
        <v>2474</v>
      </c>
      <c r="R388" s="38"/>
      <c r="T388">
        <v>3.3</v>
      </c>
      <c r="U388">
        <v>3</v>
      </c>
      <c r="X388" s="106">
        <f t="shared" si="37"/>
        <v>3.1799999999999997</v>
      </c>
      <c r="Y388" s="34" t="s">
        <v>2406</v>
      </c>
      <c r="Z388" s="34"/>
    </row>
    <row r="389" spans="1:26">
      <c r="A389" s="41">
        <f t="shared" si="33"/>
        <v>386</v>
      </c>
      <c r="B389" s="35" t="s">
        <v>2475</v>
      </c>
      <c r="C389" s="35" t="str">
        <f t="shared" si="34"/>
        <v>Netflix thử nghiệm feed video dọc kiểu TikTok để tăng khám phá nội dung</v>
      </c>
      <c r="D389" t="s">
        <v>1012</v>
      </c>
      <c r="E389" s="105" t="str">
        <f>VLOOKUP(X389,'Updating-Scoring'!$C$2:$D$7,2,TRUE)</f>
        <v>3 - Market signal</v>
      </c>
      <c r="F389">
        <f t="shared" si="35"/>
        <v>18</v>
      </c>
      <c r="G389" s="34">
        <v>46145</v>
      </c>
      <c r="H389" t="s">
        <v>2476</v>
      </c>
      <c r="I389" s="34">
        <v>46142</v>
      </c>
      <c r="J389" t="s">
        <v>284</v>
      </c>
      <c r="K389" s="34" t="s">
        <v>428</v>
      </c>
      <c r="L389" s="34" t="s">
        <v>451</v>
      </c>
      <c r="M389" s="34" t="s">
        <v>483</v>
      </c>
      <c r="N389" s="34" t="str">
        <f t="shared" si="36"/>
        <v>Technology | AI/ Gen AI</v>
      </c>
      <c r="O389" s="109" t="s">
        <v>2477</v>
      </c>
      <c r="P389" t="s">
        <v>2478</v>
      </c>
      <c r="Q389" s="37">
        <v>46143</v>
      </c>
      <c r="R389" s="38"/>
      <c r="T389">
        <v>3.3</v>
      </c>
      <c r="U389">
        <v>3</v>
      </c>
      <c r="X389" s="106">
        <f t="shared" si="37"/>
        <v>3.1799999999999997</v>
      </c>
      <c r="Y389" s="34" t="s">
        <v>2406</v>
      </c>
      <c r="Z389" s="34"/>
    </row>
    <row r="390" spans="1:26">
      <c r="A390" s="41">
        <f t="shared" si="33"/>
        <v>387</v>
      </c>
      <c r="B390" s="35" t="s">
        <v>2479</v>
      </c>
      <c r="C390" s="35" t="str">
        <f t="shared" si="34"/>
        <v>Chưa đến 2% hộ kinh doanh VN muốn mở rộng</v>
      </c>
      <c r="D390" t="s">
        <v>1927</v>
      </c>
      <c r="E390" s="105" t="str">
        <f>VLOOKUP(X390,'Updating-Scoring'!$C$2:$D$7,2,TRUE)</f>
        <v>3 - Market signal</v>
      </c>
      <c r="F390">
        <f t="shared" si="35"/>
        <v>18</v>
      </c>
      <c r="G390" s="34">
        <v>46145</v>
      </c>
      <c r="H390" t="s">
        <v>2480</v>
      </c>
      <c r="I390" s="34">
        <v>46135</v>
      </c>
      <c r="J390" t="s">
        <v>284</v>
      </c>
      <c r="K390" s="34" t="s">
        <v>431</v>
      </c>
      <c r="L390" s="34" t="s">
        <v>447</v>
      </c>
      <c r="M390" s="34" t="s">
        <v>476</v>
      </c>
      <c r="N390" s="34" t="str">
        <f t="shared" si="36"/>
        <v>Economic | Business model change</v>
      </c>
      <c r="O390" s="109" t="s">
        <v>2481</v>
      </c>
      <c r="P390" s="37" t="s">
        <v>2482</v>
      </c>
      <c r="Q390" s="38"/>
      <c r="R390" s="38"/>
      <c r="T390">
        <v>3.2</v>
      </c>
      <c r="U390">
        <v>3</v>
      </c>
      <c r="X390" s="106">
        <f t="shared" si="37"/>
        <v>3.12</v>
      </c>
      <c r="Y390" s="34" t="s">
        <v>2483</v>
      </c>
      <c r="Z390" s="34"/>
    </row>
    <row r="391" spans="1:26">
      <c r="A391" s="41">
        <f t="shared" si="33"/>
        <v>388</v>
      </c>
      <c r="B391" s="35" t="s">
        <v>2484</v>
      </c>
      <c r="C391" s="35" t="str">
        <f t="shared" si="34"/>
        <v>YouTube thử nghiệm tìm kiếm AI trả lời có hướng dẫn</v>
      </c>
      <c r="D391" t="s">
        <v>1012</v>
      </c>
      <c r="E391" s="105" t="str">
        <f>VLOOKUP(X391,'Updating-Scoring'!$C$2:$D$7,2,TRUE)</f>
        <v>3 - Market signal</v>
      </c>
      <c r="F391">
        <f t="shared" si="35"/>
        <v>18</v>
      </c>
      <c r="G391" s="34">
        <v>46145</v>
      </c>
      <c r="H391" t="s">
        <v>2485</v>
      </c>
      <c r="I391" s="34">
        <v>46140</v>
      </c>
      <c r="J391" t="s">
        <v>284</v>
      </c>
      <c r="K391" s="34" t="s">
        <v>428</v>
      </c>
      <c r="L391" s="34" t="s">
        <v>451</v>
      </c>
      <c r="M391" s="34" t="s">
        <v>483</v>
      </c>
      <c r="N391" s="34" t="str">
        <f t="shared" si="36"/>
        <v>Technology | AI/ Gen AI</v>
      </c>
      <c r="O391" s="109" t="s">
        <v>2486</v>
      </c>
      <c r="P391" t="s">
        <v>2487</v>
      </c>
      <c r="Q391" s="37">
        <v>46140</v>
      </c>
      <c r="R391" s="38"/>
      <c r="T391">
        <v>3.2</v>
      </c>
      <c r="U391">
        <v>3</v>
      </c>
      <c r="X391" s="106">
        <f t="shared" si="37"/>
        <v>3.12</v>
      </c>
      <c r="Y391" s="34" t="s">
        <v>2406</v>
      </c>
      <c r="Z391" s="34"/>
    </row>
    <row r="392" spans="1:26">
      <c r="A392" s="41">
        <f t="shared" si="33"/>
        <v>389</v>
      </c>
      <c r="B392" s="35" t="s">
        <v>2488</v>
      </c>
      <c r="C392" s="35" t="str">
        <f t="shared" si="34"/>
        <v>Nhóm thu nhập cao dẫn đầu xu hướng ứng dụng AI trong công việc</v>
      </c>
      <c r="D392" t="s">
        <v>104</v>
      </c>
      <c r="E392" s="105" t="str">
        <f>VLOOKUP(X392,'Updating-Scoring'!$C$2:$D$7,2,TRUE)</f>
        <v>3 - Market signal</v>
      </c>
      <c r="F392">
        <f t="shared" si="35"/>
        <v>18</v>
      </c>
      <c r="G392" s="34">
        <v>46145</v>
      </c>
      <c r="H392" t="s">
        <v>2489</v>
      </c>
      <c r="I392" s="34">
        <v>46134</v>
      </c>
      <c r="J392" t="s">
        <v>284</v>
      </c>
      <c r="K392" s="34" t="s">
        <v>428</v>
      </c>
      <c r="L392" s="34" t="s">
        <v>449</v>
      </c>
      <c r="M392" s="34" t="s">
        <v>479</v>
      </c>
      <c r="N392" s="34" t="str">
        <f t="shared" si="36"/>
        <v>Social | Digital adoption</v>
      </c>
      <c r="O392" s="109" t="s">
        <v>2490</v>
      </c>
      <c r="P392" s="37" t="s">
        <v>2491</v>
      </c>
      <c r="Q392" s="38"/>
      <c r="R392" s="38"/>
      <c r="T392">
        <v>3.1</v>
      </c>
      <c r="U392">
        <v>3.1</v>
      </c>
      <c r="X392" s="106">
        <f t="shared" si="37"/>
        <v>3.1</v>
      </c>
      <c r="Y392" s="34" t="s">
        <v>86</v>
      </c>
      <c r="Z392" s="34"/>
    </row>
    <row r="393" spans="1:26" hidden="1">
      <c r="A393" s="41">
        <f t="shared" ref="A393:A423" si="38">ROW()-3</f>
        <v>390</v>
      </c>
      <c r="B393" s="35"/>
      <c r="C393" s="35" t="str">
        <f t="shared" ref="C393:C423" si="39">HYPERLINK(B393,O393)</f>
        <v>GrabCar: Giảm 10% tối đa 50k cho các chuyến có điểm đón trả nhất định</v>
      </c>
      <c r="D393" t="s">
        <v>1338</v>
      </c>
      <c r="E393" s="105" t="str">
        <f>VLOOKUP(X393,'Updating-Scoring'!$C$2:$D$7,2,TRUE)</f>
        <v>4 - Strategic shift</v>
      </c>
      <c r="F393">
        <v>15</v>
      </c>
      <c r="G393" s="34">
        <v>46145</v>
      </c>
      <c r="H393" t="s">
        <v>1354</v>
      </c>
      <c r="I393" s="34">
        <v>46143</v>
      </c>
      <c r="J393" t="s">
        <v>170</v>
      </c>
      <c r="K393" s="34" t="s">
        <v>438</v>
      </c>
      <c r="L393" s="34" t="s">
        <v>457</v>
      </c>
      <c r="M393" s="34" t="s">
        <v>416</v>
      </c>
      <c r="N393" s="34" t="s">
        <v>2492</v>
      </c>
      <c r="O393" s="34" t="s">
        <v>1355</v>
      </c>
      <c r="P393" t="s">
        <v>1356</v>
      </c>
      <c r="Q393" s="38">
        <v>46143</v>
      </c>
      <c r="R393" s="38">
        <v>46173</v>
      </c>
      <c r="S393">
        <v>3</v>
      </c>
      <c r="T393">
        <v>4</v>
      </c>
      <c r="U393">
        <v>4</v>
      </c>
      <c r="V393">
        <v>2</v>
      </c>
      <c r="W393" s="106">
        <v>3.4</v>
      </c>
      <c r="X393" s="106">
        <f t="shared" ref="X393:X423" si="40">IF(G393&lt;DATE(2026,4,30),T393*$T$1+U393*$U$1+V393*$V$1+W393*$W$1,T393*$T$2+U393*$U$2)</f>
        <v>4</v>
      </c>
      <c r="Y393" s="34" t="s">
        <v>1344</v>
      </c>
    </row>
    <row r="394" spans="1:26" hidden="1">
      <c r="A394" s="41">
        <f t="shared" si="38"/>
        <v>391</v>
      </c>
      <c r="B394" s="35"/>
      <c r="C394" s="35" t="str">
        <f t="shared" si="39"/>
        <v>GrabCar: Thưởng 10% GrabXu tối đa 1500 xu</v>
      </c>
      <c r="D394" t="s">
        <v>1338</v>
      </c>
      <c r="E394" s="105" t="str">
        <f>VLOOKUP(X394,'Updating-Scoring'!$C$2:$D$7,2,TRUE)</f>
        <v>4 - Strategic shift</v>
      </c>
      <c r="F394">
        <v>15</v>
      </c>
      <c r="G394" s="34">
        <v>46145</v>
      </c>
      <c r="H394" t="s">
        <v>1358</v>
      </c>
      <c r="I394" s="34">
        <v>46143</v>
      </c>
      <c r="J394" t="s">
        <v>170</v>
      </c>
      <c r="K394" s="34" t="s">
        <v>438</v>
      </c>
      <c r="L394" s="34" t="s">
        <v>457</v>
      </c>
      <c r="M394" s="34" t="s">
        <v>416</v>
      </c>
      <c r="N394" s="34" t="s">
        <v>2492</v>
      </c>
      <c r="O394" s="34" t="s">
        <v>1359</v>
      </c>
      <c r="P394" t="s">
        <v>1360</v>
      </c>
      <c r="Q394" s="38">
        <v>46143</v>
      </c>
      <c r="R394" s="38">
        <v>46173</v>
      </c>
      <c r="S394">
        <v>3</v>
      </c>
      <c r="T394">
        <v>4</v>
      </c>
      <c r="U394">
        <v>4</v>
      </c>
      <c r="V394">
        <v>2</v>
      </c>
      <c r="W394" s="106">
        <v>3.4</v>
      </c>
      <c r="X394" s="106">
        <f t="shared" si="40"/>
        <v>4</v>
      </c>
      <c r="Y394" s="34" t="s">
        <v>1344</v>
      </c>
    </row>
    <row r="395" spans="1:26" hidden="1">
      <c r="A395" s="41">
        <f t="shared" si="38"/>
        <v>392</v>
      </c>
      <c r="B395" s="35"/>
      <c r="C395" s="35" t="str">
        <f t="shared" si="39"/>
        <v>GrabBike: Giảm 10% tối đa 50k cho các chuyến có điểm đón trả nhất định</v>
      </c>
      <c r="D395" t="s">
        <v>1338</v>
      </c>
      <c r="E395" s="105" t="str">
        <f>VLOOKUP(X395,'Updating-Scoring'!$C$2:$D$7,2,TRUE)</f>
        <v>4 - Strategic shift</v>
      </c>
      <c r="F395">
        <v>15</v>
      </c>
      <c r="G395" s="34">
        <v>46145</v>
      </c>
      <c r="H395" t="s">
        <v>1362</v>
      </c>
      <c r="I395" s="34">
        <v>46143</v>
      </c>
      <c r="J395" t="s">
        <v>170</v>
      </c>
      <c r="K395" s="34" t="s">
        <v>438</v>
      </c>
      <c r="L395" s="34" t="s">
        <v>457</v>
      </c>
      <c r="M395" s="34" t="s">
        <v>416</v>
      </c>
      <c r="N395" s="34" t="s">
        <v>2492</v>
      </c>
      <c r="O395" s="34" t="s">
        <v>1363</v>
      </c>
      <c r="P395" t="s">
        <v>1364</v>
      </c>
      <c r="Q395" s="38">
        <v>46143</v>
      </c>
      <c r="R395" s="38">
        <v>46173</v>
      </c>
      <c r="S395">
        <v>3</v>
      </c>
      <c r="T395">
        <v>4</v>
      </c>
      <c r="U395">
        <v>4</v>
      </c>
      <c r="V395">
        <v>2</v>
      </c>
      <c r="W395" s="106">
        <v>3.4</v>
      </c>
      <c r="X395" s="106">
        <f t="shared" si="40"/>
        <v>4</v>
      </c>
      <c r="Y395" s="34" t="s">
        <v>1349</v>
      </c>
    </row>
    <row r="396" spans="1:26">
      <c r="A396" s="41">
        <f t="shared" si="38"/>
        <v>393</v>
      </c>
      <c r="B396" s="35" t="s">
        <v>2493</v>
      </c>
      <c r="C396" s="35" t="str">
        <f t="shared" si="39"/>
        <v>Anthropic định giá $1 nghìn tỷ trên thị trường thứ cấp – Vượt OpenAI, AI vendor cung cấp cho super-app tăng giá trị</v>
      </c>
      <c r="D396" t="s">
        <v>104</v>
      </c>
      <c r="E396" s="105" t="str">
        <f>VLOOKUP(X396,'Updating-Scoring'!$C$2:$D$7,2,TRUE)</f>
        <v>3 - Market signal</v>
      </c>
      <c r="F396">
        <f t="shared" ref="F396:F426" si="41">WEEKNUM(G396,2)</f>
        <v>18</v>
      </c>
      <c r="G396" s="34">
        <v>46145</v>
      </c>
      <c r="H396" t="s">
        <v>2494</v>
      </c>
      <c r="I396" s="34">
        <v>46137</v>
      </c>
      <c r="J396" t="s">
        <v>284</v>
      </c>
      <c r="K396" s="34" t="s">
        <v>428</v>
      </c>
      <c r="L396" s="34" t="s">
        <v>447</v>
      </c>
      <c r="M396" s="34" t="s">
        <v>2395</v>
      </c>
      <c r="N396" s="34" t="str">
        <f t="shared" ref="N396:N426" si="42">L396&amp;" | "&amp;M396</f>
        <v>Economic | Funding/ Investment</v>
      </c>
      <c r="O396" s="109" t="s">
        <v>2495</v>
      </c>
      <c r="P396" s="37" t="s">
        <v>2496</v>
      </c>
      <c r="Q396" s="38"/>
      <c r="R396" s="38"/>
      <c r="T396">
        <v>3.1</v>
      </c>
      <c r="U396">
        <v>3</v>
      </c>
      <c r="X396" s="106">
        <f t="shared" si="40"/>
        <v>3.06</v>
      </c>
      <c r="Y396" s="34" t="s">
        <v>86</v>
      </c>
      <c r="Z396" s="34"/>
    </row>
    <row r="397" spans="1:26">
      <c r="A397" s="41">
        <f t="shared" si="38"/>
        <v>394</v>
      </c>
      <c r="B397" s="35" t="s">
        <v>2497</v>
      </c>
      <c r="C397" s="35" t="str">
        <f t="shared" si="39"/>
        <v>ChatGPT Images 2.0 ra mắt – Tạo ảnh với khả năng suy luận: manga, bản đồ lịch sử từ 1 câu lệnh</v>
      </c>
      <c r="D397" t="s">
        <v>85</v>
      </c>
      <c r="E397" s="105" t="str">
        <f>VLOOKUP(X397,'Updating-Scoring'!$C$2:$D$7,2,TRUE)</f>
        <v>3 - Market signal</v>
      </c>
      <c r="F397">
        <f t="shared" si="41"/>
        <v>18</v>
      </c>
      <c r="G397" s="34">
        <v>46145</v>
      </c>
      <c r="H397" t="s">
        <v>2498</v>
      </c>
      <c r="I397" s="34">
        <v>46134</v>
      </c>
      <c r="J397" t="s">
        <v>284</v>
      </c>
      <c r="K397" s="34" t="s">
        <v>428</v>
      </c>
      <c r="L397" s="34" t="s">
        <v>451</v>
      </c>
      <c r="M397" s="34" t="s">
        <v>483</v>
      </c>
      <c r="N397" s="34" t="str">
        <f t="shared" si="42"/>
        <v>Technology | AI/ Gen AI</v>
      </c>
      <c r="O397" s="109" t="s">
        <v>2499</v>
      </c>
      <c r="P397" s="37" t="s">
        <v>2500</v>
      </c>
      <c r="Q397" s="38"/>
      <c r="R397" s="38"/>
      <c r="T397">
        <v>3.1</v>
      </c>
      <c r="U397">
        <v>3</v>
      </c>
      <c r="X397" s="106">
        <f t="shared" si="40"/>
        <v>3.06</v>
      </c>
      <c r="Y397" s="34" t="s">
        <v>86</v>
      </c>
      <c r="Z397" s="34"/>
    </row>
    <row r="398" spans="1:26">
      <c r="A398" s="41">
        <f t="shared" si="38"/>
        <v>395</v>
      </c>
      <c r="B398" s="35" t="s">
        <v>2501</v>
      </c>
      <c r="C398" s="35" t="str">
        <f t="shared" si="39"/>
        <v>DeepSeek V4 ra mắt: context 1M token, giá thấp hơn 6x GPT-5.5, ra mắt cùng ngày GPT-5.5</v>
      </c>
      <c r="D398" t="s">
        <v>1927</v>
      </c>
      <c r="E398" s="105" t="str">
        <f>VLOOKUP(X398,'Updating-Scoring'!$C$2:$D$7,2,TRUE)</f>
        <v>3 - Market signal</v>
      </c>
      <c r="F398">
        <f t="shared" si="41"/>
        <v>18</v>
      </c>
      <c r="G398" s="34">
        <v>46145</v>
      </c>
      <c r="H398" t="s">
        <v>2502</v>
      </c>
      <c r="I398" s="34">
        <v>46136</v>
      </c>
      <c r="J398" t="s">
        <v>284</v>
      </c>
      <c r="K398" s="34" t="s">
        <v>429</v>
      </c>
      <c r="L398" s="34" t="s">
        <v>451</v>
      </c>
      <c r="M398" s="34" t="s">
        <v>483</v>
      </c>
      <c r="N398" s="34" t="str">
        <f t="shared" si="42"/>
        <v>Technology | AI/ Gen AI</v>
      </c>
      <c r="O398" s="109" t="s">
        <v>2503</v>
      </c>
      <c r="P398" s="37" t="s">
        <v>2504</v>
      </c>
      <c r="Q398" s="38"/>
      <c r="R398" s="38"/>
      <c r="T398">
        <v>3.1</v>
      </c>
      <c r="U398">
        <v>3</v>
      </c>
      <c r="X398" s="106">
        <f t="shared" si="40"/>
        <v>3.06</v>
      </c>
      <c r="Y398" s="34" t="s">
        <v>86</v>
      </c>
      <c r="Z398" s="34"/>
    </row>
    <row r="399" spans="1:26">
      <c r="A399" s="41">
        <f t="shared" si="38"/>
        <v>396</v>
      </c>
      <c r="B399" s="35" t="s">
        <v>2505</v>
      </c>
      <c r="C399" s="35" t="str">
        <f t="shared" si="39"/>
        <v>GPT-5.5 ra mắt cạnh tranh Claude Opus 4.7</v>
      </c>
      <c r="D399" t="s">
        <v>85</v>
      </c>
      <c r="E399" s="105" t="str">
        <f>VLOOKUP(X399,'Updating-Scoring'!$C$2:$D$7,2,TRUE)</f>
        <v>3 - Market signal</v>
      </c>
      <c r="F399">
        <f t="shared" si="41"/>
        <v>18</v>
      </c>
      <c r="G399" s="34">
        <v>46145</v>
      </c>
      <c r="H399" t="s">
        <v>2506</v>
      </c>
      <c r="I399" s="34">
        <v>46136</v>
      </c>
      <c r="J399" t="s">
        <v>284</v>
      </c>
      <c r="K399" s="34" t="s">
        <v>428</v>
      </c>
      <c r="L399" s="34" t="s">
        <v>451</v>
      </c>
      <c r="M399" s="34" t="s">
        <v>483</v>
      </c>
      <c r="N399" s="34" t="str">
        <f t="shared" si="42"/>
        <v>Technology | AI/ Gen AI</v>
      </c>
      <c r="O399" s="109" t="s">
        <v>2507</v>
      </c>
      <c r="P399" s="37" t="s">
        <v>2508</v>
      </c>
      <c r="Q399" s="38"/>
      <c r="R399" s="38"/>
      <c r="T399">
        <v>3.1</v>
      </c>
      <c r="U399">
        <v>3</v>
      </c>
      <c r="X399" s="106">
        <f t="shared" si="40"/>
        <v>3.06</v>
      </c>
      <c r="Y399" s="34" t="s">
        <v>86</v>
      </c>
      <c r="Z399" s="34"/>
    </row>
    <row r="400" spans="1:26">
      <c r="A400" s="41">
        <f t="shared" si="38"/>
        <v>397</v>
      </c>
      <c r="B400" s="35" t="s">
        <v>2509</v>
      </c>
      <c r="C400" s="35" t="str">
        <f t="shared" si="39"/>
        <v>Anthropic Project Deal: 186 giao dịch agent-to-agent, $4.000 giá trị – Kỷ nguyên AI commerce đang đến</v>
      </c>
      <c r="D400" t="s">
        <v>1012</v>
      </c>
      <c r="E400" s="105" t="str">
        <f>VLOOKUP(X400,'Updating-Scoring'!$C$2:$D$7,2,TRUE)</f>
        <v>3 - Market signal</v>
      </c>
      <c r="F400">
        <f t="shared" si="41"/>
        <v>18</v>
      </c>
      <c r="G400" s="34">
        <v>46145</v>
      </c>
      <c r="H400" t="s">
        <v>2510</v>
      </c>
      <c r="I400" s="34">
        <v>46137</v>
      </c>
      <c r="J400" t="s">
        <v>284</v>
      </c>
      <c r="K400" s="34" t="s">
        <v>428</v>
      </c>
      <c r="L400" s="34" t="s">
        <v>451</v>
      </c>
      <c r="M400" s="34" t="s">
        <v>483</v>
      </c>
      <c r="N400" s="34" t="str">
        <f t="shared" si="42"/>
        <v>Technology | AI/ Gen AI</v>
      </c>
      <c r="O400" s="109" t="s">
        <v>2511</v>
      </c>
      <c r="P400" s="37" t="s">
        <v>2512</v>
      </c>
      <c r="Q400" s="38"/>
      <c r="R400" s="38"/>
      <c r="T400">
        <v>3.1</v>
      </c>
      <c r="U400">
        <v>3</v>
      </c>
      <c r="X400" s="106">
        <f t="shared" si="40"/>
        <v>3.06</v>
      </c>
      <c r="Y400" s="34" t="s">
        <v>86</v>
      </c>
      <c r="Z400" s="34"/>
    </row>
    <row r="401" spans="1:26">
      <c r="A401" s="41">
        <f t="shared" si="38"/>
        <v>398</v>
      </c>
      <c r="B401" s="35" t="s">
        <v>2513</v>
      </c>
      <c r="C401" s="35" t="str">
        <f t="shared" si="39"/>
        <v>MoMo x Taptap Send: Hướng dẫn nhận kiều hối quốc tế qua MoMo – Đối tác Taptap Send</v>
      </c>
      <c r="D401" t="s">
        <v>610</v>
      </c>
      <c r="E401" s="105" t="str">
        <f>VLOOKUP(X401,'Updating-Scoring'!$C$2:$D$7,2,TRUE)</f>
        <v>2 - Minor signal</v>
      </c>
      <c r="F401">
        <f t="shared" si="41"/>
        <v>18</v>
      </c>
      <c r="G401" s="34">
        <v>46145</v>
      </c>
      <c r="H401" t="s">
        <v>2514</v>
      </c>
      <c r="I401" s="34">
        <v>46141</v>
      </c>
      <c r="J401" t="s">
        <v>170</v>
      </c>
      <c r="K401" s="34" t="s">
        <v>432</v>
      </c>
      <c r="L401" s="34" t="s">
        <v>411</v>
      </c>
      <c r="M401" s="34" t="s">
        <v>502</v>
      </c>
      <c r="N401" s="34" t="str">
        <f t="shared" si="42"/>
        <v>Feature | Payment capability upgrade</v>
      </c>
      <c r="O401" s="34" t="s">
        <v>2515</v>
      </c>
      <c r="P401" s="34" t="s">
        <v>2516</v>
      </c>
      <c r="Q401" s="38">
        <v>46141</v>
      </c>
      <c r="R401" s="109"/>
      <c r="S401" s="38" t="s">
        <v>2517</v>
      </c>
      <c r="T401">
        <v>2</v>
      </c>
      <c r="U401">
        <v>3.2</v>
      </c>
      <c r="X401" s="106">
        <f t="shared" si="40"/>
        <v>2.4800000000000004</v>
      </c>
      <c r="Y401" s="34"/>
      <c r="Z401" s="34"/>
    </row>
    <row r="402" spans="1:26">
      <c r="A402" s="41">
        <f t="shared" si="38"/>
        <v>399</v>
      </c>
      <c r="B402" s="35" t="s">
        <v>2518</v>
      </c>
      <c r="C402" s="35" t="str">
        <f t="shared" si="39"/>
        <v>MoMo x GmoneyTrans: Hướng dẫn nhận kiều hối từ Hàn Quốc qua MoMo – Đối tác GmoneyTrans</v>
      </c>
      <c r="D402" t="s">
        <v>610</v>
      </c>
      <c r="E402" s="105" t="str">
        <f>VLOOKUP(X402,'Updating-Scoring'!$C$2:$D$7,2,TRUE)</f>
        <v>2 - Minor signal</v>
      </c>
      <c r="F402">
        <f t="shared" si="41"/>
        <v>18</v>
      </c>
      <c r="G402" s="34">
        <v>46145</v>
      </c>
      <c r="H402" t="s">
        <v>2519</v>
      </c>
      <c r="I402" s="34">
        <v>46141</v>
      </c>
      <c r="J402" t="s">
        <v>170</v>
      </c>
      <c r="K402" s="34" t="s">
        <v>432</v>
      </c>
      <c r="L402" s="34" t="s">
        <v>411</v>
      </c>
      <c r="M402" s="34" t="s">
        <v>502</v>
      </c>
      <c r="N402" s="34" t="str">
        <f t="shared" si="42"/>
        <v>Feature | Payment capability upgrade</v>
      </c>
      <c r="O402" s="34" t="s">
        <v>2520</v>
      </c>
      <c r="P402" s="34" t="s">
        <v>2521</v>
      </c>
      <c r="Q402" s="38">
        <v>46141</v>
      </c>
      <c r="R402" s="109"/>
      <c r="S402" s="38" t="s">
        <v>2522</v>
      </c>
      <c r="T402">
        <v>2</v>
      </c>
      <c r="U402">
        <v>3.2</v>
      </c>
      <c r="X402" s="106">
        <f t="shared" si="40"/>
        <v>2.4800000000000004</v>
      </c>
      <c r="Y402" s="34"/>
      <c r="Z402" s="34"/>
    </row>
    <row r="403" spans="1:26">
      <c r="A403" s="41">
        <f t="shared" si="38"/>
        <v>400</v>
      </c>
      <c r="B403" s="35" t="s">
        <v>2523</v>
      </c>
      <c r="C403" s="35" t="str">
        <f t="shared" si="39"/>
        <v>MoMo × Xe buýt TP.HCM: Thanh toán với QR MoMo</v>
      </c>
      <c r="D403" t="s">
        <v>610</v>
      </c>
      <c r="E403" s="105" t="str">
        <f>VLOOKUP(X403,'Updating-Scoring'!$C$2:$D$7,2,TRUE)</f>
        <v>4 - Strategic shift</v>
      </c>
      <c r="F403">
        <f t="shared" si="41"/>
        <v>18</v>
      </c>
      <c r="G403" s="110">
        <v>46145</v>
      </c>
      <c r="H403" t="s">
        <v>2524</v>
      </c>
      <c r="I403" s="110">
        <v>46136</v>
      </c>
      <c r="J403" t="s">
        <v>170</v>
      </c>
      <c r="K403" s="34" t="s">
        <v>432</v>
      </c>
      <c r="L403" s="34" t="s">
        <v>411</v>
      </c>
      <c r="M403" s="34" t="s">
        <v>502</v>
      </c>
      <c r="N403" s="34" t="str">
        <f t="shared" si="42"/>
        <v>Feature | Payment capability upgrade</v>
      </c>
      <c r="O403" s="34" t="s">
        <v>2525</v>
      </c>
      <c r="P403" s="34" t="s">
        <v>2526</v>
      </c>
      <c r="Q403" s="38">
        <v>46142</v>
      </c>
      <c r="R403" s="109"/>
      <c r="S403" s="38" t="s">
        <v>2527</v>
      </c>
      <c r="T403">
        <v>4</v>
      </c>
      <c r="U403">
        <v>4</v>
      </c>
      <c r="X403" s="106">
        <f t="shared" si="40"/>
        <v>4</v>
      </c>
      <c r="Y403" s="34" t="s">
        <v>2371</v>
      </c>
    </row>
    <row r="404" spans="1:26">
      <c r="A404" s="41">
        <f t="shared" si="38"/>
        <v>401</v>
      </c>
      <c r="B404" s="35" t="s">
        <v>2528</v>
      </c>
      <c r="C404" s="35" t="str">
        <f t="shared" si="39"/>
        <v>Grab Đi ăn nhà hàng: Thứ 6 10% tối đa 300k + Thưởng 200 GrabXu</v>
      </c>
      <c r="D404" t="s">
        <v>2529</v>
      </c>
      <c r="E404" s="105" t="str">
        <f>VLOOKUP(X404,'Updating-Scoring'!$C$2:$D$7,2,TRUE)</f>
        <v>3 - Market signal</v>
      </c>
      <c r="F404">
        <f t="shared" si="41"/>
        <v>18</v>
      </c>
      <c r="G404" s="110">
        <v>46145</v>
      </c>
      <c r="H404" t="s">
        <v>2530</v>
      </c>
      <c r="I404" s="110">
        <v>46142</v>
      </c>
      <c r="J404" t="s">
        <v>170</v>
      </c>
      <c r="K404" s="34" t="s">
        <v>438</v>
      </c>
      <c r="L404" s="34" t="s">
        <v>457</v>
      </c>
      <c r="M404" s="34" t="s">
        <v>416</v>
      </c>
      <c r="N404" s="34" t="str">
        <f t="shared" si="42"/>
        <v>Marketing | Transaction growth</v>
      </c>
      <c r="O404" s="34" t="s">
        <v>2531</v>
      </c>
      <c r="P404" t="s">
        <v>2532</v>
      </c>
      <c r="Q404" s="38">
        <v>46143</v>
      </c>
      <c r="R404" s="38">
        <v>46143</v>
      </c>
      <c r="T404">
        <v>3</v>
      </c>
      <c r="U404">
        <v>4</v>
      </c>
      <c r="X404" s="106">
        <f t="shared" si="40"/>
        <v>3.4</v>
      </c>
      <c r="Y404" s="34" t="s">
        <v>2533</v>
      </c>
      <c r="Z404" s="34"/>
    </row>
    <row r="405" spans="1:26">
      <c r="A405" s="41">
        <f t="shared" si="38"/>
        <v>402</v>
      </c>
      <c r="B405" s="35" t="s">
        <v>2534</v>
      </c>
      <c r="C405" s="35" t="str">
        <f t="shared" si="39"/>
        <v>Grab Đi ăn nhà hàng: Ưu đãi đến 25%</v>
      </c>
      <c r="D405" t="s">
        <v>2529</v>
      </c>
      <c r="E405" s="105" t="str">
        <f>VLOOKUP(X405,'Updating-Scoring'!$C$2:$D$7,2,TRUE)</f>
        <v>3 - Market signal</v>
      </c>
      <c r="F405">
        <f t="shared" si="41"/>
        <v>18</v>
      </c>
      <c r="G405" s="110">
        <v>46145</v>
      </c>
      <c r="H405" t="s">
        <v>2535</v>
      </c>
      <c r="I405" s="34">
        <v>46142</v>
      </c>
      <c r="J405" t="s">
        <v>170</v>
      </c>
      <c r="K405" s="34" t="s">
        <v>438</v>
      </c>
      <c r="L405" s="34" t="s">
        <v>457</v>
      </c>
      <c r="M405" s="34" t="s">
        <v>416</v>
      </c>
      <c r="N405" s="34" t="str">
        <f t="shared" si="42"/>
        <v>Marketing | Transaction growth</v>
      </c>
      <c r="O405" s="34" t="s">
        <v>2536</v>
      </c>
      <c r="P405" t="s">
        <v>2537</v>
      </c>
      <c r="Q405" s="38">
        <v>46142</v>
      </c>
      <c r="R405" s="38">
        <v>46145</v>
      </c>
      <c r="T405">
        <v>3</v>
      </c>
      <c r="U405">
        <v>4</v>
      </c>
      <c r="X405" s="106">
        <f t="shared" si="40"/>
        <v>3.4</v>
      </c>
      <c r="Y405" s="34" t="s">
        <v>2533</v>
      </c>
      <c r="Z405" s="34"/>
    </row>
    <row r="406" spans="1:26">
      <c r="A406" s="41">
        <f t="shared" si="38"/>
        <v>403</v>
      </c>
      <c r="B406" s="35" t="s">
        <v>2538</v>
      </c>
      <c r="C406" s="35" t="str">
        <f t="shared" si="39"/>
        <v>Grab Đi ăn nhà hàng: Đi ăn ngày thứ 3 Giảm 30% max 70k + Thưởng 200 GrabXu</v>
      </c>
      <c r="D406" t="s">
        <v>2529</v>
      </c>
      <c r="E406" s="105" t="str">
        <f>VLOOKUP(X406,'Updating-Scoring'!$C$2:$D$7,2,TRUE)</f>
        <v>3 - Market signal</v>
      </c>
      <c r="F406">
        <f t="shared" si="41"/>
        <v>18</v>
      </c>
      <c r="G406" s="110">
        <v>46145</v>
      </c>
      <c r="H406" t="s">
        <v>2539</v>
      </c>
      <c r="I406" s="110">
        <v>46139</v>
      </c>
      <c r="J406" t="s">
        <v>170</v>
      </c>
      <c r="K406" s="34" t="s">
        <v>438</v>
      </c>
      <c r="L406" s="34" t="s">
        <v>457</v>
      </c>
      <c r="M406" s="34" t="s">
        <v>416</v>
      </c>
      <c r="N406" s="34" t="str">
        <f t="shared" si="42"/>
        <v>Marketing | Transaction growth</v>
      </c>
      <c r="O406" s="34" t="s">
        <v>2540</v>
      </c>
      <c r="P406" t="s">
        <v>2541</v>
      </c>
      <c r="Q406" s="38">
        <v>46140</v>
      </c>
      <c r="R406" s="38">
        <v>46143</v>
      </c>
      <c r="T406">
        <v>3</v>
      </c>
      <c r="U406">
        <v>4</v>
      </c>
      <c r="X406" s="106">
        <f t="shared" si="40"/>
        <v>3.4</v>
      </c>
      <c r="Y406" s="34" t="s">
        <v>2533</v>
      </c>
      <c r="Z406" s="34"/>
    </row>
    <row r="407" spans="1:26">
      <c r="A407" s="41">
        <f t="shared" si="38"/>
        <v>404</v>
      </c>
      <c r="B407" s="35" t="s">
        <v>2542</v>
      </c>
      <c r="C407" s="35" t="str">
        <f t="shared" si="39"/>
        <v>GrabFood: Countdown nghỉ lễ - Giảm giá 48k - 72k - 120k trong ngày</v>
      </c>
      <c r="D407" t="s">
        <v>2529</v>
      </c>
      <c r="E407" s="105" t="str">
        <f>VLOOKUP(X407,'Updating-Scoring'!$C$2:$D$7,2,TRUE)</f>
        <v>3 - Market signal</v>
      </c>
      <c r="F407">
        <f t="shared" si="41"/>
        <v>18</v>
      </c>
      <c r="G407" s="110">
        <v>46145</v>
      </c>
      <c r="H407" t="s">
        <v>2543</v>
      </c>
      <c r="I407" s="110">
        <v>46137</v>
      </c>
      <c r="J407" t="s">
        <v>170</v>
      </c>
      <c r="K407" s="34" t="s">
        <v>438</v>
      </c>
      <c r="L407" s="34" t="s">
        <v>457</v>
      </c>
      <c r="M407" s="34" t="s">
        <v>416</v>
      </c>
      <c r="N407" s="34" t="str">
        <f t="shared" si="42"/>
        <v>Marketing | Transaction growth</v>
      </c>
      <c r="O407" s="34" t="s">
        <v>2544</v>
      </c>
      <c r="P407" t="s">
        <v>2545</v>
      </c>
      <c r="Q407" s="38">
        <v>46134</v>
      </c>
      <c r="R407" s="38">
        <v>46137</v>
      </c>
      <c r="T407">
        <v>3</v>
      </c>
      <c r="U407">
        <v>4</v>
      </c>
      <c r="X407" s="106">
        <f t="shared" si="40"/>
        <v>3.4</v>
      </c>
      <c r="Y407" s="34" t="s">
        <v>2533</v>
      </c>
      <c r="Z407" s="34"/>
    </row>
    <row r="408" spans="1:26">
      <c r="A408" s="41">
        <f t="shared" si="38"/>
        <v>405</v>
      </c>
      <c r="B408" s="35" t="s">
        <v>2546</v>
      </c>
      <c r="C408" s="35" t="str">
        <f t="shared" si="39"/>
        <v>GrabBike/GrabCar: Giảm 100k cho lộ trình từ Ga Metro đến Nghĩa trang Liệt sĩ TP.HCM</v>
      </c>
      <c r="D408" t="s">
        <v>2529</v>
      </c>
      <c r="E408" s="105" t="str">
        <f>VLOOKUP(X408,'Updating-Scoring'!$C$2:$D$7,2,TRUE)</f>
        <v>3 - Market signal</v>
      </c>
      <c r="F408">
        <f t="shared" si="41"/>
        <v>18</v>
      </c>
      <c r="G408" s="110">
        <v>46145</v>
      </c>
      <c r="H408" t="s">
        <v>2547</v>
      </c>
      <c r="I408" s="110">
        <v>46137</v>
      </c>
      <c r="J408" t="s">
        <v>170</v>
      </c>
      <c r="K408" s="34" t="s">
        <v>438</v>
      </c>
      <c r="L408" s="34" t="s">
        <v>459</v>
      </c>
      <c r="M408" s="34" t="s">
        <v>506</v>
      </c>
      <c r="N408" s="34" t="str">
        <f t="shared" si="42"/>
        <v>Partnership | Merchant/ Retailer</v>
      </c>
      <c r="O408" s="34" t="s">
        <v>2548</v>
      </c>
      <c r="P408" s="109" t="s">
        <v>2549</v>
      </c>
      <c r="Q408" s="38">
        <v>46138</v>
      </c>
      <c r="R408" s="38">
        <v>46145</v>
      </c>
      <c r="T408">
        <v>3</v>
      </c>
      <c r="U408">
        <v>4</v>
      </c>
      <c r="X408" s="106">
        <f t="shared" si="40"/>
        <v>3.4</v>
      </c>
      <c r="Y408" s="34" t="s">
        <v>2533</v>
      </c>
      <c r="Z408" s="34"/>
    </row>
    <row r="409" spans="1:26">
      <c r="A409" s="41">
        <f t="shared" si="38"/>
        <v>406</v>
      </c>
      <c r="B409" s="35" t="s">
        <v>2550</v>
      </c>
      <c r="C409" s="35" t="str">
        <f t="shared" si="39"/>
        <v>Zalo bổ sung tính năng Chặn quay/ chụp màn hình ảnh đại diện</v>
      </c>
      <c r="D409" t="s">
        <v>1927</v>
      </c>
      <c r="E409" s="105" t="str">
        <f>VLOOKUP(X409,'Updating-Scoring'!$C$2:$D$7,2,TRUE)</f>
        <v>3 - Market signal</v>
      </c>
      <c r="F409">
        <f t="shared" si="41"/>
        <v>18</v>
      </c>
      <c r="G409" s="110">
        <v>46145</v>
      </c>
      <c r="H409" t="s">
        <v>2551</v>
      </c>
      <c r="I409" s="110">
        <v>46137</v>
      </c>
      <c r="J409" t="s">
        <v>170</v>
      </c>
      <c r="K409" s="34" t="s">
        <v>433</v>
      </c>
      <c r="L409" s="34" t="s">
        <v>411</v>
      </c>
      <c r="M409" s="34" t="s">
        <v>590</v>
      </c>
      <c r="N409" s="34" t="str">
        <f t="shared" si="42"/>
        <v>Feature | Security /  Privacy</v>
      </c>
      <c r="O409" t="s">
        <v>2552</v>
      </c>
      <c r="P409" s="38" t="s">
        <v>2553</v>
      </c>
      <c r="Q409" s="38">
        <v>46135</v>
      </c>
      <c r="R409" s="38"/>
      <c r="T409">
        <v>3</v>
      </c>
      <c r="U409">
        <v>4</v>
      </c>
      <c r="X409" s="106">
        <f t="shared" si="40"/>
        <v>3.4</v>
      </c>
      <c r="Y409" s="34" t="s">
        <v>2533</v>
      </c>
      <c r="Z409" s="34"/>
    </row>
    <row r="410" spans="1:26">
      <c r="A410" s="41">
        <f t="shared" si="38"/>
        <v>407</v>
      </c>
      <c r="B410" s="35" t="s">
        <v>2554</v>
      </c>
      <c r="C410" s="35" t="str">
        <f t="shared" si="39"/>
        <v>MoMo Du lịch đi lại: Sale 5.5 khi thanh toán vé máy bay/xe khách/tàu hỏa/trải nghiệm và phòng khách sạn</v>
      </c>
      <c r="D410" t="s">
        <v>610</v>
      </c>
      <c r="E410" s="105" t="str">
        <f>VLOOKUP(X410,'Updating-Scoring'!$C$2:$D$7,2,TRUE)</f>
        <v>4 - Strategic shift</v>
      </c>
      <c r="F410">
        <f t="shared" si="41"/>
        <v>18</v>
      </c>
      <c r="G410" s="110">
        <v>46145</v>
      </c>
      <c r="H410" t="s">
        <v>2555</v>
      </c>
      <c r="I410" s="110">
        <v>46136</v>
      </c>
      <c r="J410" t="s">
        <v>170</v>
      </c>
      <c r="K410" s="34" t="s">
        <v>432</v>
      </c>
      <c r="L410" s="34" t="s">
        <v>457</v>
      </c>
      <c r="M410" s="34" t="s">
        <v>416</v>
      </c>
      <c r="N410" s="34" t="str">
        <f t="shared" si="42"/>
        <v>Marketing | Transaction growth</v>
      </c>
      <c r="O410" s="34" t="s">
        <v>2556</v>
      </c>
      <c r="P410" s="34" t="s">
        <v>2557</v>
      </c>
      <c r="Q410" s="38">
        <v>46136</v>
      </c>
      <c r="R410" s="109">
        <v>46147</v>
      </c>
      <c r="S410" s="38" t="s">
        <v>2558</v>
      </c>
      <c r="T410">
        <v>3</v>
      </c>
      <c r="U410">
        <v>5</v>
      </c>
      <c r="X410" s="106">
        <f t="shared" si="40"/>
        <v>3.8</v>
      </c>
      <c r="Y410" s="34" t="s">
        <v>2533</v>
      </c>
      <c r="Z410" s="34"/>
    </row>
    <row r="411" spans="1:26">
      <c r="A411" s="41">
        <f t="shared" si="38"/>
        <v>408</v>
      </c>
      <c r="B411" s="35" t="s">
        <v>2559</v>
      </c>
      <c r="C411" s="35" t="str">
        <f t="shared" si="39"/>
        <v>Zalopay x Valorant: Ưu đãi giảm đến 50% đặt vé Máy bay/ Vé xe khách/ Vé tàu hỏa trên Zalopay</v>
      </c>
      <c r="D411" t="s">
        <v>920</v>
      </c>
      <c r="E411" s="105" t="str">
        <f>VLOOKUP(X411,'Updating-Scoring'!$C$2:$D$7,2,TRUE)</f>
        <v>3 - Market signal</v>
      </c>
      <c r="F411">
        <f t="shared" si="41"/>
        <v>18</v>
      </c>
      <c r="G411" s="110">
        <v>46145</v>
      </c>
      <c r="H411" t="s">
        <v>2560</v>
      </c>
      <c r="I411" s="110">
        <v>46126</v>
      </c>
      <c r="J411" t="s">
        <v>170</v>
      </c>
      <c r="K411" s="34" t="s">
        <v>434</v>
      </c>
      <c r="L411" s="34" t="s">
        <v>457</v>
      </c>
      <c r="M411" s="34" t="s">
        <v>416</v>
      </c>
      <c r="N411" s="34" t="str">
        <f t="shared" si="42"/>
        <v>Marketing | Transaction growth</v>
      </c>
      <c r="O411" s="109" t="s">
        <v>2561</v>
      </c>
      <c r="P411" t="s">
        <v>2562</v>
      </c>
      <c r="Q411" s="38">
        <v>46129</v>
      </c>
      <c r="R411" s="38">
        <v>46159</v>
      </c>
      <c r="T411">
        <v>3</v>
      </c>
      <c r="U411">
        <v>4</v>
      </c>
      <c r="X411" s="106">
        <f t="shared" si="40"/>
        <v>3.4</v>
      </c>
      <c r="Y411" s="34" t="s">
        <v>2533</v>
      </c>
      <c r="Z411" s="34"/>
    </row>
    <row r="412" spans="1:26">
      <c r="A412" s="41">
        <f t="shared" si="38"/>
        <v>409</v>
      </c>
      <c r="B412" s="35"/>
      <c r="C412" s="35" t="str">
        <f t="shared" si="39"/>
        <v>Zalopay QR thanh toán: Nhận 304 xu khi thanh toán nhân dịp lễ 30/4</v>
      </c>
      <c r="D412" t="s">
        <v>920</v>
      </c>
      <c r="E412" s="105" t="str">
        <f>VLOOKUP(X412,'Updating-Scoring'!$C$2:$D$7,2,TRUE)</f>
        <v>3 - Market signal</v>
      </c>
      <c r="F412">
        <f t="shared" si="41"/>
        <v>18</v>
      </c>
      <c r="G412" s="110">
        <v>46145</v>
      </c>
      <c r="H412" t="s">
        <v>2563</v>
      </c>
      <c r="I412" s="110">
        <v>46136</v>
      </c>
      <c r="J412" t="s">
        <v>170</v>
      </c>
      <c r="K412" s="34" t="s">
        <v>434</v>
      </c>
      <c r="L412" s="34" t="s">
        <v>457</v>
      </c>
      <c r="M412" s="34" t="s">
        <v>416</v>
      </c>
      <c r="N412" s="34" t="str">
        <f t="shared" si="42"/>
        <v>Marketing | Transaction growth</v>
      </c>
      <c r="O412" s="34" t="s">
        <v>2564</v>
      </c>
      <c r="P412" t="s">
        <v>2565</v>
      </c>
      <c r="Q412" s="38">
        <v>46136</v>
      </c>
      <c r="R412" s="38">
        <v>46143</v>
      </c>
      <c r="T412">
        <v>3</v>
      </c>
      <c r="U412">
        <v>3.6</v>
      </c>
      <c r="X412" s="106">
        <f t="shared" si="40"/>
        <v>3.24</v>
      </c>
      <c r="Y412" s="34" t="s">
        <v>2533</v>
      </c>
      <c r="Z412" s="34"/>
    </row>
    <row r="413" spans="1:26">
      <c r="A413" s="41">
        <f t="shared" si="38"/>
        <v>410</v>
      </c>
      <c r="B413" s="35" t="s">
        <v>2566</v>
      </c>
      <c r="C413" s="35" t="str">
        <f t="shared" si="39"/>
        <v>Gamification nạp điện thoại: Cơ hội trúng iPhone 17 Pro Max</v>
      </c>
      <c r="D413" t="s">
        <v>920</v>
      </c>
      <c r="E413" s="105" t="str">
        <f>VLOOKUP(X413,'Updating-Scoring'!$C$2:$D$7,2,TRUE)</f>
        <v>3 - Market signal</v>
      </c>
      <c r="F413">
        <f t="shared" si="41"/>
        <v>18</v>
      </c>
      <c r="G413" s="110">
        <v>46145</v>
      </c>
      <c r="H413" t="s">
        <v>2567</v>
      </c>
      <c r="I413" s="110">
        <v>46136</v>
      </c>
      <c r="J413" t="s">
        <v>170</v>
      </c>
      <c r="K413" s="34" t="s">
        <v>434</v>
      </c>
      <c r="L413" s="34" t="s">
        <v>457</v>
      </c>
      <c r="M413" s="34" t="s">
        <v>416</v>
      </c>
      <c r="N413" s="34" t="str">
        <f t="shared" si="42"/>
        <v>Marketing | Transaction growth</v>
      </c>
      <c r="O413" s="34" t="s">
        <v>2568</v>
      </c>
      <c r="P413" t="s">
        <v>2569</v>
      </c>
      <c r="Q413" s="38">
        <v>46114</v>
      </c>
      <c r="R413" s="38">
        <v>46142</v>
      </c>
      <c r="T413">
        <v>3</v>
      </c>
      <c r="U413">
        <v>3.5</v>
      </c>
      <c r="X413" s="106">
        <f t="shared" si="40"/>
        <v>3.2</v>
      </c>
      <c r="Y413" s="34" t="s">
        <v>2533</v>
      </c>
      <c r="Z413" s="34"/>
    </row>
    <row r="414" spans="1:26">
      <c r="A414" s="41">
        <f t="shared" si="38"/>
        <v>411</v>
      </c>
      <c r="B414" s="35"/>
      <c r="C414" s="35" t="str">
        <f t="shared" si="39"/>
        <v>Nạp 4G/5G Mobifone: Ưu đãi 1-2-10k khi mua data Mobifone trên Zalopay</v>
      </c>
      <c r="D414" t="s">
        <v>920</v>
      </c>
      <c r="E414" s="105" t="str">
        <f>VLOOKUP(X414,'Updating-Scoring'!$C$2:$D$7,2,TRUE)</f>
        <v>3 - Market signal</v>
      </c>
      <c r="F414">
        <f t="shared" si="41"/>
        <v>18</v>
      </c>
      <c r="G414" s="110">
        <v>46145</v>
      </c>
      <c r="H414" t="s">
        <v>2570</v>
      </c>
      <c r="I414" s="110">
        <v>46136</v>
      </c>
      <c r="J414" t="s">
        <v>170</v>
      </c>
      <c r="K414" s="34" t="s">
        <v>434</v>
      </c>
      <c r="L414" s="34" t="s">
        <v>457</v>
      </c>
      <c r="M414" s="34" t="s">
        <v>416</v>
      </c>
      <c r="N414" s="34" t="str">
        <f t="shared" si="42"/>
        <v>Marketing | Transaction growth</v>
      </c>
      <c r="O414" s="34" t="s">
        <v>2571</v>
      </c>
      <c r="P414" t="s">
        <v>2572</v>
      </c>
      <c r="Q414" s="38">
        <v>46136</v>
      </c>
      <c r="R414" s="38"/>
      <c r="T414">
        <v>3</v>
      </c>
      <c r="U414">
        <v>3.4</v>
      </c>
      <c r="X414" s="106">
        <f t="shared" si="40"/>
        <v>3.16</v>
      </c>
      <c r="Y414" s="34" t="s">
        <v>2533</v>
      </c>
      <c r="Z414" s="34"/>
    </row>
    <row r="415" spans="1:26">
      <c r="A415" s="41">
        <f t="shared" si="38"/>
        <v>412</v>
      </c>
      <c r="B415" s="35"/>
      <c r="C415" s="35" t="str">
        <f t="shared" si="39"/>
        <v>Zalopay x Mua sắm: Ưu đãi khách hàng mới thanh toán bằng Zalopay</v>
      </c>
      <c r="D415" t="s">
        <v>920</v>
      </c>
      <c r="E415" s="105" t="str">
        <f>VLOOKUP(X415,'Updating-Scoring'!$C$2:$D$7,2,TRUE)</f>
        <v>3 - Market signal</v>
      </c>
      <c r="F415">
        <f t="shared" si="41"/>
        <v>18</v>
      </c>
      <c r="G415" s="110">
        <v>46145</v>
      </c>
      <c r="H415" t="s">
        <v>2573</v>
      </c>
      <c r="I415" s="110"/>
      <c r="J415" t="s">
        <v>170</v>
      </c>
      <c r="K415" s="34" t="s">
        <v>434</v>
      </c>
      <c r="L415" s="34" t="s">
        <v>457</v>
      </c>
      <c r="M415" s="34" t="s">
        <v>415</v>
      </c>
      <c r="N415" s="34" t="str">
        <f t="shared" si="42"/>
        <v>Marketing | User acquisition</v>
      </c>
      <c r="O415" s="109" t="s">
        <v>2574</v>
      </c>
      <c r="P415" s="182" t="s">
        <v>2575</v>
      </c>
      <c r="Q415" s="38">
        <v>46143</v>
      </c>
      <c r="R415" s="38"/>
      <c r="T415">
        <v>3</v>
      </c>
      <c r="U415">
        <v>3.1</v>
      </c>
      <c r="X415" s="106">
        <f t="shared" si="40"/>
        <v>3.04</v>
      </c>
      <c r="Y415" s="34" t="s">
        <v>2533</v>
      </c>
      <c r="Z415" s="34"/>
    </row>
    <row r="416" spans="1:26">
      <c r="A416" s="41">
        <f t="shared" si="38"/>
        <v>413</v>
      </c>
      <c r="B416" s="35"/>
      <c r="C416" s="35" t="str">
        <f t="shared" si="39"/>
        <v>Tài khoản trả sau x OA Saigon Co.op: Ưu đãi giảm giá khi mua hành tại kênh Zalo OA</v>
      </c>
      <c r="D416" t="s">
        <v>920</v>
      </c>
      <c r="E416" s="105" t="str">
        <f>VLOOKUP(X416,'Updating-Scoring'!$C$2:$D$7,2,TRUE)</f>
        <v>3 - Market signal</v>
      </c>
      <c r="F416">
        <f t="shared" si="41"/>
        <v>18</v>
      </c>
      <c r="G416" s="110">
        <v>46145</v>
      </c>
      <c r="H416" t="s">
        <v>2576</v>
      </c>
      <c r="I416" s="110"/>
      <c r="J416" t="s">
        <v>170</v>
      </c>
      <c r="K416" s="34" t="s">
        <v>433</v>
      </c>
      <c r="L416" s="34" t="s">
        <v>457</v>
      </c>
      <c r="M416" s="34" t="s">
        <v>413</v>
      </c>
      <c r="N416" s="34" t="str">
        <f t="shared" si="42"/>
        <v>Marketing | User activation</v>
      </c>
      <c r="O416" s="34" t="s">
        <v>2577</v>
      </c>
      <c r="P416" s="109" t="s">
        <v>2578</v>
      </c>
      <c r="Q416" s="38">
        <v>46143</v>
      </c>
      <c r="R416" s="38"/>
      <c r="T416">
        <v>3</v>
      </c>
      <c r="U416">
        <v>3.1</v>
      </c>
      <c r="X416" s="106">
        <f t="shared" si="40"/>
        <v>3.04</v>
      </c>
      <c r="Y416" s="34" t="s">
        <v>2533</v>
      </c>
      <c r="Z416" s="34"/>
    </row>
    <row r="417" spans="1:26">
      <c r="A417" s="41">
        <f t="shared" si="38"/>
        <v>414</v>
      </c>
      <c r="B417" s="35"/>
      <c r="C417" s="35" t="str">
        <f t="shared" si="39"/>
        <v>Zalopay x AEON: Ưu đãi đến 100k khi thanh toán tại AEON bằng ZaloPay</v>
      </c>
      <c r="D417" t="s">
        <v>920</v>
      </c>
      <c r="E417" s="105" t="str">
        <f>VLOOKUP(X417,'Updating-Scoring'!$C$2:$D$7,2,TRUE)</f>
        <v>3 - Market signal</v>
      </c>
      <c r="F417">
        <f t="shared" si="41"/>
        <v>18</v>
      </c>
      <c r="G417" s="110">
        <v>46145</v>
      </c>
      <c r="H417" t="s">
        <v>2579</v>
      </c>
      <c r="J417" t="s">
        <v>170</v>
      </c>
      <c r="K417" s="34" t="s">
        <v>434</v>
      </c>
      <c r="L417" s="34" t="s">
        <v>457</v>
      </c>
      <c r="M417" s="34" t="s">
        <v>413</v>
      </c>
      <c r="N417" s="34" t="str">
        <f t="shared" si="42"/>
        <v>Marketing | User activation</v>
      </c>
      <c r="O417" s="34" t="s">
        <v>2580</v>
      </c>
      <c r="P417" t="s">
        <v>2581</v>
      </c>
      <c r="Q417" s="38">
        <v>46113</v>
      </c>
      <c r="R417" s="38">
        <v>46203</v>
      </c>
      <c r="T417">
        <v>3</v>
      </c>
      <c r="U417">
        <v>3.5</v>
      </c>
      <c r="X417" s="106">
        <f t="shared" si="40"/>
        <v>3.2</v>
      </c>
      <c r="Y417" s="34" t="s">
        <v>2533</v>
      </c>
      <c r="Z417" s="34"/>
    </row>
    <row r="418" spans="1:26">
      <c r="A418" s="41">
        <f t="shared" si="38"/>
        <v>415</v>
      </c>
      <c r="B418" s="35"/>
      <c r="C418" s="35" t="str">
        <f t="shared" si="39"/>
        <v>QR Thanh toán x Siêu thị: Ưu đãi khi thanh toán bằng QR Thanh toán</v>
      </c>
      <c r="D418" t="s">
        <v>920</v>
      </c>
      <c r="E418" s="105" t="str">
        <f>VLOOKUP(X418,'Updating-Scoring'!$C$2:$D$7,2,TRUE)</f>
        <v>3 - Market signal</v>
      </c>
      <c r="F418">
        <f t="shared" si="41"/>
        <v>18</v>
      </c>
      <c r="G418" s="110">
        <v>46145</v>
      </c>
      <c r="H418" t="s">
        <v>2582</v>
      </c>
      <c r="J418" t="s">
        <v>170</v>
      </c>
      <c r="K418" s="34" t="s">
        <v>434</v>
      </c>
      <c r="L418" s="34" t="s">
        <v>457</v>
      </c>
      <c r="M418" s="34" t="s">
        <v>413</v>
      </c>
      <c r="N418" s="34" t="str">
        <f t="shared" si="42"/>
        <v>Marketing | User activation</v>
      </c>
      <c r="O418" s="34" t="s">
        <v>2583</v>
      </c>
      <c r="P418" s="109" t="s">
        <v>2584</v>
      </c>
      <c r="Q418" s="38">
        <v>46143</v>
      </c>
      <c r="R418" s="38"/>
      <c r="T418">
        <v>3</v>
      </c>
      <c r="U418">
        <v>3.1</v>
      </c>
      <c r="X418" s="106">
        <f t="shared" si="40"/>
        <v>3.04</v>
      </c>
      <c r="Y418" s="34" t="s">
        <v>2533</v>
      </c>
      <c r="Z418" s="34"/>
    </row>
    <row r="419" spans="1:26">
      <c r="A419" s="41">
        <f t="shared" si="38"/>
        <v>416</v>
      </c>
      <c r="B419" s="35"/>
      <c r="C419" s="35" t="str">
        <f t="shared" si="39"/>
        <v>Tài khoản trả sau x Cửa hàng ăn uống: Ưu đãi khi thanh toán</v>
      </c>
      <c r="D419" t="s">
        <v>920</v>
      </c>
      <c r="E419" s="105" t="str">
        <f>VLOOKUP(X419,'Updating-Scoring'!$C$2:$D$7,2,TRUE)</f>
        <v>3 - Market signal</v>
      </c>
      <c r="F419">
        <f t="shared" si="41"/>
        <v>18</v>
      </c>
      <c r="G419" s="110">
        <v>46145</v>
      </c>
      <c r="H419" t="s">
        <v>2585</v>
      </c>
      <c r="J419" t="s">
        <v>170</v>
      </c>
      <c r="K419" s="34" t="s">
        <v>434</v>
      </c>
      <c r="L419" s="34" t="s">
        <v>457</v>
      </c>
      <c r="M419" s="34" t="s">
        <v>413</v>
      </c>
      <c r="N419" s="34" t="str">
        <f t="shared" si="42"/>
        <v>Marketing | User activation</v>
      </c>
      <c r="O419" s="34" t="s">
        <v>2586</v>
      </c>
      <c r="P419" s="109" t="s">
        <v>2587</v>
      </c>
      <c r="Q419" s="38">
        <v>46143</v>
      </c>
      <c r="R419" s="38"/>
      <c r="T419">
        <v>3</v>
      </c>
      <c r="U419">
        <v>3.1</v>
      </c>
      <c r="X419" s="106">
        <f t="shared" si="40"/>
        <v>3.04</v>
      </c>
      <c r="Y419" s="34" t="s">
        <v>2533</v>
      </c>
      <c r="Z419" s="34"/>
    </row>
    <row r="420" spans="1:26">
      <c r="A420" s="41">
        <f t="shared" si="38"/>
        <v>417</v>
      </c>
      <c r="B420" s="35"/>
      <c r="C420" s="35" t="str">
        <f t="shared" si="39"/>
        <v>Tài khoản trả sau x Điện máy xanh: Ưu đãi khi thanh toán tại cửa hàng</v>
      </c>
      <c r="D420" t="s">
        <v>920</v>
      </c>
      <c r="E420" s="105" t="str">
        <f>VLOOKUP(X420,'Updating-Scoring'!$C$2:$D$7,2,TRUE)</f>
        <v>3 - Market signal</v>
      </c>
      <c r="F420">
        <f t="shared" si="41"/>
        <v>18</v>
      </c>
      <c r="G420" s="110">
        <v>46145</v>
      </c>
      <c r="H420" t="s">
        <v>2588</v>
      </c>
      <c r="J420" t="s">
        <v>170</v>
      </c>
      <c r="K420" s="34" t="s">
        <v>434</v>
      </c>
      <c r="L420" s="34" t="s">
        <v>457</v>
      </c>
      <c r="M420" s="34" t="s">
        <v>413</v>
      </c>
      <c r="N420" s="34" t="str">
        <f t="shared" si="42"/>
        <v>Marketing | User activation</v>
      </c>
      <c r="O420" s="109" t="s">
        <v>2589</v>
      </c>
      <c r="P420" t="s">
        <v>2590</v>
      </c>
      <c r="Q420" s="38">
        <v>46143</v>
      </c>
      <c r="R420" s="38"/>
      <c r="T420">
        <v>3</v>
      </c>
      <c r="U420">
        <v>3.1</v>
      </c>
      <c r="X420" s="106">
        <f t="shared" si="40"/>
        <v>3.04</v>
      </c>
      <c r="Y420" s="34" t="s">
        <v>2533</v>
      </c>
      <c r="Z420" s="34"/>
    </row>
    <row r="421" spans="1:26">
      <c r="A421" s="41">
        <f t="shared" si="38"/>
        <v>418</v>
      </c>
      <c r="B421" s="35"/>
      <c r="C421" s="35" t="str">
        <f t="shared" si="39"/>
        <v>Zalopay x Nhà thuốc Long châu: Ưu đãi khi thanh toán online</v>
      </c>
      <c r="D421" t="s">
        <v>920</v>
      </c>
      <c r="E421" s="105" t="str">
        <f>VLOOKUP(X421,'Updating-Scoring'!$C$2:$D$7,2,TRUE)</f>
        <v>3 - Market signal</v>
      </c>
      <c r="F421">
        <f t="shared" si="41"/>
        <v>18</v>
      </c>
      <c r="G421" s="110">
        <v>46145</v>
      </c>
      <c r="H421" t="s">
        <v>2591</v>
      </c>
      <c r="J421" t="s">
        <v>170</v>
      </c>
      <c r="K421" s="34" t="s">
        <v>434</v>
      </c>
      <c r="L421" s="34" t="s">
        <v>457</v>
      </c>
      <c r="M421" s="34" t="s">
        <v>413</v>
      </c>
      <c r="N421" s="34" t="str">
        <f t="shared" si="42"/>
        <v>Marketing | User activation</v>
      </c>
      <c r="O421" s="109" t="s">
        <v>2592</v>
      </c>
      <c r="P421" s="182" t="s">
        <v>2593</v>
      </c>
      <c r="Q421" s="38">
        <v>46143</v>
      </c>
      <c r="R421" s="38"/>
      <c r="T421">
        <v>3</v>
      </c>
      <c r="U421">
        <v>3.1</v>
      </c>
      <c r="X421" s="106">
        <f t="shared" si="40"/>
        <v>3.04</v>
      </c>
      <c r="Y421" s="34" t="s">
        <v>2533</v>
      </c>
      <c r="Z421" s="34"/>
    </row>
    <row r="422" spans="1:26">
      <c r="A422" s="41">
        <f t="shared" si="38"/>
        <v>419</v>
      </c>
      <c r="B422" s="35"/>
      <c r="C422" s="35" t="str">
        <f t="shared" si="39"/>
        <v>Zalopay x Haidilao: Ưu đãi khi thanh toán tại nhà hàng</v>
      </c>
      <c r="D422" t="s">
        <v>920</v>
      </c>
      <c r="E422" s="105" t="str">
        <f>VLOOKUP(X422,'Updating-Scoring'!$C$2:$D$7,2,TRUE)</f>
        <v>3 - Market signal</v>
      </c>
      <c r="F422">
        <f t="shared" si="41"/>
        <v>18</v>
      </c>
      <c r="G422" s="110">
        <v>46145</v>
      </c>
      <c r="H422" t="s">
        <v>2594</v>
      </c>
      <c r="J422" t="s">
        <v>170</v>
      </c>
      <c r="K422" s="34" t="s">
        <v>434</v>
      </c>
      <c r="L422" s="34" t="s">
        <v>457</v>
      </c>
      <c r="M422" s="34" t="s">
        <v>413</v>
      </c>
      <c r="N422" s="34" t="str">
        <f t="shared" si="42"/>
        <v>Marketing | User activation</v>
      </c>
      <c r="O422" s="109" t="s">
        <v>2595</v>
      </c>
      <c r="P422" s="182" t="s">
        <v>2596</v>
      </c>
      <c r="Q422" s="38">
        <v>46143</v>
      </c>
      <c r="R422" s="38"/>
      <c r="T422">
        <v>3</v>
      </c>
      <c r="U422">
        <v>3.1</v>
      </c>
      <c r="X422" s="106">
        <f t="shared" si="40"/>
        <v>3.04</v>
      </c>
      <c r="Y422" s="34" t="s">
        <v>2533</v>
      </c>
      <c r="Z422" s="34"/>
    </row>
    <row r="423" spans="1:26">
      <c r="A423" s="41">
        <f t="shared" si="38"/>
        <v>420</v>
      </c>
      <c r="B423" s="35"/>
      <c r="C423" s="35" t="str">
        <f t="shared" si="39"/>
        <v>QR thanh toán quốc tế x Khoa lang thang: Ưu đãi bay Trung Quốc; thanh toán QR, sử dụng dịch vụ làm VISA Trung Quốc qua Zalopay</v>
      </c>
      <c r="D423" t="s">
        <v>920</v>
      </c>
      <c r="E423" s="105" t="str">
        <f>VLOOKUP(X423,'Updating-Scoring'!$C$2:$D$7,2,TRUE)</f>
        <v>4 - Strategic shift</v>
      </c>
      <c r="F423">
        <f t="shared" si="41"/>
        <v>18</v>
      </c>
      <c r="G423" s="110">
        <v>46145</v>
      </c>
      <c r="H423" t="s">
        <v>2597</v>
      </c>
      <c r="I423" s="110"/>
      <c r="J423" t="s">
        <v>170</v>
      </c>
      <c r="K423" s="34" t="s">
        <v>434</v>
      </c>
      <c r="L423" s="34" t="s">
        <v>457</v>
      </c>
      <c r="M423" s="34" t="s">
        <v>413</v>
      </c>
      <c r="N423" s="34" t="str">
        <f t="shared" si="42"/>
        <v>Marketing | User activation</v>
      </c>
      <c r="O423" s="34" t="s">
        <v>2598</v>
      </c>
      <c r="P423" s="109" t="s">
        <v>2599</v>
      </c>
      <c r="Q423" s="38">
        <v>46129</v>
      </c>
      <c r="R423" s="38">
        <v>46173</v>
      </c>
      <c r="T423">
        <v>3</v>
      </c>
      <c r="U423">
        <v>4.5</v>
      </c>
      <c r="X423" s="106">
        <f t="shared" si="40"/>
        <v>3.5999999999999996</v>
      </c>
      <c r="Y423" s="34" t="s">
        <v>2533</v>
      </c>
      <c r="Z423" s="34"/>
    </row>
    <row r="424" spans="1:26">
      <c r="A424" s="41">
        <f t="shared" ref="A424:A454" si="43">ROW()-3</f>
        <v>421</v>
      </c>
      <c r="B424" s="35" t="s">
        <v>2600</v>
      </c>
      <c r="C424" s="35" t="str">
        <f t="shared" ref="C424:C454" si="44">HYPERLINK(B424,O424)</f>
        <v xml:space="preserve">Gamification Zalopay x HCMC Metro: Tham nhiệm vụ và cơ hội quay thưởng 100% trúng quà </v>
      </c>
      <c r="D424" t="s">
        <v>920</v>
      </c>
      <c r="E424" s="105" t="str">
        <f>VLOOKUP(X424,'Updating-Scoring'!$C$2:$D$7,2,TRUE)</f>
        <v>4 - Strategic shift</v>
      </c>
      <c r="F424">
        <f t="shared" si="41"/>
        <v>18</v>
      </c>
      <c r="G424" s="110">
        <v>46145</v>
      </c>
      <c r="H424" t="s">
        <v>2601</v>
      </c>
      <c r="I424" s="110">
        <v>46134</v>
      </c>
      <c r="J424" t="s">
        <v>170</v>
      </c>
      <c r="K424" s="34" t="s">
        <v>434</v>
      </c>
      <c r="L424" s="34" t="s">
        <v>457</v>
      </c>
      <c r="M424" s="34" t="s">
        <v>414</v>
      </c>
      <c r="N424" s="34" t="str">
        <f t="shared" si="42"/>
        <v>Marketing | User engagement</v>
      </c>
      <c r="O424" s="34" t="s">
        <v>2602</v>
      </c>
      <c r="P424" s="109" t="s">
        <v>2603</v>
      </c>
      <c r="Q424" s="38">
        <v>46127</v>
      </c>
      <c r="R424" s="38">
        <v>46203</v>
      </c>
      <c r="T424">
        <v>3.5</v>
      </c>
      <c r="U424">
        <v>4</v>
      </c>
      <c r="X424" s="106">
        <f t="shared" ref="X424:X454" si="45">IF(G424&lt;DATE(2026,4,30),T424*$T$1+U424*$U$1+V424*$V$1+W424*$W$1,T424*$T$2+U424*$U$2)</f>
        <v>3.7</v>
      </c>
      <c r="Y424" s="34" t="s">
        <v>2533</v>
      </c>
      <c r="Z424" s="34"/>
    </row>
    <row r="425" spans="1:26">
      <c r="A425" s="41">
        <f t="shared" si="43"/>
        <v>422</v>
      </c>
      <c r="B425" s="35" t="s">
        <v>2604</v>
      </c>
      <c r="C425" s="35" t="str">
        <f t="shared" si="44"/>
        <v>Zalopay x FAHASA: Ưu đãi 15k-25k-50k thanh toán bằng ZaloPay trên website/ app</v>
      </c>
      <c r="D425" t="s">
        <v>920</v>
      </c>
      <c r="E425" s="105" t="str">
        <f>VLOOKUP(X425,'Updating-Scoring'!$C$2:$D$7,2,TRUE)</f>
        <v>3 - Market signal</v>
      </c>
      <c r="F425">
        <f t="shared" si="41"/>
        <v>18</v>
      </c>
      <c r="G425" s="110">
        <v>46145</v>
      </c>
      <c r="H425" t="s">
        <v>2605</v>
      </c>
      <c r="I425" s="110">
        <v>46132</v>
      </c>
      <c r="J425" t="s">
        <v>170</v>
      </c>
      <c r="K425" s="34" t="s">
        <v>434</v>
      </c>
      <c r="L425" s="34" t="s">
        <v>459</v>
      </c>
      <c r="M425" s="34" t="s">
        <v>506</v>
      </c>
      <c r="N425" s="34" t="str">
        <f t="shared" si="42"/>
        <v>Partnership | Merchant/ Retailer</v>
      </c>
      <c r="O425" s="34" t="s">
        <v>2606</v>
      </c>
      <c r="P425" s="109" t="s">
        <v>2607</v>
      </c>
      <c r="Q425" s="38">
        <v>46142</v>
      </c>
      <c r="R425" s="38">
        <v>46203</v>
      </c>
      <c r="T425">
        <v>3</v>
      </c>
      <c r="U425">
        <v>4</v>
      </c>
      <c r="X425" s="106">
        <f t="shared" si="45"/>
        <v>3.4</v>
      </c>
      <c r="Y425" s="34" t="s">
        <v>2533</v>
      </c>
      <c r="Z425" s="34"/>
    </row>
    <row r="426" spans="1:26">
      <c r="A426" s="41">
        <f t="shared" si="43"/>
        <v>423</v>
      </c>
      <c r="B426" s="35" t="s">
        <v>2608</v>
      </c>
      <c r="C426" s="35" t="str">
        <f t="shared" si="44"/>
        <v>MoMo × ePass: Hoàn 100k khi thanh toán qua trạm ETC</v>
      </c>
      <c r="D426" t="s">
        <v>610</v>
      </c>
      <c r="E426" s="105" t="str">
        <f>VLOOKUP(X426,'Updating-Scoring'!$C$2:$D$7,2,TRUE)</f>
        <v>4 - Strategic shift</v>
      </c>
      <c r="F426">
        <f t="shared" si="41"/>
        <v>18</v>
      </c>
      <c r="G426" s="110">
        <v>46145</v>
      </c>
      <c r="H426" t="s">
        <v>2609</v>
      </c>
      <c r="I426" s="110">
        <v>46135</v>
      </c>
      <c r="J426" t="s">
        <v>170</v>
      </c>
      <c r="K426" s="34" t="s">
        <v>432</v>
      </c>
      <c r="L426" s="34" t="s">
        <v>457</v>
      </c>
      <c r="M426" s="34" t="s">
        <v>415</v>
      </c>
      <c r="N426" s="34" t="str">
        <f t="shared" si="42"/>
        <v>Marketing | User acquisition</v>
      </c>
      <c r="O426" s="34" t="s">
        <v>2610</v>
      </c>
      <c r="P426" s="34" t="s">
        <v>2611</v>
      </c>
      <c r="Q426" s="38">
        <v>46136</v>
      </c>
      <c r="R426" s="109">
        <v>46146</v>
      </c>
      <c r="S426" s="38" t="s">
        <v>2612</v>
      </c>
      <c r="T426">
        <v>3</v>
      </c>
      <c r="U426">
        <v>4.5</v>
      </c>
      <c r="X426" s="106">
        <f t="shared" si="45"/>
        <v>3.5999999999999996</v>
      </c>
      <c r="Y426" s="34" t="s">
        <v>2533</v>
      </c>
      <c r="Z426" s="34"/>
    </row>
    <row r="427" spans="1:26">
      <c r="A427" s="41">
        <f t="shared" si="43"/>
        <v>424</v>
      </c>
      <c r="B427" s="35" t="s">
        <v>2613</v>
      </c>
      <c r="C427" s="35" t="str">
        <f t="shared" si="44"/>
        <v>MoMo x Vietlott: Nhận quà 40k khi mở tài khoản VietlottSMS</v>
      </c>
      <c r="D427" t="s">
        <v>610</v>
      </c>
      <c r="E427" s="105" t="str">
        <f>VLOOKUP(X427,'Updating-Scoring'!$C$2:$D$7,2,TRUE)</f>
        <v>3 - Market signal</v>
      </c>
      <c r="F427">
        <f t="shared" ref="F427:F457" si="46">WEEKNUM(G427,2)</f>
        <v>18</v>
      </c>
      <c r="G427" s="110">
        <v>46145</v>
      </c>
      <c r="H427" t="s">
        <v>2614</v>
      </c>
      <c r="I427" s="110">
        <v>46136</v>
      </c>
      <c r="J427" t="s">
        <v>170</v>
      </c>
      <c r="K427" s="34" t="s">
        <v>432</v>
      </c>
      <c r="L427" s="34" t="s">
        <v>457</v>
      </c>
      <c r="M427" s="34" t="s">
        <v>413</v>
      </c>
      <c r="N427" s="34" t="str">
        <f t="shared" ref="N427:N457" si="47">L427&amp;" | "&amp;M427</f>
        <v>Marketing | User activation</v>
      </c>
      <c r="O427" s="34" t="s">
        <v>2615</v>
      </c>
      <c r="P427" t="s">
        <v>2616</v>
      </c>
      <c r="Q427" s="38">
        <v>46135</v>
      </c>
      <c r="R427" s="109">
        <v>46141</v>
      </c>
      <c r="S427" s="38" t="s">
        <v>2617</v>
      </c>
      <c r="T427">
        <v>3</v>
      </c>
      <c r="U427">
        <v>4</v>
      </c>
      <c r="X427" s="106">
        <f t="shared" si="45"/>
        <v>3.4</v>
      </c>
      <c r="Y427" s="34" t="s">
        <v>2533</v>
      </c>
      <c r="Z427" s="34"/>
    </row>
    <row r="428" spans="1:26">
      <c r="A428" s="41">
        <f t="shared" si="43"/>
        <v>425</v>
      </c>
      <c r="B428" s="35" t="s">
        <v>2618</v>
      </c>
      <c r="C428" s="35" t="str">
        <f t="shared" si="44"/>
        <v>GrabFood: Ngày đôi 5.5 - Ưu đãi 50%, Mua 1 tặng 1, Mua 2 tặng 1 20+ thương hiệu</v>
      </c>
      <c r="D428" t="s">
        <v>2529</v>
      </c>
      <c r="E428" s="105" t="str">
        <f>VLOOKUP(X428,'Updating-Scoring'!$C$2:$D$7,2,TRUE)</f>
        <v>4 - Strategic shift</v>
      </c>
      <c r="F428">
        <f t="shared" si="46"/>
        <v>18</v>
      </c>
      <c r="G428" s="110">
        <v>46145</v>
      </c>
      <c r="H428" t="s">
        <v>2619</v>
      </c>
      <c r="I428" s="110">
        <v>46145</v>
      </c>
      <c r="J428" t="s">
        <v>170</v>
      </c>
      <c r="K428" s="34" t="s">
        <v>438</v>
      </c>
      <c r="L428" s="34" t="s">
        <v>457</v>
      </c>
      <c r="M428" s="34" t="s">
        <v>416</v>
      </c>
      <c r="N428" s="34" t="str">
        <f t="shared" si="47"/>
        <v>Marketing | Transaction growth</v>
      </c>
      <c r="O428" s="34" t="s">
        <v>2620</v>
      </c>
      <c r="P428" s="109" t="s">
        <v>2621</v>
      </c>
      <c r="Q428" s="38">
        <v>46146</v>
      </c>
      <c r="R428" s="38">
        <v>46152</v>
      </c>
      <c r="T428">
        <v>4</v>
      </c>
      <c r="U428">
        <v>4</v>
      </c>
      <c r="X428" s="106">
        <f t="shared" si="45"/>
        <v>4</v>
      </c>
      <c r="Y428" s="34" t="s">
        <v>2533</v>
      </c>
    </row>
    <row r="429" spans="1:26">
      <c r="A429" s="41">
        <f t="shared" si="43"/>
        <v>426</v>
      </c>
      <c r="B429" s="35" t="s">
        <v>2622</v>
      </c>
      <c r="C429" s="35" t="str">
        <f t="shared" si="44"/>
        <v>MoMo x Vietlott: Nhận quà 50k khi mở tài khoản VietlottSMS</v>
      </c>
      <c r="D429" t="s">
        <v>610</v>
      </c>
      <c r="E429" s="105" t="str">
        <f>VLOOKUP(X429,'Updating-Scoring'!$C$2:$D$7,2,TRUE)</f>
        <v>3 - Market signal</v>
      </c>
      <c r="F429">
        <f t="shared" si="46"/>
        <v>18</v>
      </c>
      <c r="G429" s="110">
        <v>46145</v>
      </c>
      <c r="H429" t="s">
        <v>2623</v>
      </c>
      <c r="I429" s="110">
        <v>46141</v>
      </c>
      <c r="J429" t="s">
        <v>170</v>
      </c>
      <c r="K429" s="34" t="s">
        <v>432</v>
      </c>
      <c r="L429" s="34" t="s">
        <v>457</v>
      </c>
      <c r="M429" s="34" t="s">
        <v>413</v>
      </c>
      <c r="N429" s="34" t="str">
        <f t="shared" si="47"/>
        <v>Marketing | User activation</v>
      </c>
      <c r="O429" s="34" t="s">
        <v>2624</v>
      </c>
      <c r="P429" t="s">
        <v>2625</v>
      </c>
      <c r="Q429" s="38">
        <v>46140</v>
      </c>
      <c r="R429" s="109">
        <v>46152</v>
      </c>
      <c r="S429" s="38" t="s">
        <v>2626</v>
      </c>
      <c r="T429">
        <v>3</v>
      </c>
      <c r="U429">
        <v>4</v>
      </c>
      <c r="X429" s="106">
        <f t="shared" si="45"/>
        <v>3.4</v>
      </c>
      <c r="Y429" s="34" t="s">
        <v>2533</v>
      </c>
      <c r="Z429" s="34"/>
    </row>
    <row r="430" spans="1:26">
      <c r="A430" s="41">
        <f t="shared" si="43"/>
        <v>427</v>
      </c>
      <c r="B430" s="35"/>
      <c r="C430" s="35" t="str">
        <f t="shared" si="44"/>
        <v>Zalopay x Grab/GSM: Ưu đãi thanh toán bằng Zalopay</v>
      </c>
      <c r="D430" t="s">
        <v>920</v>
      </c>
      <c r="E430" s="105" t="str">
        <f>VLOOKUP(X430,'Updating-Scoring'!$C$2:$D$7,2,TRUE)</f>
        <v>3 - Market signal</v>
      </c>
      <c r="F430">
        <f t="shared" si="46"/>
        <v>18</v>
      </c>
      <c r="G430" s="110">
        <v>46145</v>
      </c>
      <c r="H430" t="s">
        <v>2627</v>
      </c>
      <c r="I430" s="110">
        <v>46136</v>
      </c>
      <c r="J430" t="s">
        <v>170</v>
      </c>
      <c r="K430" s="34" t="s">
        <v>434</v>
      </c>
      <c r="L430" s="34" t="s">
        <v>459</v>
      </c>
      <c r="M430" s="34" t="s">
        <v>511</v>
      </c>
      <c r="N430" s="34" t="str">
        <f t="shared" si="47"/>
        <v>Partnership | Transport/ Mobility</v>
      </c>
      <c r="O430" s="34" t="s">
        <v>2628</v>
      </c>
      <c r="P430" t="s">
        <v>2629</v>
      </c>
      <c r="Q430" s="38">
        <v>46136</v>
      </c>
      <c r="R430" s="38">
        <v>46142</v>
      </c>
      <c r="T430">
        <v>3</v>
      </c>
      <c r="U430">
        <v>3.6</v>
      </c>
      <c r="X430" s="106">
        <f t="shared" si="45"/>
        <v>3.24</v>
      </c>
      <c r="Y430" s="34" t="s">
        <v>2533</v>
      </c>
      <c r="Z430" s="34"/>
    </row>
    <row r="431" spans="1:26">
      <c r="A431" s="41">
        <f t="shared" si="43"/>
        <v>428</v>
      </c>
      <c r="B431" s="35" t="s">
        <v>2630</v>
      </c>
      <c r="C431" s="35" t="str">
        <f t="shared" si="44"/>
        <v>MoMo × Taptap Send: Gửi kiều hối từ nước ngoài nhận quà đến 900k</v>
      </c>
      <c r="D431" t="s">
        <v>610</v>
      </c>
      <c r="E431" s="105" t="str">
        <f>VLOOKUP(X431,'Updating-Scoring'!$C$2:$D$7,2,TRUE)</f>
        <v>4 - Strategic shift</v>
      </c>
      <c r="F431">
        <f t="shared" si="46"/>
        <v>18</v>
      </c>
      <c r="G431" s="110">
        <v>46145</v>
      </c>
      <c r="H431" t="s">
        <v>2631</v>
      </c>
      <c r="I431" s="110">
        <v>46141</v>
      </c>
      <c r="J431" t="s">
        <v>170</v>
      </c>
      <c r="K431" s="34" t="s">
        <v>432</v>
      </c>
      <c r="L431" s="34" t="s">
        <v>457</v>
      </c>
      <c r="M431" s="34" t="s">
        <v>413</v>
      </c>
      <c r="N431" s="34" t="str">
        <f t="shared" si="47"/>
        <v>Marketing | User activation</v>
      </c>
      <c r="O431" s="34" t="s">
        <v>2632</v>
      </c>
      <c r="P431" s="34" t="s">
        <v>2633</v>
      </c>
      <c r="Q431" s="38">
        <v>46148</v>
      </c>
      <c r="R431" s="109">
        <v>46173</v>
      </c>
      <c r="S431" s="38" t="s">
        <v>2634</v>
      </c>
      <c r="T431">
        <v>4</v>
      </c>
      <c r="U431">
        <v>4</v>
      </c>
      <c r="X431" s="106">
        <f t="shared" si="45"/>
        <v>4</v>
      </c>
      <c r="Y431" s="34" t="s">
        <v>2371</v>
      </c>
    </row>
    <row r="432" spans="1:26">
      <c r="A432" s="41">
        <f t="shared" si="43"/>
        <v>429</v>
      </c>
      <c r="B432" s="35" t="s">
        <v>2635</v>
      </c>
      <c r="C432" s="35" t="str">
        <f t="shared" si="44"/>
        <v>Gamification: Tạp Hoá Tuổi Thơ – Tham gia nhiệm vụ và nhận quà với tổng thưởng đến 1 tỷ đồng</v>
      </c>
      <c r="D432" t="s">
        <v>610</v>
      </c>
      <c r="E432" s="105" t="str">
        <f>VLOOKUP(X432,'Updating-Scoring'!$C$2:$D$7,2,TRUE)</f>
        <v>3 - Market signal</v>
      </c>
      <c r="F432">
        <f t="shared" si="46"/>
        <v>18</v>
      </c>
      <c r="G432" s="110">
        <v>46145</v>
      </c>
      <c r="H432" t="s">
        <v>2636</v>
      </c>
      <c r="I432" s="110">
        <v>46135</v>
      </c>
      <c r="J432" t="s">
        <v>170</v>
      </c>
      <c r="K432" s="34" t="s">
        <v>432</v>
      </c>
      <c r="L432" s="34" t="s">
        <v>457</v>
      </c>
      <c r="M432" s="34" t="s">
        <v>414</v>
      </c>
      <c r="N432" s="34" t="str">
        <f t="shared" si="47"/>
        <v>Marketing | User engagement</v>
      </c>
      <c r="O432" s="34" t="s">
        <v>2637</v>
      </c>
      <c r="P432" t="s">
        <v>2638</v>
      </c>
      <c r="Q432" s="38">
        <v>46134</v>
      </c>
      <c r="R432" s="109">
        <v>46173</v>
      </c>
      <c r="S432" s="38" t="s">
        <v>2639</v>
      </c>
      <c r="T432">
        <v>3</v>
      </c>
      <c r="U432">
        <v>4</v>
      </c>
      <c r="X432" s="106">
        <f t="shared" si="45"/>
        <v>3.4</v>
      </c>
      <c r="Y432" s="34" t="s">
        <v>2533</v>
      </c>
      <c r="Z432" s="34"/>
    </row>
    <row r="433" spans="1:26">
      <c r="A433" s="41">
        <f t="shared" si="43"/>
        <v>430</v>
      </c>
      <c r="B433" s="35" t="s">
        <v>2640</v>
      </c>
      <c r="C433" s="35" t="str">
        <f t="shared" si="44"/>
        <v>Gamification MoMo Movies: Chơi “Săn Sập Sài Gòn” vừa xem phim hay vừa rinh pin cài, túi tote, Mô Ngọ</v>
      </c>
      <c r="D433" t="s">
        <v>610</v>
      </c>
      <c r="E433" s="105" t="str">
        <f>VLOOKUP(X433,'Updating-Scoring'!$C$2:$D$7,2,TRUE)</f>
        <v>4 - Strategic shift</v>
      </c>
      <c r="F433">
        <f t="shared" si="46"/>
        <v>18</v>
      </c>
      <c r="G433" s="110">
        <v>46145</v>
      </c>
      <c r="H433" t="s">
        <v>2641</v>
      </c>
      <c r="I433" s="110">
        <v>46134</v>
      </c>
      <c r="J433" t="s">
        <v>170</v>
      </c>
      <c r="K433" s="34" t="s">
        <v>432</v>
      </c>
      <c r="L433" s="34" t="s">
        <v>457</v>
      </c>
      <c r="M433" s="34" t="s">
        <v>414</v>
      </c>
      <c r="N433" s="34" t="str">
        <f t="shared" si="47"/>
        <v>Marketing | User engagement</v>
      </c>
      <c r="O433" s="34" t="s">
        <v>2642</v>
      </c>
      <c r="P433" s="34" t="s">
        <v>2643</v>
      </c>
      <c r="Q433" s="38">
        <v>46136</v>
      </c>
      <c r="R433" s="109">
        <v>46147</v>
      </c>
      <c r="S433" s="38" t="s">
        <v>2644</v>
      </c>
      <c r="T433">
        <v>3</v>
      </c>
      <c r="U433">
        <v>5</v>
      </c>
      <c r="X433" s="106">
        <f t="shared" si="45"/>
        <v>3.8</v>
      </c>
      <c r="Y433" s="34" t="s">
        <v>2533</v>
      </c>
    </row>
    <row r="434" spans="1:26">
      <c r="A434" s="41">
        <f t="shared" si="43"/>
        <v>431</v>
      </c>
      <c r="B434" s="35" t="s">
        <v>2645</v>
      </c>
      <c r="C434" s="35" t="str">
        <f t="shared" si="44"/>
        <v>MoMo Du lịch đi lại × Green SM: Đặt dịch vụ du lịch nhận giảm 20% max 50k đi xe Green SM</v>
      </c>
      <c r="D434" t="s">
        <v>610</v>
      </c>
      <c r="E434" s="105" t="str">
        <f>VLOOKUP(X434,'Updating-Scoring'!$C$2:$D$7,2,TRUE)</f>
        <v>4 - Strategic shift</v>
      </c>
      <c r="F434">
        <f t="shared" si="46"/>
        <v>18</v>
      </c>
      <c r="G434" s="110">
        <v>46145</v>
      </c>
      <c r="H434" t="s">
        <v>2646</v>
      </c>
      <c r="I434" s="110">
        <v>46136</v>
      </c>
      <c r="J434" t="s">
        <v>170</v>
      </c>
      <c r="K434" s="34" t="s">
        <v>432</v>
      </c>
      <c r="L434" s="34" t="s">
        <v>459</v>
      </c>
      <c r="M434" s="34" t="s">
        <v>511</v>
      </c>
      <c r="N434" s="34" t="str">
        <f t="shared" si="47"/>
        <v>Partnership | Transport/ Mobility</v>
      </c>
      <c r="O434" s="34" t="s">
        <v>2647</v>
      </c>
      <c r="P434" s="34" t="s">
        <v>2648</v>
      </c>
      <c r="Q434" s="38">
        <v>46136</v>
      </c>
      <c r="R434" s="109"/>
      <c r="S434" s="38" t="s">
        <v>2649</v>
      </c>
      <c r="T434">
        <v>3</v>
      </c>
      <c r="U434">
        <v>5</v>
      </c>
      <c r="X434" s="106">
        <f t="shared" si="45"/>
        <v>3.8</v>
      </c>
      <c r="Y434" s="34" t="s">
        <v>2533</v>
      </c>
      <c r="Z434" s="34"/>
    </row>
    <row r="435" spans="1:26">
      <c r="A435" s="41">
        <f t="shared" si="43"/>
        <v>432</v>
      </c>
      <c r="B435" s="35" t="s">
        <v>2650</v>
      </c>
      <c r="C435" s="35" t="str">
        <f t="shared" si="44"/>
        <v>GrabFood: Thưởng 304 GrabXu cho 3004 đơn hàng đầu tiên mỗi ngày</v>
      </c>
      <c r="D435" t="s">
        <v>2529</v>
      </c>
      <c r="E435" s="105" t="str">
        <f>VLOOKUP(X435,'Updating-Scoring'!$C$2:$D$7,2,TRUE)</f>
        <v>4 - Strategic shift</v>
      </c>
      <c r="F435">
        <f t="shared" si="46"/>
        <v>18</v>
      </c>
      <c r="G435" s="110">
        <v>46145</v>
      </c>
      <c r="H435" t="s">
        <v>2651</v>
      </c>
      <c r="I435" s="110">
        <v>46139</v>
      </c>
      <c r="J435" t="s">
        <v>170</v>
      </c>
      <c r="K435" s="34" t="s">
        <v>438</v>
      </c>
      <c r="L435" s="34" t="s">
        <v>457</v>
      </c>
      <c r="M435" s="34" t="s">
        <v>416</v>
      </c>
      <c r="N435" s="34" t="str">
        <f t="shared" si="47"/>
        <v>Marketing | Transaction growth</v>
      </c>
      <c r="O435" s="34" t="s">
        <v>2652</v>
      </c>
      <c r="P435" s="109" t="s">
        <v>2653</v>
      </c>
      <c r="Q435" s="38">
        <v>46139</v>
      </c>
      <c r="R435" s="38">
        <v>46143</v>
      </c>
      <c r="T435">
        <v>3</v>
      </c>
      <c r="U435">
        <v>4.2</v>
      </c>
      <c r="X435" s="106">
        <f t="shared" si="45"/>
        <v>3.48</v>
      </c>
      <c r="Y435" s="34" t="s">
        <v>2533</v>
      </c>
      <c r="Z435" s="34"/>
    </row>
    <row r="436" spans="1:26">
      <c r="A436" s="41">
        <f t="shared" si="43"/>
        <v>433</v>
      </c>
      <c r="B436" s="35" t="s">
        <v>2654</v>
      </c>
      <c r="C436" s="35" t="str">
        <f t="shared" si="44"/>
        <v>GrabFood: Giảm 34% tối đa 34k tại 34 tỉnh thành</v>
      </c>
      <c r="D436" t="s">
        <v>2529</v>
      </c>
      <c r="E436" s="105" t="str">
        <f>VLOOKUP(X436,'Updating-Scoring'!$C$2:$D$7,2,TRUE)</f>
        <v>4 - Strategic shift</v>
      </c>
      <c r="F436">
        <f t="shared" si="46"/>
        <v>18</v>
      </c>
      <c r="G436" s="110">
        <v>46145</v>
      </c>
      <c r="H436" t="s">
        <v>2655</v>
      </c>
      <c r="I436" s="110">
        <v>46137</v>
      </c>
      <c r="J436" t="s">
        <v>170</v>
      </c>
      <c r="K436" s="34" t="s">
        <v>438</v>
      </c>
      <c r="L436" s="34" t="s">
        <v>457</v>
      </c>
      <c r="M436" s="34" t="s">
        <v>416</v>
      </c>
      <c r="N436" s="34" t="str">
        <f t="shared" si="47"/>
        <v>Marketing | Transaction growth</v>
      </c>
      <c r="O436" s="34" t="s">
        <v>2656</v>
      </c>
      <c r="P436" s="109" t="s">
        <v>2657</v>
      </c>
      <c r="Q436" s="38">
        <v>46137</v>
      </c>
      <c r="R436" s="38">
        <v>46145</v>
      </c>
      <c r="T436">
        <v>3</v>
      </c>
      <c r="U436">
        <v>4.2</v>
      </c>
      <c r="X436" s="106">
        <f t="shared" si="45"/>
        <v>3.48</v>
      </c>
      <c r="Y436" s="34" t="s">
        <v>2533</v>
      </c>
      <c r="Z436" s="34"/>
    </row>
    <row r="437" spans="1:26">
      <c r="A437" s="41">
        <f t="shared" si="43"/>
        <v>434</v>
      </c>
      <c r="B437" s="35" t="s">
        <v>2658</v>
      </c>
      <c r="C437" s="35" t="str">
        <f t="shared" si="44"/>
        <v>GrabXu Flashsale: Giảm sâu đến 89% cho mọi ưu đãi dịch vụ Grab được đổi trên GrabXu</v>
      </c>
      <c r="D437" t="s">
        <v>2529</v>
      </c>
      <c r="E437" s="105" t="str">
        <f>VLOOKUP(X437,'Updating-Scoring'!$C$2:$D$7,2,TRUE)</f>
        <v>4 - Strategic shift</v>
      </c>
      <c r="F437">
        <f t="shared" si="46"/>
        <v>18</v>
      </c>
      <c r="G437" s="110">
        <v>46145</v>
      </c>
      <c r="H437" t="s">
        <v>2659</v>
      </c>
      <c r="I437" s="110">
        <v>46137</v>
      </c>
      <c r="J437" t="s">
        <v>170</v>
      </c>
      <c r="K437" s="34" t="s">
        <v>438</v>
      </c>
      <c r="L437" s="34" t="s">
        <v>457</v>
      </c>
      <c r="M437" s="34" t="s">
        <v>416</v>
      </c>
      <c r="N437" s="34" t="str">
        <f t="shared" si="47"/>
        <v>Marketing | Transaction growth</v>
      </c>
      <c r="O437" s="34" t="s">
        <v>2660</v>
      </c>
      <c r="P437" s="109" t="s">
        <v>2661</v>
      </c>
      <c r="Q437" s="38">
        <v>46138</v>
      </c>
      <c r="R437" s="38">
        <v>46142</v>
      </c>
      <c r="T437">
        <v>3</v>
      </c>
      <c r="U437">
        <v>4.0999999999999996</v>
      </c>
      <c r="X437" s="106">
        <f t="shared" si="45"/>
        <v>3.4399999999999995</v>
      </c>
      <c r="Y437" s="34" t="s">
        <v>2533</v>
      </c>
      <c r="Z437" s="34"/>
    </row>
    <row r="438" spans="1:26">
      <c r="A438" s="41">
        <f t="shared" si="43"/>
        <v>435</v>
      </c>
      <c r="B438" s="35"/>
      <c r="C438" s="35" t="str">
        <f t="shared" si="44"/>
        <v>GrabCar Thú cưng: Thưởng 30% GrabXu</v>
      </c>
      <c r="D438" t="s">
        <v>1338</v>
      </c>
      <c r="E438" s="105" t="str">
        <f>VLOOKUP(X438,'Updating-Scoring'!$C$2:$D$7,2,TRUE)</f>
        <v>4 - Strategic shift</v>
      </c>
      <c r="F438">
        <f t="shared" si="46"/>
        <v>18</v>
      </c>
      <c r="G438" s="110">
        <v>46145</v>
      </c>
      <c r="H438" t="s">
        <v>2662</v>
      </c>
      <c r="I438" s="110">
        <v>46134</v>
      </c>
      <c r="J438" t="s">
        <v>170</v>
      </c>
      <c r="K438" s="34" t="s">
        <v>438</v>
      </c>
      <c r="L438" s="34" t="s">
        <v>457</v>
      </c>
      <c r="M438" s="34" t="s">
        <v>415</v>
      </c>
      <c r="N438" s="34" t="str">
        <f t="shared" si="47"/>
        <v>Marketing | User acquisition</v>
      </c>
      <c r="O438" s="34" t="s">
        <v>2663</v>
      </c>
      <c r="P438" s="109" t="s">
        <v>2664</v>
      </c>
      <c r="Q438" s="38">
        <v>46134</v>
      </c>
      <c r="R438" s="38">
        <v>46234</v>
      </c>
      <c r="T438">
        <v>3</v>
      </c>
      <c r="U438">
        <v>4.0999999999999996</v>
      </c>
      <c r="X438" s="106">
        <f t="shared" si="45"/>
        <v>3.4399999999999995</v>
      </c>
      <c r="Y438" s="34" t="s">
        <v>2533</v>
      </c>
      <c r="Z438" s="34"/>
    </row>
    <row r="439" spans="1:26">
      <c r="A439" s="41">
        <f t="shared" si="43"/>
        <v>436</v>
      </c>
      <c r="B439" s="35"/>
      <c r="C439" s="35" t="str">
        <f t="shared" si="44"/>
        <v xml:space="preserve">GrabCar Thú cưng: Giảm 80k cho chuyến GrabCar thú cưng đầu tiên ---- đến 31/7									</v>
      </c>
      <c r="D439" t="s">
        <v>1338</v>
      </c>
      <c r="E439" s="105" t="str">
        <f>VLOOKUP(X439,'Updating-Scoring'!$C$2:$D$7,2,TRUE)</f>
        <v>4 - Strategic shift</v>
      </c>
      <c r="F439">
        <f t="shared" si="46"/>
        <v>18</v>
      </c>
      <c r="G439" s="110">
        <v>46145</v>
      </c>
      <c r="H439" t="s">
        <v>2665</v>
      </c>
      <c r="I439" s="110">
        <v>46134</v>
      </c>
      <c r="J439" t="s">
        <v>170</v>
      </c>
      <c r="K439" s="34" t="s">
        <v>438</v>
      </c>
      <c r="L439" s="34" t="s">
        <v>457</v>
      </c>
      <c r="M439" s="34" t="s">
        <v>415</v>
      </c>
      <c r="N439" s="34" t="str">
        <f t="shared" si="47"/>
        <v>Marketing | User acquisition</v>
      </c>
      <c r="O439" s="34" t="s">
        <v>2666</v>
      </c>
      <c r="P439" s="109" t="s">
        <v>2667</v>
      </c>
      <c r="Q439" s="38">
        <v>46134</v>
      </c>
      <c r="R439" s="38">
        <v>46265</v>
      </c>
      <c r="T439">
        <v>3</v>
      </c>
      <c r="U439">
        <v>4.0999999999999996</v>
      </c>
      <c r="X439" s="106">
        <f t="shared" si="45"/>
        <v>3.4399999999999995</v>
      </c>
      <c r="Y439" s="34" t="s">
        <v>2533</v>
      </c>
      <c r="Z439" s="34"/>
    </row>
    <row r="440" spans="1:26">
      <c r="A440" s="41">
        <f t="shared" si="43"/>
        <v>437</v>
      </c>
      <c r="B440" s="35" t="s">
        <v>2668</v>
      </c>
      <c r="C440" s="35" t="str">
        <f t="shared" si="44"/>
        <v>Zalopay x VTVGo: Thanh toán gói cước VTVgo Plus bằng Zalopay</v>
      </c>
      <c r="D440" t="s">
        <v>920</v>
      </c>
      <c r="E440" s="105" t="str">
        <f>VLOOKUP(X440,'Updating-Scoring'!$C$2:$D$7,2,TRUE)</f>
        <v>3 - Market signal</v>
      </c>
      <c r="F440">
        <f t="shared" si="46"/>
        <v>18</v>
      </c>
      <c r="G440" s="110">
        <v>46145</v>
      </c>
      <c r="H440" t="s">
        <v>2669</v>
      </c>
      <c r="I440" s="110">
        <v>46135</v>
      </c>
      <c r="J440" t="s">
        <v>170</v>
      </c>
      <c r="K440" s="34" t="s">
        <v>434</v>
      </c>
      <c r="L440" s="34" t="s">
        <v>459</v>
      </c>
      <c r="M440" s="34" t="s">
        <v>2670</v>
      </c>
      <c r="N440" s="34" t="str">
        <f t="shared" si="47"/>
        <v>Partnership | Ultity</v>
      </c>
      <c r="O440" s="34" t="s">
        <v>2671</v>
      </c>
      <c r="P440" t="s">
        <v>2672</v>
      </c>
      <c r="Q440" s="38">
        <v>46132</v>
      </c>
      <c r="R440" s="38">
        <v>46173</v>
      </c>
      <c r="T440">
        <v>3.2</v>
      </c>
      <c r="U440">
        <v>3.3</v>
      </c>
      <c r="X440" s="106">
        <f t="shared" si="45"/>
        <v>3.24</v>
      </c>
      <c r="Y440" s="34" t="s">
        <v>2533</v>
      </c>
      <c r="Z440" s="34"/>
    </row>
    <row r="441" spans="1:26">
      <c r="A441" s="41">
        <f t="shared" si="43"/>
        <v>438</v>
      </c>
      <c r="B441" s="35" t="s">
        <v>2673</v>
      </c>
      <c r="C441" s="35" t="str">
        <f t="shared" si="44"/>
        <v>Google đưa Gemini trở thành trợ lý AI mặc định trên xe hơi</v>
      </c>
      <c r="D441" t="s">
        <v>1012</v>
      </c>
      <c r="E441" s="105" t="str">
        <f>VLOOKUP(X441,'Updating-Scoring'!$C$2:$D$7,2,TRUE)</f>
        <v>3 - Market signal</v>
      </c>
      <c r="F441">
        <f t="shared" si="46"/>
        <v>18</v>
      </c>
      <c r="G441" s="34">
        <v>46145</v>
      </c>
      <c r="H441" t="s">
        <v>2674</v>
      </c>
      <c r="I441" s="34">
        <v>46142</v>
      </c>
      <c r="J441" t="s">
        <v>284</v>
      </c>
      <c r="K441" s="34" t="s">
        <v>428</v>
      </c>
      <c r="L441" s="34" t="s">
        <v>451</v>
      </c>
      <c r="M441" s="34" t="s">
        <v>483</v>
      </c>
      <c r="N441" s="34" t="str">
        <f t="shared" si="47"/>
        <v>Technology | AI/ Gen AI</v>
      </c>
      <c r="O441" s="109" t="s">
        <v>2675</v>
      </c>
      <c r="P441" s="37" t="s">
        <v>2676</v>
      </c>
      <c r="Q441" s="38"/>
      <c r="R441" s="38"/>
      <c r="T441">
        <v>3.1</v>
      </c>
      <c r="U441">
        <v>3</v>
      </c>
      <c r="X441" s="106">
        <f t="shared" si="45"/>
        <v>3.06</v>
      </c>
      <c r="Y441" s="34" t="s">
        <v>86</v>
      </c>
      <c r="Z441" s="34"/>
    </row>
    <row r="442" spans="1:26">
      <c r="A442" s="41">
        <f t="shared" si="43"/>
        <v>439</v>
      </c>
      <c r="B442" s="35" t="s">
        <v>2677</v>
      </c>
      <c r="C442" s="35" t="str">
        <f t="shared" si="44"/>
        <v>Anthropic thừa nhận Claude giảm hiệu suất 47 ngày vì 3 lỗi kỹ thuật chồng chéo</v>
      </c>
      <c r="D442" t="s">
        <v>85</v>
      </c>
      <c r="E442" s="105" t="str">
        <f>VLOOKUP(X442,'Updating-Scoring'!$C$2:$D$7,2,TRUE)</f>
        <v>2 - Minor signal</v>
      </c>
      <c r="F442">
        <f t="shared" si="46"/>
        <v>18</v>
      </c>
      <c r="G442" s="34">
        <v>46145</v>
      </c>
      <c r="H442" t="s">
        <v>2678</v>
      </c>
      <c r="I442" s="34">
        <v>46136</v>
      </c>
      <c r="J442" t="s">
        <v>284</v>
      </c>
      <c r="K442" s="34" t="s">
        <v>428</v>
      </c>
      <c r="L442" s="34" t="s">
        <v>451</v>
      </c>
      <c r="M442" s="34" t="s">
        <v>483</v>
      </c>
      <c r="N442" s="34" t="str">
        <f t="shared" si="47"/>
        <v>Technology | AI/ Gen AI</v>
      </c>
      <c r="O442" s="109" t="s">
        <v>2679</v>
      </c>
      <c r="P442" s="38" t="s">
        <v>2680</v>
      </c>
      <c r="R442" s="38"/>
      <c r="T442">
        <v>3</v>
      </c>
      <c r="U442">
        <v>3</v>
      </c>
      <c r="X442" s="106">
        <f t="shared" si="45"/>
        <v>3</v>
      </c>
      <c r="Y442" s="34"/>
      <c r="Z442" s="34"/>
    </row>
    <row r="443" spans="1:26">
      <c r="A443" s="41">
        <f t="shared" si="43"/>
        <v>440</v>
      </c>
      <c r="B443" s="35" t="s">
        <v>2681</v>
      </c>
      <c r="C443" s="35" t="str">
        <f t="shared" si="44"/>
        <v>Tim Cook từ chức CEO Apple vào 1/9/2026 – John Ternus kế nhiệm, Cook chuyển sang Executive Chairman</v>
      </c>
      <c r="D443" t="s">
        <v>85</v>
      </c>
      <c r="E443" s="105" t="str">
        <f>VLOOKUP(X443,'Updating-Scoring'!$C$2:$D$7,2,TRUE)</f>
        <v>2 - Minor signal</v>
      </c>
      <c r="F443">
        <f t="shared" si="46"/>
        <v>18</v>
      </c>
      <c r="G443" s="34">
        <v>46145</v>
      </c>
      <c r="H443" t="s">
        <v>2682</v>
      </c>
      <c r="I443" s="34">
        <v>46133</v>
      </c>
      <c r="J443" t="s">
        <v>284</v>
      </c>
      <c r="K443" s="34" t="s">
        <v>428</v>
      </c>
      <c r="L443" s="34" t="s">
        <v>447</v>
      </c>
      <c r="M443" s="34" t="s">
        <v>476</v>
      </c>
      <c r="N443" s="34" t="str">
        <f t="shared" si="47"/>
        <v>Economic | Business model change</v>
      </c>
      <c r="O443" s="109" t="s">
        <v>2683</v>
      </c>
      <c r="P443" s="38" t="s">
        <v>2684</v>
      </c>
      <c r="R443" s="38"/>
      <c r="T443">
        <v>3</v>
      </c>
      <c r="U443">
        <v>3</v>
      </c>
      <c r="X443" s="106">
        <f t="shared" si="45"/>
        <v>3</v>
      </c>
      <c r="Y443" s="34"/>
      <c r="Z443" s="34"/>
    </row>
    <row r="444" spans="1:26">
      <c r="A444" s="41">
        <f t="shared" si="43"/>
        <v>441</v>
      </c>
      <c r="B444" s="35" t="s">
        <v>2685</v>
      </c>
      <c r="C444" s="35" t="str">
        <f t="shared" si="44"/>
        <v>OpenAI được cho là đang phát triển điện thoại AI xoay quanh ChatGPT</v>
      </c>
      <c r="D444" t="s">
        <v>119</v>
      </c>
      <c r="E444" s="105" t="str">
        <f>VLOOKUP(X444,'Updating-Scoring'!$C$2:$D$7,2,TRUE)</f>
        <v>2 - Minor signal</v>
      </c>
      <c r="F444">
        <f t="shared" si="46"/>
        <v>18</v>
      </c>
      <c r="G444" s="34">
        <v>46145</v>
      </c>
      <c r="H444" t="s">
        <v>2686</v>
      </c>
      <c r="I444" s="34">
        <v>46140</v>
      </c>
      <c r="J444" t="s">
        <v>284</v>
      </c>
      <c r="K444" s="34" t="s">
        <v>428</v>
      </c>
      <c r="L444" s="34" t="s">
        <v>451</v>
      </c>
      <c r="M444" s="34" t="s">
        <v>483</v>
      </c>
      <c r="N444" s="34" t="str">
        <f t="shared" si="47"/>
        <v>Technology | AI/ Gen AI</v>
      </c>
      <c r="O444" s="109" t="s">
        <v>2687</v>
      </c>
      <c r="P444" s="38" t="s">
        <v>2688</v>
      </c>
      <c r="R444" s="38"/>
      <c r="T444">
        <v>3</v>
      </c>
      <c r="U444">
        <v>3</v>
      </c>
      <c r="X444" s="106">
        <f t="shared" si="45"/>
        <v>3</v>
      </c>
      <c r="Y444" s="34"/>
      <c r="Z444" s="34"/>
    </row>
    <row r="445" spans="1:26">
      <c r="A445" s="41">
        <f t="shared" si="43"/>
        <v>442</v>
      </c>
      <c r="B445" s="35" t="s">
        <v>2689</v>
      </c>
      <c r="C445" s="35" t="str">
        <f t="shared" si="44"/>
        <v>Apple cập nhật iPhone chặn FBI trích xuất dữ liệu – Tín hiệu về quyền riêng tư dữ liệu trên thiết bị</v>
      </c>
      <c r="D445" t="s">
        <v>1927</v>
      </c>
      <c r="E445" s="105" t="str">
        <f>VLOOKUP(X445,'Updating-Scoring'!$C$2:$D$7,2,TRUE)</f>
        <v>2 - Minor signal</v>
      </c>
      <c r="F445">
        <f t="shared" si="46"/>
        <v>18</v>
      </c>
      <c r="G445" s="34">
        <v>46145</v>
      </c>
      <c r="H445" t="s">
        <v>2690</v>
      </c>
      <c r="I445" s="34">
        <v>46136</v>
      </c>
      <c r="J445" t="s">
        <v>284</v>
      </c>
      <c r="K445" s="34" t="s">
        <v>428</v>
      </c>
      <c r="L445" s="34" t="s">
        <v>451</v>
      </c>
      <c r="M445" s="34" t="s">
        <v>487</v>
      </c>
      <c r="N445" s="34" t="str">
        <f t="shared" si="47"/>
        <v>Technology | Cybersecurity</v>
      </c>
      <c r="O445" s="109" t="s">
        <v>2691</v>
      </c>
      <c r="P445" s="38" t="s">
        <v>2692</v>
      </c>
      <c r="R445" s="38"/>
      <c r="T445">
        <v>3</v>
      </c>
      <c r="U445">
        <v>3</v>
      </c>
      <c r="X445" s="106">
        <f t="shared" si="45"/>
        <v>3</v>
      </c>
      <c r="Y445" s="34"/>
      <c r="Z445" s="34"/>
    </row>
    <row r="446" spans="1:26">
      <c r="A446" s="41">
        <f t="shared" si="43"/>
        <v>443</v>
      </c>
      <c r="B446" s="35" t="s">
        <v>2693</v>
      </c>
      <c r="C446" s="35" t="str">
        <f t="shared" si="44"/>
        <v>Google thêm 25 triệu subscription Q1/2026 – YouTube và Google One là động lực tăng trưởng</v>
      </c>
      <c r="D446" t="s">
        <v>1012</v>
      </c>
      <c r="E446" s="105" t="str">
        <f>VLOOKUP(X446,'Updating-Scoring'!$C$2:$D$7,2,TRUE)</f>
        <v>2 - Minor signal</v>
      </c>
      <c r="F446">
        <f t="shared" si="46"/>
        <v>18</v>
      </c>
      <c r="G446" s="34">
        <v>46145</v>
      </c>
      <c r="H446" t="s">
        <v>2694</v>
      </c>
      <c r="I446" s="34">
        <v>46141</v>
      </c>
      <c r="J446" t="s">
        <v>284</v>
      </c>
      <c r="K446" s="34" t="s">
        <v>428</v>
      </c>
      <c r="L446" s="34" t="s">
        <v>447</v>
      </c>
      <c r="M446" s="34" t="s">
        <v>476</v>
      </c>
      <c r="N446" s="34" t="str">
        <f t="shared" si="47"/>
        <v>Economic | Business model change</v>
      </c>
      <c r="O446" s="109" t="s">
        <v>2695</v>
      </c>
      <c r="P446" s="38" t="s">
        <v>2696</v>
      </c>
      <c r="R446" s="38"/>
      <c r="T446">
        <v>3</v>
      </c>
      <c r="U446">
        <v>3</v>
      </c>
      <c r="X446" s="106">
        <f t="shared" si="45"/>
        <v>3</v>
      </c>
      <c r="Y446" s="34"/>
      <c r="Z446" s="34"/>
    </row>
    <row r="447" spans="1:26">
      <c r="A447" s="41">
        <f t="shared" si="43"/>
        <v>444</v>
      </c>
      <c r="B447" s="35" t="s">
        <v>2697</v>
      </c>
      <c r="C447" s="35" t="str">
        <f t="shared" si="44"/>
        <v>Người tiêu dùng Mỹ mất $2.1 tỷ vì lừa đảo mạng xã hội 2025 – FTC báo cáo</v>
      </c>
      <c r="D447" t="s">
        <v>1012</v>
      </c>
      <c r="E447" s="105" t="str">
        <f>VLOOKUP(X447,'Updating-Scoring'!$C$2:$D$7,2,TRUE)</f>
        <v>2 - Minor signal</v>
      </c>
      <c r="F447">
        <f t="shared" si="46"/>
        <v>18</v>
      </c>
      <c r="G447" s="34">
        <v>46145</v>
      </c>
      <c r="H447" t="s">
        <v>2698</v>
      </c>
      <c r="I447" s="34">
        <v>46139</v>
      </c>
      <c r="J447" t="s">
        <v>284</v>
      </c>
      <c r="K447" s="34" t="s">
        <v>428</v>
      </c>
      <c r="L447" s="34" t="s">
        <v>451</v>
      </c>
      <c r="M447" s="34" t="s">
        <v>487</v>
      </c>
      <c r="N447" s="34" t="str">
        <f t="shared" si="47"/>
        <v>Technology | Cybersecurity</v>
      </c>
      <c r="O447" s="109" t="s">
        <v>2699</v>
      </c>
      <c r="P447" s="38" t="s">
        <v>2700</v>
      </c>
      <c r="R447" s="38"/>
      <c r="T447">
        <v>3</v>
      </c>
      <c r="U447">
        <v>3</v>
      </c>
      <c r="X447" s="106">
        <f t="shared" si="45"/>
        <v>3</v>
      </c>
      <c r="Y447" s="34"/>
      <c r="Z447" s="34"/>
    </row>
    <row r="448" spans="1:26">
      <c r="A448" s="41">
        <f t="shared" si="43"/>
        <v>445</v>
      </c>
      <c r="B448" s="35" t="s">
        <v>2701</v>
      </c>
      <c r="C448" s="35" t="str">
        <f t="shared" si="44"/>
        <v>Bảo hiểm số VN khởi đầu kỷ nguyên mua vài lần chạm – Vertical mới trong hệ sinh thái e-wallet</v>
      </c>
      <c r="D448" t="s">
        <v>85</v>
      </c>
      <c r="E448" s="105" t="str">
        <f>VLOOKUP(X448,'Updating-Scoring'!$C$2:$D$7,2,TRUE)</f>
        <v>2 - Minor signal</v>
      </c>
      <c r="F448">
        <f t="shared" si="46"/>
        <v>18</v>
      </c>
      <c r="G448" s="34">
        <v>46145</v>
      </c>
      <c r="H448" t="s">
        <v>2702</v>
      </c>
      <c r="I448" s="34">
        <v>46139</v>
      </c>
      <c r="J448" t="s">
        <v>284</v>
      </c>
      <c r="K448" s="34" t="s">
        <v>431</v>
      </c>
      <c r="L448" s="34" t="s">
        <v>451</v>
      </c>
      <c r="M448" s="34" t="s">
        <v>489</v>
      </c>
      <c r="N448" s="34" t="str">
        <f t="shared" si="47"/>
        <v>Technology | Fintech/ Wallet</v>
      </c>
      <c r="O448" s="109" t="s">
        <v>2703</v>
      </c>
      <c r="P448" s="38" t="s">
        <v>2704</v>
      </c>
      <c r="R448" s="38"/>
      <c r="T448">
        <v>3</v>
      </c>
      <c r="U448">
        <v>2</v>
      </c>
      <c r="X448" s="106">
        <f t="shared" si="45"/>
        <v>2.5999999999999996</v>
      </c>
      <c r="Y448" s="34"/>
      <c r="Z448" s="34"/>
    </row>
    <row r="449" spans="1:26">
      <c r="A449" s="41">
        <f t="shared" si="43"/>
        <v>446</v>
      </c>
      <c r="B449" s="35" t="s">
        <v>2705</v>
      </c>
      <c r="C449" s="35" t="str">
        <f t="shared" si="44"/>
        <v>Ưu đãi đặt vé máy bay dịp lễ qua ứng dụng – Cạnh tranh thu hút user cho vertical travel</v>
      </c>
      <c r="D449" t="s">
        <v>1927</v>
      </c>
      <c r="E449" s="105" t="str">
        <f>VLOOKUP(X449,'Updating-Scoring'!$C$2:$D$7,2,TRUE)</f>
        <v>2 - Minor signal</v>
      </c>
      <c r="F449">
        <f t="shared" si="46"/>
        <v>18</v>
      </c>
      <c r="G449" s="34">
        <v>46145</v>
      </c>
      <c r="H449" t="s">
        <v>2706</v>
      </c>
      <c r="I449" s="34">
        <v>46139</v>
      </c>
      <c r="J449" t="s">
        <v>284</v>
      </c>
      <c r="K449" s="34" t="s">
        <v>431</v>
      </c>
      <c r="L449" s="34" t="s">
        <v>447</v>
      </c>
      <c r="M449" s="34" t="s">
        <v>476</v>
      </c>
      <c r="N449" s="34" t="str">
        <f t="shared" si="47"/>
        <v>Economic | Business model change</v>
      </c>
      <c r="O449" s="109" t="s">
        <v>2707</v>
      </c>
      <c r="P449" s="38" t="s">
        <v>2708</v>
      </c>
      <c r="R449" s="38"/>
      <c r="T449">
        <v>3</v>
      </c>
      <c r="U449">
        <v>2</v>
      </c>
      <c r="X449" s="106">
        <f t="shared" si="45"/>
        <v>2.5999999999999996</v>
      </c>
      <c r="Y449" s="34"/>
      <c r="Z449" s="34"/>
    </row>
    <row r="450" spans="1:26">
      <c r="A450" s="41">
        <f t="shared" si="43"/>
        <v>447</v>
      </c>
      <c r="B450" s="35" t="s">
        <v>2709</v>
      </c>
      <c r="C450" s="35" t="str">
        <f t="shared" si="44"/>
        <v>Esports VN đang hội nhập toàn cầu – Tín hiệu về hệ sinh thái gaming và ticket B2C</v>
      </c>
      <c r="D450" t="s">
        <v>104</v>
      </c>
      <c r="E450" s="105" t="str">
        <f>VLOOKUP(X450,'Updating-Scoring'!$C$2:$D$7,2,TRUE)</f>
        <v>2 - Minor signal</v>
      </c>
      <c r="F450">
        <f t="shared" si="46"/>
        <v>18</v>
      </c>
      <c r="G450" s="34">
        <v>46145</v>
      </c>
      <c r="H450" t="s">
        <v>2710</v>
      </c>
      <c r="I450" s="34">
        <v>46132</v>
      </c>
      <c r="J450" t="s">
        <v>284</v>
      </c>
      <c r="K450" s="34" t="s">
        <v>431</v>
      </c>
      <c r="L450" s="34" t="s">
        <v>449</v>
      </c>
      <c r="M450" s="34" t="s">
        <v>479</v>
      </c>
      <c r="N450" s="34" t="str">
        <f t="shared" si="47"/>
        <v>Social | Digital adoption</v>
      </c>
      <c r="O450" s="109" t="s">
        <v>2711</v>
      </c>
      <c r="P450" s="38" t="s">
        <v>2712</v>
      </c>
      <c r="R450" s="38"/>
      <c r="T450">
        <v>2</v>
      </c>
      <c r="U450">
        <v>2</v>
      </c>
      <c r="X450" s="106">
        <f t="shared" si="45"/>
        <v>2</v>
      </c>
      <c r="Y450" s="34"/>
      <c r="Z450" s="34"/>
    </row>
    <row r="451" spans="1:26">
      <c r="A451" s="41">
        <f t="shared" si="43"/>
        <v>448</v>
      </c>
      <c r="B451" s="35" t="s">
        <v>2713</v>
      </c>
      <c r="C451" s="35" t="str">
        <f t="shared" si="44"/>
        <v>AI và drone trong đô thị thông minh VN – Tín hiệu hạ tầng trung hạn</v>
      </c>
      <c r="D451" t="s">
        <v>104</v>
      </c>
      <c r="E451" s="105" t="str">
        <f>VLOOKUP(X451,'Updating-Scoring'!$C$2:$D$7,2,TRUE)</f>
        <v>2 - Minor signal</v>
      </c>
      <c r="F451">
        <f t="shared" si="46"/>
        <v>18</v>
      </c>
      <c r="G451" s="34">
        <v>46145</v>
      </c>
      <c r="H451" t="s">
        <v>2714</v>
      </c>
      <c r="I451" s="34">
        <v>46132</v>
      </c>
      <c r="J451" t="s">
        <v>284</v>
      </c>
      <c r="K451" s="34" t="s">
        <v>431</v>
      </c>
      <c r="L451" s="34" t="s">
        <v>451</v>
      </c>
      <c r="M451" s="34" t="s">
        <v>483</v>
      </c>
      <c r="N451" s="34" t="str">
        <f t="shared" si="47"/>
        <v>Technology | AI/ Gen AI</v>
      </c>
      <c r="O451" s="109" t="s">
        <v>2715</v>
      </c>
      <c r="P451" s="38" t="s">
        <v>2716</v>
      </c>
      <c r="R451" s="38"/>
      <c r="T451">
        <v>2</v>
      </c>
      <c r="U451">
        <v>2</v>
      </c>
      <c r="X451" s="106">
        <f t="shared" si="45"/>
        <v>2</v>
      </c>
      <c r="Y451" s="34"/>
      <c r="Z451" s="34"/>
    </row>
    <row r="452" spans="1:26">
      <c r="A452" s="41">
        <f t="shared" si="43"/>
        <v>449</v>
      </c>
      <c r="B452" s="35" t="s">
        <v>2717</v>
      </c>
      <c r="C452" s="35" t="str">
        <f t="shared" si="44"/>
        <v>Anthropic AI Mythos gây lo ngại bảo mật – Khả năng tìm lỗ hổng và viết mã khai thác trong vài giờ</v>
      </c>
      <c r="D452" t="s">
        <v>119</v>
      </c>
      <c r="E452" s="105" t="str">
        <f>VLOOKUP(X452,'Updating-Scoring'!$C$2:$D$7,2,TRUE)</f>
        <v>2 - Minor signal</v>
      </c>
      <c r="F452">
        <f t="shared" si="46"/>
        <v>18</v>
      </c>
      <c r="G452" s="34">
        <v>46145</v>
      </c>
      <c r="H452" t="s">
        <v>2718</v>
      </c>
      <c r="I452" s="34">
        <v>46133</v>
      </c>
      <c r="J452" t="s">
        <v>284</v>
      </c>
      <c r="K452" s="34" t="s">
        <v>428</v>
      </c>
      <c r="L452" s="34" t="s">
        <v>451</v>
      </c>
      <c r="M452" s="34" t="s">
        <v>483</v>
      </c>
      <c r="N452" s="34" t="str">
        <f t="shared" si="47"/>
        <v>Technology | AI/ Gen AI</v>
      </c>
      <c r="O452" s="109" t="s">
        <v>2719</v>
      </c>
      <c r="P452" s="38" t="s">
        <v>2720</v>
      </c>
      <c r="R452" s="38"/>
      <c r="T452">
        <v>2</v>
      </c>
      <c r="U452">
        <v>2</v>
      </c>
      <c r="X452" s="106">
        <f t="shared" si="45"/>
        <v>2</v>
      </c>
      <c r="Y452" s="34"/>
      <c r="Z452" s="34"/>
    </row>
    <row r="453" spans="1:26">
      <c r="A453" s="41">
        <f t="shared" si="43"/>
        <v>450</v>
      </c>
      <c r="B453" s="35" t="s">
        <v>2721</v>
      </c>
      <c r="C453" s="35" t="str">
        <f t="shared" si="44"/>
        <v>Startup phá sản bán dữ liệu Slack/email cho AI – Rủi ro data privacy trong hợp đồng SaaS</v>
      </c>
      <c r="D453" t="s">
        <v>85</v>
      </c>
      <c r="E453" s="105" t="str">
        <f>VLOOKUP(X453,'Updating-Scoring'!$C$2:$D$7,2,TRUE)</f>
        <v>2 - Minor signal</v>
      </c>
      <c r="F453">
        <f t="shared" si="46"/>
        <v>18</v>
      </c>
      <c r="G453" s="34">
        <v>46145</v>
      </c>
      <c r="H453" t="s">
        <v>2722</v>
      </c>
      <c r="I453" s="34">
        <v>46135</v>
      </c>
      <c r="J453" t="s">
        <v>284</v>
      </c>
      <c r="K453" s="34" t="s">
        <v>428</v>
      </c>
      <c r="L453" s="34" t="s">
        <v>451</v>
      </c>
      <c r="M453" s="34" t="s">
        <v>483</v>
      </c>
      <c r="N453" s="34" t="str">
        <f t="shared" si="47"/>
        <v>Technology | AI/ Gen AI</v>
      </c>
      <c r="O453" s="109" t="s">
        <v>2723</v>
      </c>
      <c r="P453" s="38" t="s">
        <v>2724</v>
      </c>
      <c r="R453" s="38"/>
      <c r="T453">
        <v>2</v>
      </c>
      <c r="U453">
        <v>2</v>
      </c>
      <c r="X453" s="106">
        <f t="shared" si="45"/>
        <v>2</v>
      </c>
      <c r="Y453" s="34"/>
      <c r="Z453" s="34"/>
    </row>
    <row r="454" spans="1:26">
      <c r="A454" s="41">
        <f t="shared" si="43"/>
        <v>451</v>
      </c>
      <c r="B454" s="35" t="s">
        <v>2725</v>
      </c>
      <c r="C454" s="35" t="str">
        <f t="shared" si="44"/>
        <v>Nghiên cứu Anthropic: Claude có biểu hiện cảm xúc chức năng và hành vi tự bảo vệ cực đoan</v>
      </c>
      <c r="D454" t="s">
        <v>85</v>
      </c>
      <c r="E454" s="105" t="str">
        <f>VLOOKUP(X454,'Updating-Scoring'!$C$2:$D$7,2,TRUE)</f>
        <v>2 - Minor signal</v>
      </c>
      <c r="F454">
        <f t="shared" si="46"/>
        <v>18</v>
      </c>
      <c r="G454" s="34">
        <v>46145</v>
      </c>
      <c r="H454" t="s">
        <v>2726</v>
      </c>
      <c r="I454" s="34">
        <v>46131</v>
      </c>
      <c r="J454" t="s">
        <v>284</v>
      </c>
      <c r="K454" s="34" t="s">
        <v>428</v>
      </c>
      <c r="L454" s="34" t="s">
        <v>451</v>
      </c>
      <c r="M454" s="34" t="s">
        <v>483</v>
      </c>
      <c r="N454" s="34" t="str">
        <f t="shared" si="47"/>
        <v>Technology | AI/ Gen AI</v>
      </c>
      <c r="O454" s="109" t="s">
        <v>2727</v>
      </c>
      <c r="P454" s="38" t="s">
        <v>2728</v>
      </c>
      <c r="R454" s="38"/>
      <c r="T454">
        <v>2</v>
      </c>
      <c r="U454">
        <v>2</v>
      </c>
      <c r="X454" s="106">
        <f t="shared" si="45"/>
        <v>2</v>
      </c>
      <c r="Y454" s="34"/>
      <c r="Z454" s="34"/>
    </row>
    <row r="455" spans="1:26">
      <c r="A455" s="41">
        <f t="shared" ref="A455:A482" si="48">ROW()-3</f>
        <v>452</v>
      </c>
      <c r="B455" s="35" t="s">
        <v>2729</v>
      </c>
      <c r="C455" s="35" t="str">
        <f t="shared" ref="C455:C482" si="49">HYPERLINK(B455,O455)</f>
        <v>Xiaomi ra AI clone giọng nói từ vài clip – Voice cloning AI đang phổ cập trên thiết bị tiêu dùng</v>
      </c>
      <c r="D455" t="s">
        <v>85</v>
      </c>
      <c r="E455" s="105" t="str">
        <f>VLOOKUP(X455,'Updating-Scoring'!$C$2:$D$7,2,TRUE)</f>
        <v>2 - Minor signal</v>
      </c>
      <c r="F455">
        <f t="shared" si="46"/>
        <v>18</v>
      </c>
      <c r="G455" s="34">
        <v>46145</v>
      </c>
      <c r="H455" t="s">
        <v>2730</v>
      </c>
      <c r="I455" s="34">
        <v>46136</v>
      </c>
      <c r="J455" t="s">
        <v>284</v>
      </c>
      <c r="K455" s="34" t="s">
        <v>428</v>
      </c>
      <c r="L455" s="34" t="s">
        <v>451</v>
      </c>
      <c r="M455" s="34" t="s">
        <v>483</v>
      </c>
      <c r="N455" s="34" t="str">
        <f t="shared" si="47"/>
        <v>Technology | AI/ Gen AI</v>
      </c>
      <c r="O455" s="109" t="s">
        <v>2731</v>
      </c>
      <c r="P455" s="38" t="s">
        <v>2732</v>
      </c>
      <c r="R455" s="38"/>
      <c r="T455">
        <v>2</v>
      </c>
      <c r="U455">
        <v>2</v>
      </c>
      <c r="X455" s="106">
        <f t="shared" ref="X455:X482" si="50">IF(G455&lt;DATE(2026,4,30),T455*$T$1+U455*$U$1+V455*$V$1+W455*$W$1,T455*$T$2+U455*$U$2)</f>
        <v>2</v>
      </c>
      <c r="Y455" s="34"/>
      <c r="Z455" s="34"/>
    </row>
    <row r="456" spans="1:26">
      <c r="A456" s="41">
        <f t="shared" si="48"/>
        <v>453</v>
      </c>
      <c r="B456" s="35" t="s">
        <v>2733</v>
      </c>
      <c r="C456" s="35" t="str">
        <f t="shared" si="49"/>
        <v>AI agent tự ý làm vượt lệnh – Xóa dữ liệu và bịa thông tin khi không ai giám sát</v>
      </c>
      <c r="D456" t="s">
        <v>85</v>
      </c>
      <c r="E456" s="105" t="str">
        <f>VLOOKUP(X456,'Updating-Scoring'!$C$2:$D$7,2,TRUE)</f>
        <v>2 - Minor signal</v>
      </c>
      <c r="F456">
        <f t="shared" si="46"/>
        <v>18</v>
      </c>
      <c r="G456" s="34">
        <v>46145</v>
      </c>
      <c r="H456" t="s">
        <v>2734</v>
      </c>
      <c r="I456" s="34">
        <v>46130</v>
      </c>
      <c r="J456" t="s">
        <v>284</v>
      </c>
      <c r="K456" s="34" t="s">
        <v>428</v>
      </c>
      <c r="L456" s="34" t="s">
        <v>451</v>
      </c>
      <c r="M456" s="34" t="s">
        <v>483</v>
      </c>
      <c r="N456" s="34" t="str">
        <f t="shared" si="47"/>
        <v>Technology | AI/ Gen AI</v>
      </c>
      <c r="O456" s="109" t="s">
        <v>2735</v>
      </c>
      <c r="P456" s="38" t="s">
        <v>2736</v>
      </c>
      <c r="R456" s="38"/>
      <c r="T456">
        <v>2</v>
      </c>
      <c r="U456">
        <v>2</v>
      </c>
      <c r="X456" s="106">
        <f t="shared" si="50"/>
        <v>2</v>
      </c>
      <c r="Y456" s="34"/>
      <c r="Z456" s="34"/>
    </row>
    <row r="457" spans="1:26">
      <c r="A457" s="41">
        <f t="shared" si="48"/>
        <v>454</v>
      </c>
      <c r="B457" s="35" t="s">
        <v>2737</v>
      </c>
      <c r="C457" s="35" t="str">
        <f t="shared" si="49"/>
        <v>Atlassian Service Collection ra mắt VN – B2B enterprise AI management, không chạm B2C</v>
      </c>
      <c r="D457" t="s">
        <v>104</v>
      </c>
      <c r="E457" s="105" t="str">
        <f>VLOOKUP(X457,'Updating-Scoring'!$C$2:$D$7,2,TRUE)</f>
        <v>2 - Minor signal</v>
      </c>
      <c r="F457">
        <f t="shared" si="46"/>
        <v>18</v>
      </c>
      <c r="G457" s="34">
        <v>46145</v>
      </c>
      <c r="H457" t="s">
        <v>2738</v>
      </c>
      <c r="I457" s="34">
        <v>46137</v>
      </c>
      <c r="J457" t="s">
        <v>284</v>
      </c>
      <c r="K457" s="34" t="s">
        <v>431</v>
      </c>
      <c r="L457" s="34" t="s">
        <v>451</v>
      </c>
      <c r="M457" s="34" t="s">
        <v>483</v>
      </c>
      <c r="N457" s="34" t="str">
        <f t="shared" si="47"/>
        <v>Technology | AI/ Gen AI</v>
      </c>
      <c r="O457" s="109" t="s">
        <v>2739</v>
      </c>
      <c r="P457" s="38" t="s">
        <v>2740</v>
      </c>
      <c r="R457" s="38"/>
      <c r="T457">
        <v>2</v>
      </c>
      <c r="U457">
        <v>2</v>
      </c>
      <c r="X457" s="106">
        <f t="shared" si="50"/>
        <v>2</v>
      </c>
      <c r="Y457" s="34"/>
      <c r="Z457" s="34"/>
    </row>
    <row r="458" spans="1:26">
      <c r="A458" s="41">
        <f t="shared" si="48"/>
        <v>455</v>
      </c>
      <c r="B458" s="35" t="s">
        <v>2741</v>
      </c>
      <c r="C458" s="35" t="str">
        <f t="shared" si="49"/>
        <v>Agentic AI trong y học chính xác – B2B/healthcare, không chạm trực tiếp HST B2C</v>
      </c>
      <c r="D458" t="s">
        <v>104</v>
      </c>
      <c r="E458" s="105" t="str">
        <f>VLOOKUP(X458,'Updating-Scoring'!$C$2:$D$7,2,TRUE)</f>
        <v>2 - Minor signal</v>
      </c>
      <c r="F458">
        <f t="shared" ref="F458:F482" si="51">WEEKNUM(G458,2)</f>
        <v>18</v>
      </c>
      <c r="G458" s="34">
        <v>46145</v>
      </c>
      <c r="H458" t="s">
        <v>2742</v>
      </c>
      <c r="I458" s="34">
        <v>46135</v>
      </c>
      <c r="J458" t="s">
        <v>284</v>
      </c>
      <c r="K458" s="34" t="s">
        <v>428</v>
      </c>
      <c r="L458" s="34" t="s">
        <v>451</v>
      </c>
      <c r="M458" s="34" t="s">
        <v>483</v>
      </c>
      <c r="N458" s="34" t="str">
        <f t="shared" ref="N458:N482" si="52">L458&amp;" | "&amp;M458</f>
        <v>Technology | AI/ Gen AI</v>
      </c>
      <c r="O458" s="109" t="s">
        <v>2743</v>
      </c>
      <c r="P458" s="38" t="s">
        <v>2744</v>
      </c>
      <c r="R458" s="38"/>
      <c r="T458">
        <v>2</v>
      </c>
      <c r="U458">
        <v>2</v>
      </c>
      <c r="X458" s="106">
        <f t="shared" si="50"/>
        <v>2</v>
      </c>
      <c r="Y458" s="34"/>
      <c r="Z458" s="34"/>
    </row>
    <row r="459" spans="1:26">
      <c r="A459" s="41">
        <f t="shared" si="48"/>
        <v>456</v>
      </c>
      <c r="B459" s="35" t="s">
        <v>2745</v>
      </c>
      <c r="C459" s="35" t="str">
        <f t="shared" si="49"/>
        <v>Chiêu lừa đảo mới dùng ảnh AI thú cưng đòi tiền chuộc – Social engineering tinh vi hơn tại VN</v>
      </c>
      <c r="D459" t="s">
        <v>119</v>
      </c>
      <c r="E459" s="105" t="str">
        <f>VLOOKUP(X459,'Updating-Scoring'!$C$2:$D$7,2,TRUE)</f>
        <v>2 - Minor signal</v>
      </c>
      <c r="F459">
        <f t="shared" si="51"/>
        <v>18</v>
      </c>
      <c r="G459" s="34">
        <v>46145</v>
      </c>
      <c r="H459" t="s">
        <v>2746</v>
      </c>
      <c r="I459" s="34">
        <v>46131</v>
      </c>
      <c r="J459" t="s">
        <v>284</v>
      </c>
      <c r="K459" s="34" t="s">
        <v>431</v>
      </c>
      <c r="L459" s="34" t="s">
        <v>451</v>
      </c>
      <c r="M459" s="34" t="s">
        <v>487</v>
      </c>
      <c r="N459" s="34" t="str">
        <f t="shared" si="52"/>
        <v>Technology | Cybersecurity</v>
      </c>
      <c r="O459" s="109" t="s">
        <v>2747</v>
      </c>
      <c r="P459" s="38" t="s">
        <v>2748</v>
      </c>
      <c r="R459" s="38"/>
      <c r="T459">
        <v>2</v>
      </c>
      <c r="U459">
        <v>2</v>
      </c>
      <c r="X459" s="106">
        <f t="shared" si="50"/>
        <v>2</v>
      </c>
      <c r="Y459" s="34"/>
      <c r="Z459" s="34"/>
    </row>
    <row r="460" spans="1:26">
      <c r="A460" s="41">
        <f t="shared" si="48"/>
        <v>457</v>
      </c>
      <c r="B460" s="35" t="s">
        <v>2749</v>
      </c>
      <c r="C460" s="35" t="str">
        <f t="shared" si="49"/>
        <v>Đào tạo AI y tế VN – Nhu cầu cấp thiết từ thực tiễn, chưa chạm HST super-app</v>
      </c>
      <c r="D460" t="s">
        <v>85</v>
      </c>
      <c r="E460" s="105" t="str">
        <f>VLOOKUP(X460,'Updating-Scoring'!$C$2:$D$7,2,TRUE)</f>
        <v>2 - Minor signal</v>
      </c>
      <c r="F460">
        <f t="shared" si="51"/>
        <v>18</v>
      </c>
      <c r="G460" s="34">
        <v>46145</v>
      </c>
      <c r="H460" t="s">
        <v>2750</v>
      </c>
      <c r="I460" s="34">
        <v>46135</v>
      </c>
      <c r="J460" t="s">
        <v>284</v>
      </c>
      <c r="K460" s="34" t="s">
        <v>431</v>
      </c>
      <c r="L460" s="34" t="s">
        <v>449</v>
      </c>
      <c r="M460" s="34" t="s">
        <v>482</v>
      </c>
      <c r="N460" s="34" t="str">
        <f t="shared" si="52"/>
        <v>Social | Digital workforce</v>
      </c>
      <c r="O460" s="109" t="s">
        <v>2751</v>
      </c>
      <c r="P460" s="38" t="s">
        <v>2752</v>
      </c>
      <c r="R460" s="38"/>
      <c r="T460">
        <v>2</v>
      </c>
      <c r="U460">
        <v>2</v>
      </c>
      <c r="X460" s="106">
        <f t="shared" si="50"/>
        <v>2</v>
      </c>
      <c r="Y460" s="34"/>
      <c r="Z460" s="34"/>
    </row>
    <row r="461" spans="1:26">
      <c r="A461" s="41">
        <f t="shared" si="48"/>
        <v>458</v>
      </c>
      <c r="B461" s="35" t="s">
        <v>2753</v>
      </c>
      <c r="C461" s="35" t="str">
        <f t="shared" si="49"/>
        <v>Robinhood được cấp phép môi giới tại Singapore – Fintech US mở rộng SEA</v>
      </c>
      <c r="D461" t="s">
        <v>144</v>
      </c>
      <c r="E461" s="105" t="str">
        <f>VLOOKUP(X461,'Updating-Scoring'!$C$2:$D$7,2,TRUE)</f>
        <v>2 - Minor signal</v>
      </c>
      <c r="F461">
        <f t="shared" si="51"/>
        <v>18</v>
      </c>
      <c r="G461" s="34">
        <v>46145</v>
      </c>
      <c r="H461" t="s">
        <v>2754</v>
      </c>
      <c r="I461" s="34">
        <v>46140</v>
      </c>
      <c r="J461" t="s">
        <v>284</v>
      </c>
      <c r="K461" s="34" t="s">
        <v>430</v>
      </c>
      <c r="L461" s="34" t="s">
        <v>447</v>
      </c>
      <c r="M461" s="34" t="s">
        <v>2395</v>
      </c>
      <c r="N461" s="34" t="str">
        <f t="shared" si="52"/>
        <v>Economic | Funding/ Investment</v>
      </c>
      <c r="O461" s="109" t="s">
        <v>2755</v>
      </c>
      <c r="P461" s="38" t="s">
        <v>2756</v>
      </c>
      <c r="R461" s="38"/>
      <c r="T461">
        <v>2</v>
      </c>
      <c r="U461">
        <v>2</v>
      </c>
      <c r="X461" s="106">
        <f t="shared" si="50"/>
        <v>2</v>
      </c>
      <c r="Y461" s="34"/>
      <c r="Z461" s="34"/>
    </row>
    <row r="462" spans="1:26">
      <c r="A462" s="41">
        <f t="shared" si="48"/>
        <v>459</v>
      </c>
      <c r="B462" s="35" t="s">
        <v>2757</v>
      </c>
      <c r="C462" s="35" t="str">
        <f t="shared" si="49"/>
        <v>Y tế VN với Agentic AI – B2B/healthcare, chưa chạm HST B2C super-app</v>
      </c>
      <c r="D462" t="s">
        <v>104</v>
      </c>
      <c r="E462" s="105" t="str">
        <f>VLOOKUP(X462,'Updating-Scoring'!$C$2:$D$7,2,TRUE)</f>
        <v>2 - Minor signal</v>
      </c>
      <c r="F462">
        <f t="shared" si="51"/>
        <v>18</v>
      </c>
      <c r="G462" s="34">
        <v>46145</v>
      </c>
      <c r="H462" t="s">
        <v>2758</v>
      </c>
      <c r="I462" s="34">
        <v>46138</v>
      </c>
      <c r="J462" t="s">
        <v>284</v>
      </c>
      <c r="K462" s="34" t="s">
        <v>431</v>
      </c>
      <c r="L462" s="34" t="s">
        <v>451</v>
      </c>
      <c r="M462" s="34" t="s">
        <v>483</v>
      </c>
      <c r="N462" s="34" t="str">
        <f t="shared" si="52"/>
        <v>Technology | AI/ Gen AI</v>
      </c>
      <c r="O462" s="109" t="s">
        <v>2759</v>
      </c>
      <c r="P462" s="38" t="s">
        <v>2760</v>
      </c>
      <c r="R462" s="38"/>
      <c r="T462">
        <v>2</v>
      </c>
      <c r="U462">
        <v>2</v>
      </c>
      <c r="X462" s="106">
        <f t="shared" si="50"/>
        <v>2</v>
      </c>
      <c r="Y462" s="34"/>
      <c r="Z462" s="34"/>
    </row>
    <row r="463" spans="1:26">
      <c r="A463" s="41">
        <f t="shared" si="48"/>
        <v>460</v>
      </c>
      <c r="B463" s="35" t="s">
        <v>2761</v>
      </c>
      <c r="C463" s="35" t="str">
        <f t="shared" si="49"/>
        <v>Công ty game Việt xây hệ sinh thái người chơi Make in Vietnam – Gaming B2C VN đang phát triển</v>
      </c>
      <c r="D463" t="s">
        <v>1927</v>
      </c>
      <c r="E463" s="105" t="str">
        <f>VLOOKUP(X463,'Updating-Scoring'!$C$2:$D$7,2,TRUE)</f>
        <v>2 - Minor signal</v>
      </c>
      <c r="F463">
        <f t="shared" si="51"/>
        <v>18</v>
      </c>
      <c r="G463" s="34">
        <v>46145</v>
      </c>
      <c r="H463" t="s">
        <v>2762</v>
      </c>
      <c r="I463" s="34">
        <v>46134</v>
      </c>
      <c r="J463" t="s">
        <v>284</v>
      </c>
      <c r="K463" s="34" t="s">
        <v>431</v>
      </c>
      <c r="L463" s="34" t="s">
        <v>447</v>
      </c>
      <c r="M463" s="34" t="s">
        <v>476</v>
      </c>
      <c r="N463" s="34" t="str">
        <f t="shared" si="52"/>
        <v>Economic | Business model change</v>
      </c>
      <c r="O463" s="109" t="s">
        <v>2763</v>
      </c>
      <c r="P463" s="38" t="s">
        <v>2764</v>
      </c>
      <c r="R463" s="38"/>
      <c r="T463">
        <v>2</v>
      </c>
      <c r="U463">
        <v>2</v>
      </c>
      <c r="X463" s="106">
        <f t="shared" si="50"/>
        <v>2</v>
      </c>
      <c r="Y463" s="34"/>
      <c r="Z463" s="34"/>
    </row>
    <row r="464" spans="1:26">
      <c r="A464" s="41">
        <f t="shared" si="48"/>
        <v>461</v>
      </c>
      <c r="B464" s="35" t="s">
        <v>2765</v>
      </c>
      <c r="C464" s="35" t="str">
        <f t="shared" si="49"/>
        <v>Đề xuất tăng ngưỡng doanh thu chịu thuế hộ kinh doanh lên 1 tỷ đồng</v>
      </c>
      <c r="D464" t="s">
        <v>1927</v>
      </c>
      <c r="E464" s="105" t="str">
        <f>VLOOKUP(X464,'Updating-Scoring'!$C$2:$D$7,2,TRUE)</f>
        <v>2 - Minor signal</v>
      </c>
      <c r="F464">
        <f t="shared" si="51"/>
        <v>18</v>
      </c>
      <c r="G464" s="34">
        <v>46145</v>
      </c>
      <c r="H464" t="s">
        <v>2766</v>
      </c>
      <c r="I464" s="34">
        <v>46134</v>
      </c>
      <c r="J464" t="s">
        <v>284</v>
      </c>
      <c r="K464" s="34" t="s">
        <v>431</v>
      </c>
      <c r="L464" s="34" t="s">
        <v>453</v>
      </c>
      <c r="M464" s="34" t="s">
        <v>489</v>
      </c>
      <c r="N464" s="34" t="str">
        <f t="shared" si="52"/>
        <v>Legal | Fintech/ Wallet</v>
      </c>
      <c r="O464" s="109" t="s">
        <v>2767</v>
      </c>
      <c r="P464" s="38" t="s">
        <v>2768</v>
      </c>
      <c r="R464" s="38"/>
      <c r="T464">
        <v>2</v>
      </c>
      <c r="U464">
        <v>2</v>
      </c>
      <c r="X464" s="106">
        <f t="shared" si="50"/>
        <v>2</v>
      </c>
      <c r="Y464" s="34"/>
      <c r="Z464" s="34"/>
    </row>
    <row r="465" spans="1:26">
      <c r="A465" s="41">
        <f t="shared" si="48"/>
        <v>462</v>
      </c>
      <c r="B465" s="35" t="s">
        <v>2769</v>
      </c>
      <c r="C465" s="35" t="str">
        <f t="shared" si="49"/>
        <v>Instagram hạn chế reach của content aggregators – Siết chặt quy định nội dung tái đăng</v>
      </c>
      <c r="D465" t="s">
        <v>1012</v>
      </c>
      <c r="E465" s="105" t="str">
        <f>VLOOKUP(X465,'Updating-Scoring'!$C$2:$D$7,2,TRUE)</f>
        <v>2 - Minor signal</v>
      </c>
      <c r="F465">
        <f t="shared" si="51"/>
        <v>18</v>
      </c>
      <c r="G465" s="34">
        <v>46145</v>
      </c>
      <c r="H465" t="s">
        <v>2770</v>
      </c>
      <c r="I465" s="34">
        <v>46142</v>
      </c>
      <c r="J465" t="s">
        <v>284</v>
      </c>
      <c r="K465" s="34" t="s">
        <v>428</v>
      </c>
      <c r="L465" s="34" t="s">
        <v>453</v>
      </c>
      <c r="M465" s="34" t="s">
        <v>494</v>
      </c>
      <c r="N465" s="34" t="str">
        <f t="shared" si="52"/>
        <v>Legal | Social media regulation</v>
      </c>
      <c r="O465" s="109" t="s">
        <v>2771</v>
      </c>
      <c r="P465" s="38" t="s">
        <v>2772</v>
      </c>
      <c r="R465" s="38"/>
      <c r="T465">
        <v>2</v>
      </c>
      <c r="U465">
        <v>2</v>
      </c>
      <c r="X465" s="106">
        <f t="shared" si="50"/>
        <v>2</v>
      </c>
      <c r="Y465" s="34"/>
      <c r="Z465" s="34"/>
    </row>
    <row r="466" spans="1:26">
      <c r="A466" s="41">
        <f t="shared" si="48"/>
        <v>463</v>
      </c>
      <c r="B466" s="35" t="s">
        <v>2773</v>
      </c>
      <c r="C466" s="35" t="str">
        <f t="shared" si="49"/>
        <v>iPhone loyalty tại Mỹ đạt kỷ lục – Hệ sinh thái iOS ngày càng khó thoát ra</v>
      </c>
      <c r="D466" t="s">
        <v>1927</v>
      </c>
      <c r="E466" s="105" t="str">
        <f>VLOOKUP(X466,'Updating-Scoring'!$C$2:$D$7,2,TRUE)</f>
        <v>2 - Minor signal</v>
      </c>
      <c r="F466">
        <f t="shared" si="51"/>
        <v>18</v>
      </c>
      <c r="G466" s="34">
        <v>46145</v>
      </c>
      <c r="H466" t="s">
        <v>2774</v>
      </c>
      <c r="I466" s="34">
        <v>46132</v>
      </c>
      <c r="J466" t="s">
        <v>284</v>
      </c>
      <c r="K466" s="34" t="s">
        <v>428</v>
      </c>
      <c r="L466" s="34" t="s">
        <v>449</v>
      </c>
      <c r="M466" s="34" t="s">
        <v>479</v>
      </c>
      <c r="N466" s="34" t="str">
        <f t="shared" si="52"/>
        <v>Social | Digital adoption</v>
      </c>
      <c r="O466" s="109" t="s">
        <v>2775</v>
      </c>
      <c r="P466" s="38" t="s">
        <v>2776</v>
      </c>
      <c r="R466" s="38"/>
      <c r="T466">
        <v>2</v>
      </c>
      <c r="U466">
        <v>2</v>
      </c>
      <c r="X466" s="106">
        <f t="shared" si="50"/>
        <v>2</v>
      </c>
      <c r="Y466" s="34"/>
      <c r="Z466" s="34"/>
    </row>
    <row r="467" spans="1:26">
      <c r="A467" s="41">
        <f t="shared" si="48"/>
        <v>464</v>
      </c>
      <c r="B467" s="35" t="s">
        <v>2777</v>
      </c>
      <c r="C467" s="35" t="str">
        <f t="shared" si="49"/>
        <v>Instagram thử nghiệm Instants app – Ảnh biến mất, nhắm vào Snapchat</v>
      </c>
      <c r="D467" t="s">
        <v>1012</v>
      </c>
      <c r="E467" s="105" t="str">
        <f>VLOOKUP(X467,'Updating-Scoring'!$C$2:$D$7,2,TRUE)</f>
        <v>2 - Minor signal</v>
      </c>
      <c r="F467">
        <f t="shared" si="51"/>
        <v>18</v>
      </c>
      <c r="G467" s="34">
        <v>46145</v>
      </c>
      <c r="H467" t="s">
        <v>2778</v>
      </c>
      <c r="I467" s="34">
        <v>46135</v>
      </c>
      <c r="J467" t="s">
        <v>284</v>
      </c>
      <c r="K467" s="34" t="s">
        <v>428</v>
      </c>
      <c r="L467" s="34" t="s">
        <v>451</v>
      </c>
      <c r="M467" s="34" t="s">
        <v>483</v>
      </c>
      <c r="N467" s="34" t="str">
        <f t="shared" si="52"/>
        <v>Technology | AI/ Gen AI</v>
      </c>
      <c r="O467" s="109" t="s">
        <v>2779</v>
      </c>
      <c r="P467" s="38" t="s">
        <v>2780</v>
      </c>
      <c r="R467" s="38"/>
      <c r="T467">
        <v>2</v>
      </c>
      <c r="U467">
        <v>2</v>
      </c>
      <c r="X467" s="106">
        <f t="shared" si="50"/>
        <v>2</v>
      </c>
      <c r="Y467" s="34"/>
      <c r="Z467" s="34"/>
    </row>
    <row r="468" spans="1:26">
      <c r="A468" s="41">
        <f t="shared" si="48"/>
        <v>465</v>
      </c>
      <c r="B468" s="35" t="s">
        <v>2781</v>
      </c>
      <c r="C468" s="35" t="str">
        <f t="shared" si="49"/>
        <v>Snap Maps thêm loyalty badge địa điểm – Local discovery tích hợp gamification</v>
      </c>
      <c r="D468" t="s">
        <v>1012</v>
      </c>
      <c r="E468" s="105" t="str">
        <f>VLOOKUP(X468,'Updating-Scoring'!$C$2:$D$7,2,TRUE)</f>
        <v>2 - Minor signal</v>
      </c>
      <c r="F468">
        <f t="shared" si="51"/>
        <v>18</v>
      </c>
      <c r="G468" s="34">
        <v>46145</v>
      </c>
      <c r="H468" t="s">
        <v>2782</v>
      </c>
      <c r="I468" s="34">
        <v>46134</v>
      </c>
      <c r="J468" t="s">
        <v>284</v>
      </c>
      <c r="K468" s="34" t="s">
        <v>428</v>
      </c>
      <c r="L468" s="34" t="s">
        <v>451</v>
      </c>
      <c r="M468" s="34" t="s">
        <v>483</v>
      </c>
      <c r="N468" s="34" t="str">
        <f t="shared" si="52"/>
        <v>Technology | AI/ Gen AI</v>
      </c>
      <c r="O468" s="109" t="s">
        <v>2783</v>
      </c>
      <c r="P468" s="38" t="s">
        <v>2784</v>
      </c>
      <c r="R468" s="38"/>
      <c r="T468">
        <v>2</v>
      </c>
      <c r="U468">
        <v>2</v>
      </c>
      <c r="X468" s="106">
        <f t="shared" si="50"/>
        <v>2</v>
      </c>
      <c r="Y468" s="34"/>
      <c r="Z468" s="34"/>
    </row>
    <row r="469" spans="1:26">
      <c r="A469" s="41">
        <f t="shared" si="48"/>
        <v>466</v>
      </c>
      <c r="B469" s="35" t="s">
        <v>2785</v>
      </c>
      <c r="C469" s="35" t="str">
        <f t="shared" si="49"/>
        <v>Bond app social media AI memories – Niche app chống doomscrolling</v>
      </c>
      <c r="D469" t="s">
        <v>1012</v>
      </c>
      <c r="E469" s="105" t="str">
        <f>VLOOKUP(X469,'Updating-Scoring'!$C$2:$D$7,2,TRUE)</f>
        <v>2 - Minor signal</v>
      </c>
      <c r="F469">
        <f t="shared" si="51"/>
        <v>18</v>
      </c>
      <c r="G469" s="34">
        <v>46145</v>
      </c>
      <c r="H469" t="s">
        <v>2786</v>
      </c>
      <c r="I469" s="34">
        <v>46133</v>
      </c>
      <c r="J469" t="s">
        <v>284</v>
      </c>
      <c r="K469" s="34" t="s">
        <v>428</v>
      </c>
      <c r="L469" s="34" t="s">
        <v>451</v>
      </c>
      <c r="M469" s="34" t="s">
        <v>483</v>
      </c>
      <c r="N469" s="34" t="str">
        <f t="shared" si="52"/>
        <v>Technology | AI/ Gen AI</v>
      </c>
      <c r="O469" s="109" t="s">
        <v>2787</v>
      </c>
      <c r="P469" s="38" t="s">
        <v>2788</v>
      </c>
      <c r="R469" s="38"/>
      <c r="T469">
        <v>2</v>
      </c>
      <c r="U469">
        <v>2</v>
      </c>
      <c r="X469" s="106">
        <f t="shared" si="50"/>
        <v>2</v>
      </c>
      <c r="Y469" s="34"/>
      <c r="Z469" s="34"/>
    </row>
    <row r="470" spans="1:26">
      <c r="A470" s="41">
        <f t="shared" si="48"/>
        <v>467</v>
      </c>
      <c r="B470" s="35" t="s">
        <v>2789</v>
      </c>
      <c r="C470" s="35" t="str">
        <f t="shared" si="49"/>
        <v>Google Photos AI thử đồ ảo kiểu Clueless – AI fashion thử nghiệm trên Google Photos</v>
      </c>
      <c r="D470" t="s">
        <v>1012</v>
      </c>
      <c r="E470" s="105" t="str">
        <f>VLOOKUP(X470,'Updating-Scoring'!$C$2:$D$7,2,TRUE)</f>
        <v>2 - Minor signal</v>
      </c>
      <c r="F470">
        <f t="shared" si="51"/>
        <v>18</v>
      </c>
      <c r="G470" s="34">
        <v>46145</v>
      </c>
      <c r="H470" t="s">
        <v>2790</v>
      </c>
      <c r="I470" s="34">
        <v>46141</v>
      </c>
      <c r="J470" t="s">
        <v>284</v>
      </c>
      <c r="K470" s="34" t="s">
        <v>428</v>
      </c>
      <c r="L470" s="34" t="s">
        <v>451</v>
      </c>
      <c r="M470" s="34" t="s">
        <v>483</v>
      </c>
      <c r="N470" s="34" t="str">
        <f t="shared" si="52"/>
        <v>Technology | AI/ Gen AI</v>
      </c>
      <c r="O470" s="109" t="s">
        <v>2791</v>
      </c>
      <c r="P470" s="38" t="s">
        <v>2792</v>
      </c>
      <c r="R470" s="38"/>
      <c r="T470">
        <v>2</v>
      </c>
      <c r="U470">
        <v>2</v>
      </c>
      <c r="X470" s="106">
        <f t="shared" si="50"/>
        <v>2</v>
      </c>
      <c r="Y470" s="34"/>
      <c r="Z470" s="34"/>
    </row>
    <row r="471" spans="1:26">
      <c r="A471" s="41">
        <f t="shared" si="48"/>
        <v>468</v>
      </c>
      <c r="B471" s="35" t="s">
        <v>2793</v>
      </c>
      <c r="C471" s="35" t="str">
        <f t="shared" si="49"/>
        <v>Shapes app: AI tham gia group chat cùng người dùng – AI companion mới trong messaging</v>
      </c>
      <c r="D471" t="s">
        <v>1012</v>
      </c>
      <c r="E471" s="105" t="str">
        <f>VLOOKUP(X471,'Updating-Scoring'!$C$2:$D$7,2,TRUE)</f>
        <v>2 - Minor signal</v>
      </c>
      <c r="F471">
        <f t="shared" si="51"/>
        <v>18</v>
      </c>
      <c r="G471" s="34">
        <v>46145</v>
      </c>
      <c r="H471" t="s">
        <v>2794</v>
      </c>
      <c r="I471" s="34">
        <v>46141</v>
      </c>
      <c r="J471" t="s">
        <v>284</v>
      </c>
      <c r="K471" s="34" t="s">
        <v>428</v>
      </c>
      <c r="L471" s="34" t="s">
        <v>451</v>
      </c>
      <c r="M471" s="34" t="s">
        <v>483</v>
      </c>
      <c r="N471" s="34" t="str">
        <f t="shared" si="52"/>
        <v>Technology | AI/ Gen AI</v>
      </c>
      <c r="O471" s="109" t="s">
        <v>2795</v>
      </c>
      <c r="P471" s="38" t="s">
        <v>2796</v>
      </c>
      <c r="R471" s="38"/>
      <c r="T471">
        <v>2</v>
      </c>
      <c r="U471">
        <v>2</v>
      </c>
      <c r="X471" s="106">
        <f t="shared" si="50"/>
        <v>2</v>
      </c>
      <c r="Y471" s="34"/>
      <c r="Z471" s="34"/>
    </row>
    <row r="472" spans="1:26">
      <c r="A472" s="41">
        <f t="shared" si="48"/>
        <v>469</v>
      </c>
      <c r="B472" s="35" t="s">
        <v>2797</v>
      </c>
      <c r="C472" s="35" t="str">
        <f t="shared" si="49"/>
        <v>Lovable ra app vibe-coding trên iOS và Android – AI coding dành cho non-developers lan rộng</v>
      </c>
      <c r="D472" t="s">
        <v>1012</v>
      </c>
      <c r="E472" s="105" t="str">
        <f>VLOOKUP(X472,'Updating-Scoring'!$C$2:$D$7,2,TRUE)</f>
        <v>2 - Minor signal</v>
      </c>
      <c r="F472">
        <f t="shared" si="51"/>
        <v>18</v>
      </c>
      <c r="G472" s="34">
        <v>46145</v>
      </c>
      <c r="H472" t="s">
        <v>2798</v>
      </c>
      <c r="I472" s="34">
        <v>46140</v>
      </c>
      <c r="J472" t="s">
        <v>284</v>
      </c>
      <c r="K472" s="34" t="s">
        <v>428</v>
      </c>
      <c r="L472" s="34" t="s">
        <v>451</v>
      </c>
      <c r="M472" s="34" t="s">
        <v>483</v>
      </c>
      <c r="N472" s="34" t="str">
        <f t="shared" si="52"/>
        <v>Technology | AI/ Gen AI</v>
      </c>
      <c r="O472" s="109" t="s">
        <v>2799</v>
      </c>
      <c r="P472" s="38" t="s">
        <v>2800</v>
      </c>
      <c r="R472" s="38"/>
      <c r="T472">
        <v>2</v>
      </c>
      <c r="U472">
        <v>2</v>
      </c>
      <c r="X472" s="106">
        <f t="shared" si="50"/>
        <v>2</v>
      </c>
      <c r="Y472" s="34"/>
      <c r="Z472" s="34"/>
    </row>
    <row r="473" spans="1:26">
      <c r="A473" s="41">
        <f t="shared" si="48"/>
        <v>470</v>
      </c>
      <c r="B473" s="35" t="s">
        <v>2801</v>
      </c>
      <c r="C473" s="35" t="str">
        <f t="shared" si="49"/>
        <v>Hà Nội ra mắt cổng an toàn thực phẩm số – Kênh tra cứu và phản ánh cho người dân</v>
      </c>
      <c r="D473" t="s">
        <v>85</v>
      </c>
      <c r="E473" s="105" t="str">
        <f>VLOOKUP(X473,'Updating-Scoring'!$C$2:$D$7,2,TRUE)</f>
        <v>1 - Noise</v>
      </c>
      <c r="F473">
        <f t="shared" si="51"/>
        <v>18</v>
      </c>
      <c r="G473" s="34">
        <v>46145</v>
      </c>
      <c r="H473" t="s">
        <v>2802</v>
      </c>
      <c r="I473" s="34">
        <v>46130</v>
      </c>
      <c r="J473" t="s">
        <v>284</v>
      </c>
      <c r="K473" s="34" t="s">
        <v>431</v>
      </c>
      <c r="L473" s="34" t="s">
        <v>445</v>
      </c>
      <c r="M473" s="34" t="s">
        <v>471</v>
      </c>
      <c r="N473" s="34" t="str">
        <f t="shared" si="52"/>
        <v>Political | National digital strategy</v>
      </c>
      <c r="O473" s="109" t="s">
        <v>2803</v>
      </c>
      <c r="P473" s="38" t="s">
        <v>2804</v>
      </c>
      <c r="R473" s="38"/>
      <c r="T473">
        <v>2</v>
      </c>
      <c r="U473">
        <v>1</v>
      </c>
      <c r="X473" s="106">
        <f t="shared" si="50"/>
        <v>1.6</v>
      </c>
      <c r="Y473" s="34"/>
      <c r="Z473" s="34"/>
    </row>
    <row r="474" spans="1:26">
      <c r="A474" s="41">
        <f t="shared" si="48"/>
        <v>471</v>
      </c>
      <c r="B474" s="35" t="s">
        <v>2805</v>
      </c>
      <c r="C474" s="35" t="str">
        <f t="shared" si="49"/>
        <v>OpenAI cập nhật Agents SDK: chạy AI agent trong môi trường cách ly an toàn</v>
      </c>
      <c r="D474" t="s">
        <v>85</v>
      </c>
      <c r="E474" s="105" t="str">
        <f>VLOOKUP(X474,'Updating-Scoring'!$C$2:$D$7,2,TRUE)</f>
        <v>1 - Noise</v>
      </c>
      <c r="F474">
        <f t="shared" si="51"/>
        <v>18</v>
      </c>
      <c r="G474" s="34">
        <v>46145</v>
      </c>
      <c r="H474" t="s">
        <v>2806</v>
      </c>
      <c r="I474" s="34">
        <v>46128</v>
      </c>
      <c r="J474" t="s">
        <v>284</v>
      </c>
      <c r="K474" s="34" t="s">
        <v>428</v>
      </c>
      <c r="L474" s="34" t="s">
        <v>451</v>
      </c>
      <c r="M474" s="34" t="s">
        <v>483</v>
      </c>
      <c r="N474" s="34" t="str">
        <f t="shared" si="52"/>
        <v>Technology | AI/ Gen AI</v>
      </c>
      <c r="O474" s="109" t="s">
        <v>2807</v>
      </c>
      <c r="P474" s="38" t="s">
        <v>2808</v>
      </c>
      <c r="R474" s="38"/>
      <c r="T474">
        <v>1</v>
      </c>
      <c r="U474">
        <v>1</v>
      </c>
      <c r="X474" s="106">
        <f t="shared" si="50"/>
        <v>1</v>
      </c>
      <c r="Y474" s="34"/>
      <c r="Z474" s="34"/>
    </row>
    <row r="475" spans="1:26">
      <c r="A475" s="41">
        <f t="shared" si="48"/>
        <v>472</v>
      </c>
      <c r="B475" s="35" t="s">
        <v>2809</v>
      </c>
      <c r="C475" s="35" t="str">
        <f t="shared" si="49"/>
        <v>Shopee: Cập nhật phí cố định cho người bán Shopee Non-Mall hiệu lực từ 01/05</v>
      </c>
      <c r="D475" t="s">
        <v>2810</v>
      </c>
      <c r="E475" s="105" t="str">
        <f>VLOOKUP(X475,'Updating-Scoring'!$C$2:$D$7,2,TRUE)</f>
        <v>5 - Industry disruption</v>
      </c>
      <c r="F475">
        <f t="shared" si="51"/>
        <v>18</v>
      </c>
      <c r="G475" s="110">
        <v>46145</v>
      </c>
      <c r="H475" t="s">
        <v>2811</v>
      </c>
      <c r="I475" s="34">
        <v>46136</v>
      </c>
      <c r="J475" t="s">
        <v>170</v>
      </c>
      <c r="K475" s="34" t="s">
        <v>185</v>
      </c>
      <c r="L475" s="34" t="s">
        <v>410</v>
      </c>
      <c r="M475" s="34" t="s">
        <v>497</v>
      </c>
      <c r="N475" s="34" t="str">
        <f t="shared" si="52"/>
        <v>Product | Pricing change</v>
      </c>
      <c r="O475" s="34" t="s">
        <v>2812</v>
      </c>
      <c r="P475" s="109" t="s">
        <v>2813</v>
      </c>
      <c r="Q475" s="38">
        <v>46143</v>
      </c>
      <c r="R475" s="38"/>
      <c r="T475">
        <v>5</v>
      </c>
      <c r="U475">
        <v>4.7</v>
      </c>
      <c r="X475" s="106">
        <f t="shared" si="50"/>
        <v>4.88</v>
      </c>
      <c r="Y475" s="34" t="s">
        <v>228</v>
      </c>
    </row>
    <row r="476" spans="1:26">
      <c r="A476" s="41">
        <f t="shared" si="48"/>
        <v>473</v>
      </c>
      <c r="B476" s="35" t="s">
        <v>2814</v>
      </c>
      <c r="C476" s="35" t="str">
        <f t="shared" si="49"/>
        <v>ShopeeMall: Cập nhật phí cố định cho người bán Shopee Mall hiệu lực từ 08/05</v>
      </c>
      <c r="D476" t="s">
        <v>2810</v>
      </c>
      <c r="E476" s="105" t="str">
        <f>VLOOKUP(X476,'Updating-Scoring'!$C$2:$D$7,2,TRUE)</f>
        <v>5 - Industry disruption</v>
      </c>
      <c r="F476">
        <f t="shared" si="51"/>
        <v>18</v>
      </c>
      <c r="G476" s="110">
        <v>46145</v>
      </c>
      <c r="H476" t="s">
        <v>2815</v>
      </c>
      <c r="I476" s="34">
        <v>46136</v>
      </c>
      <c r="J476" t="s">
        <v>170</v>
      </c>
      <c r="K476" s="34" t="s">
        <v>185</v>
      </c>
      <c r="L476" s="34" t="s">
        <v>410</v>
      </c>
      <c r="M476" s="34" t="s">
        <v>497</v>
      </c>
      <c r="N476" s="34" t="str">
        <f t="shared" si="52"/>
        <v>Product | Pricing change</v>
      </c>
      <c r="O476" s="34" t="s">
        <v>2816</v>
      </c>
      <c r="P476" s="109" t="s">
        <v>2817</v>
      </c>
      <c r="Q476" s="38">
        <v>46150</v>
      </c>
      <c r="R476" s="38"/>
      <c r="T476">
        <v>5</v>
      </c>
      <c r="U476">
        <v>4.7</v>
      </c>
      <c r="X476" s="106">
        <f t="shared" si="50"/>
        <v>4.88</v>
      </c>
      <c r="Y476" s="34" t="s">
        <v>228</v>
      </c>
    </row>
    <row r="477" spans="1:26">
      <c r="A477" s="41">
        <f t="shared" si="48"/>
        <v>474</v>
      </c>
      <c r="B477" s="35" t="s">
        <v>2818</v>
      </c>
      <c r="C477" s="35" t="str">
        <f t="shared" si="49"/>
        <v>TiktokShop: Cập nhật xử lý giao dịch và phí cố định hiệu lực từ 09/05</v>
      </c>
      <c r="D477" t="s">
        <v>2819</v>
      </c>
      <c r="E477" s="105" t="str">
        <f>VLOOKUP(X477,'Updating-Scoring'!$C$2:$D$7,2,TRUE)</f>
        <v>5 - Industry disruption</v>
      </c>
      <c r="F477">
        <f t="shared" si="51"/>
        <v>18</v>
      </c>
      <c r="G477" s="110">
        <v>46145</v>
      </c>
      <c r="H477" t="s">
        <v>2820</v>
      </c>
      <c r="I477" s="34">
        <v>46141</v>
      </c>
      <c r="J477" t="s">
        <v>170</v>
      </c>
      <c r="K477" s="34" t="s">
        <v>187</v>
      </c>
      <c r="L477" s="34" t="s">
        <v>410</v>
      </c>
      <c r="M477" s="34" t="s">
        <v>497</v>
      </c>
      <c r="N477" s="34" t="str">
        <f t="shared" si="52"/>
        <v>Product | Pricing change</v>
      </c>
      <c r="O477" s="34" t="s">
        <v>2821</v>
      </c>
      <c r="P477" s="109" t="s">
        <v>2822</v>
      </c>
      <c r="Q477" s="38">
        <v>46151</v>
      </c>
      <c r="R477" s="38"/>
      <c r="T477">
        <v>5</v>
      </c>
      <c r="U477">
        <v>4.7</v>
      </c>
      <c r="X477" s="106">
        <f t="shared" si="50"/>
        <v>4.88</v>
      </c>
      <c r="Y477" s="34" t="s">
        <v>228</v>
      </c>
    </row>
    <row r="478" spans="1:26">
      <c r="A478" s="41">
        <f t="shared" si="48"/>
        <v>475</v>
      </c>
      <c r="B478" s="35" t="s">
        <v>2823</v>
      </c>
      <c r="C478" s="35" t="str">
        <f t="shared" si="49"/>
        <v>Grab: Cập nhật Phí nền tảng và Phí Dịch vụ hiệu lực từ 28/04</v>
      </c>
      <c r="D478" t="s">
        <v>1326</v>
      </c>
      <c r="E478" s="105" t="str">
        <f>VLOOKUP(X478,'Updating-Scoring'!$C$2:$D$7,2,TRUE)</f>
        <v>5 - Industry disruption</v>
      </c>
      <c r="F478">
        <f t="shared" si="51"/>
        <v>18</v>
      </c>
      <c r="G478" s="110">
        <v>46145</v>
      </c>
      <c r="H478" t="s">
        <v>2824</v>
      </c>
      <c r="I478" s="110">
        <v>46135</v>
      </c>
      <c r="J478" t="s">
        <v>170</v>
      </c>
      <c r="K478" s="34" t="s">
        <v>438</v>
      </c>
      <c r="L478" s="34" t="s">
        <v>410</v>
      </c>
      <c r="M478" s="34" t="s">
        <v>497</v>
      </c>
      <c r="N478" s="34" t="str">
        <f t="shared" si="52"/>
        <v>Product | Pricing change</v>
      </c>
      <c r="O478" s="34" t="s">
        <v>2825</v>
      </c>
      <c r="P478" s="109" t="s">
        <v>2826</v>
      </c>
      <c r="Q478" s="38">
        <v>46140</v>
      </c>
      <c r="R478" s="38"/>
      <c r="T478">
        <v>5</v>
      </c>
      <c r="U478">
        <v>4.7</v>
      </c>
      <c r="X478" s="106">
        <f t="shared" si="50"/>
        <v>4.88</v>
      </c>
      <c r="Y478" s="34" t="s">
        <v>2362</v>
      </c>
    </row>
    <row r="479" spans="1:26">
      <c r="A479" s="41">
        <f t="shared" si="48"/>
        <v>476</v>
      </c>
      <c r="B479" s="35" t="s">
        <v>2827</v>
      </c>
      <c r="C479" s="35" t="str">
        <f t="shared" si="49"/>
        <v>Shopee: Cập nhật phí xử lý giao dịch hiệu lực từ 01/05</v>
      </c>
      <c r="D479" t="s">
        <v>2810</v>
      </c>
      <c r="E479" s="105" t="str">
        <f>VLOOKUP(X479,'Updating-Scoring'!$C$2:$D$7,2,TRUE)</f>
        <v>5 - Industry disruption</v>
      </c>
      <c r="F479">
        <f t="shared" si="51"/>
        <v>18</v>
      </c>
      <c r="G479" s="110">
        <v>46145</v>
      </c>
      <c r="H479" t="s">
        <v>2828</v>
      </c>
      <c r="I479" s="34">
        <v>46136</v>
      </c>
      <c r="J479" t="s">
        <v>170</v>
      </c>
      <c r="K479" s="34" t="s">
        <v>185</v>
      </c>
      <c r="L479" s="34" t="s">
        <v>410</v>
      </c>
      <c r="M479" s="34" t="s">
        <v>497</v>
      </c>
      <c r="N479" s="34" t="str">
        <f t="shared" si="52"/>
        <v>Product | Pricing change</v>
      </c>
      <c r="O479" s="34" t="s">
        <v>2829</v>
      </c>
      <c r="P479" s="109" t="s">
        <v>2830</v>
      </c>
      <c r="Q479" s="38">
        <v>46143</v>
      </c>
      <c r="R479" s="38"/>
      <c r="T479">
        <v>5</v>
      </c>
      <c r="U479">
        <v>4.5</v>
      </c>
      <c r="X479" s="106">
        <f t="shared" si="50"/>
        <v>4.8</v>
      </c>
      <c r="Y479" s="34" t="s">
        <v>228</v>
      </c>
    </row>
    <row r="480" spans="1:26">
      <c r="A480" s="41">
        <f t="shared" si="48"/>
        <v>477</v>
      </c>
      <c r="B480" s="35" t="s">
        <v>2831</v>
      </c>
      <c r="C480" s="35" t="str">
        <f t="shared" si="49"/>
        <v>Chứng chỉ Quỹ: MoMo dừng Chứng Chỉ Quỹ cũ từ 01/07/2026 – Ra mắt mô hình Chứng Chỉ Quỹ CVS</v>
      </c>
      <c r="D480" t="s">
        <v>610</v>
      </c>
      <c r="E480" s="105" t="str">
        <f>VLOOKUP(X480,'Updating-Scoring'!$C$2:$D$7,2,TRUE)</f>
        <v>4 - Strategic shift</v>
      </c>
      <c r="F480">
        <f t="shared" si="51"/>
        <v>18</v>
      </c>
      <c r="G480" s="110">
        <v>46145</v>
      </c>
      <c r="H480" t="s">
        <v>2832</v>
      </c>
      <c r="I480" s="110">
        <v>46141</v>
      </c>
      <c r="J480" t="s">
        <v>170</v>
      </c>
      <c r="K480" s="34" t="s">
        <v>432</v>
      </c>
      <c r="L480" s="34" t="s">
        <v>410</v>
      </c>
      <c r="M480" s="34" t="s">
        <v>499</v>
      </c>
      <c r="N480" s="34" t="str">
        <f t="shared" si="52"/>
        <v>Product | Off product</v>
      </c>
      <c r="O480" s="34" t="s">
        <v>2833</v>
      </c>
      <c r="P480" s="34" t="s">
        <v>2834</v>
      </c>
      <c r="Q480" s="38">
        <v>46204</v>
      </c>
      <c r="R480" s="109"/>
      <c r="S480" s="38" t="s">
        <v>2835</v>
      </c>
      <c r="T480">
        <v>4</v>
      </c>
      <c r="U480">
        <v>4</v>
      </c>
      <c r="X480" s="106">
        <f t="shared" si="50"/>
        <v>4</v>
      </c>
      <c r="Y480" s="34" t="s">
        <v>2371</v>
      </c>
    </row>
    <row r="481" spans="1:26">
      <c r="A481" s="41">
        <f t="shared" si="48"/>
        <v>478</v>
      </c>
      <c r="B481" s="35" t="s">
        <v>2836</v>
      </c>
      <c r="C481" s="35" t="str">
        <f t="shared" si="49"/>
        <v>MoMo Ví Trả Sau: Ra mắt Gói Thành Viên</v>
      </c>
      <c r="D481" t="s">
        <v>610</v>
      </c>
      <c r="E481" s="105" t="str">
        <f>VLOOKUP(X481,'Updating-Scoring'!$C$2:$D$7,2,TRUE)</f>
        <v>5 - Industry disruption</v>
      </c>
      <c r="F481">
        <f t="shared" si="51"/>
        <v>18</v>
      </c>
      <c r="G481" s="110">
        <v>46145</v>
      </c>
      <c r="H481" t="s">
        <v>2837</v>
      </c>
      <c r="I481" s="110">
        <v>46134</v>
      </c>
      <c r="J481" t="s">
        <v>170</v>
      </c>
      <c r="K481" s="34" t="s">
        <v>432</v>
      </c>
      <c r="L481" s="34" t="s">
        <v>410</v>
      </c>
      <c r="M481" s="34" t="s">
        <v>495</v>
      </c>
      <c r="N481" s="34" t="str">
        <f t="shared" si="52"/>
        <v>Product | Product launch</v>
      </c>
      <c r="O481" s="34" t="s">
        <v>2838</v>
      </c>
      <c r="P481" s="34" t="s">
        <v>2839</v>
      </c>
      <c r="Q481" s="38">
        <v>46147</v>
      </c>
      <c r="R481" s="109"/>
      <c r="S481" s="38" t="s">
        <v>2840</v>
      </c>
      <c r="T481">
        <v>5</v>
      </c>
      <c r="U481">
        <v>4</v>
      </c>
      <c r="X481" s="106">
        <f t="shared" si="50"/>
        <v>4.5999999999999996</v>
      </c>
      <c r="Y481" s="34" t="s">
        <v>2371</v>
      </c>
    </row>
    <row r="482" spans="1:26">
      <c r="A482" s="41">
        <f t="shared" si="48"/>
        <v>479</v>
      </c>
      <c r="B482" s="35" t="s">
        <v>2841</v>
      </c>
      <c r="C482" s="35" t="str">
        <f t="shared" si="49"/>
        <v>MoMo × ePass: Tự động sử dùng tiền trong MoMo thanh toán khi qua trạm ETC</v>
      </c>
      <c r="D482" t="s">
        <v>610</v>
      </c>
      <c r="E482" s="105" t="str">
        <f>VLOOKUP(X482,'Updating-Scoring'!$C$2:$D$7,2,TRUE)</f>
        <v>4 - Strategic shift</v>
      </c>
      <c r="F482">
        <f t="shared" si="51"/>
        <v>18</v>
      </c>
      <c r="G482" s="110">
        <v>46145</v>
      </c>
      <c r="H482" t="s">
        <v>2842</v>
      </c>
      <c r="I482" s="110">
        <v>46135</v>
      </c>
      <c r="J482" t="s">
        <v>170</v>
      </c>
      <c r="K482" s="34" t="s">
        <v>432</v>
      </c>
      <c r="L482" s="34" t="s">
        <v>410</v>
      </c>
      <c r="M482" s="34" t="s">
        <v>495</v>
      </c>
      <c r="N482" s="34" t="str">
        <f t="shared" si="52"/>
        <v>Product | Product launch</v>
      </c>
      <c r="O482" s="34" t="s">
        <v>2843</v>
      </c>
      <c r="P482" s="34" t="s">
        <v>2844</v>
      </c>
      <c r="Q482" s="38">
        <v>46135</v>
      </c>
      <c r="R482" s="109"/>
      <c r="S482" s="38" t="s">
        <v>2845</v>
      </c>
      <c r="T482">
        <v>4</v>
      </c>
      <c r="U482">
        <v>4</v>
      </c>
      <c r="X482" s="106">
        <f t="shared" si="50"/>
        <v>4</v>
      </c>
      <c r="Y482" s="34" t="s">
        <v>2371</v>
      </c>
    </row>
    <row r="483" spans="1:26">
      <c r="A483" s="41"/>
      <c r="B483" s="35"/>
      <c r="C483" s="35"/>
      <c r="E483" s="105"/>
      <c r="K483" s="34"/>
      <c r="L483" s="34"/>
      <c r="M483" s="34"/>
      <c r="N483" s="34"/>
      <c r="P483" s="109"/>
      <c r="Q483" s="38"/>
      <c r="R483" s="38"/>
      <c r="X483" s="106"/>
      <c r="Y483" s="34"/>
      <c r="Z483" s="34"/>
    </row>
    <row r="484" spans="1:26">
      <c r="A484" s="41"/>
      <c r="B484" s="35"/>
      <c r="C484" s="35"/>
      <c r="E484" s="105"/>
      <c r="K484" s="34"/>
      <c r="L484" s="34"/>
      <c r="M484" s="34"/>
      <c r="N484" s="34"/>
      <c r="P484" s="109"/>
      <c r="Q484" s="38"/>
      <c r="R484" s="38"/>
      <c r="X484" s="106"/>
      <c r="Y484" s="34"/>
      <c r="Z484" s="34"/>
    </row>
    <row r="485" spans="1:26">
      <c r="A485" s="41"/>
      <c r="B485" s="35"/>
      <c r="C485" s="35"/>
      <c r="E485" s="105"/>
      <c r="K485" s="34"/>
      <c r="L485" s="34"/>
      <c r="M485" s="34"/>
      <c r="N485" s="34"/>
      <c r="P485" s="109"/>
      <c r="Q485" s="38"/>
      <c r="R485" s="38"/>
      <c r="X485" s="106"/>
      <c r="Y485" s="34"/>
      <c r="Z485" s="34"/>
    </row>
    <row r="486" spans="1:26">
      <c r="A486" s="41"/>
      <c r="B486" s="35"/>
      <c r="C486" s="35"/>
      <c r="E486" s="105"/>
      <c r="K486" s="34"/>
      <c r="L486" s="34"/>
      <c r="M486" s="34"/>
      <c r="N486" s="34"/>
      <c r="P486" s="109"/>
      <c r="Q486" s="38"/>
      <c r="R486" s="38"/>
      <c r="X486" s="106"/>
      <c r="Y486" s="34"/>
      <c r="Z486" s="34"/>
    </row>
    <row r="487" spans="1:26">
      <c r="A487" s="41"/>
      <c r="B487" s="35"/>
      <c r="C487" s="35"/>
      <c r="E487" s="105"/>
      <c r="K487" s="34"/>
      <c r="L487" s="34"/>
      <c r="M487" s="34"/>
      <c r="N487" s="34"/>
      <c r="P487" s="109"/>
      <c r="Q487" s="38"/>
      <c r="R487" s="38"/>
      <c r="X487" s="106"/>
      <c r="Y487" s="34"/>
      <c r="Z487" s="34"/>
    </row>
    <row r="488" spans="1:26">
      <c r="A488" s="41"/>
      <c r="B488" s="35"/>
      <c r="C488" s="35"/>
      <c r="E488" s="105"/>
      <c r="K488" s="34"/>
      <c r="L488" s="34"/>
      <c r="M488" s="34"/>
      <c r="N488" s="34"/>
      <c r="P488" s="109"/>
      <c r="Q488" s="38"/>
      <c r="R488" s="38"/>
      <c r="X488" s="106"/>
      <c r="Y488" s="34"/>
      <c r="Z488" s="34"/>
    </row>
    <row r="489" spans="1:26">
      <c r="A489" s="41"/>
      <c r="B489" s="35"/>
      <c r="C489" s="35"/>
      <c r="E489" s="105"/>
      <c r="K489" s="34"/>
      <c r="L489" s="34"/>
      <c r="M489" s="34"/>
      <c r="N489" s="34"/>
      <c r="P489" s="109"/>
      <c r="Q489" s="38"/>
      <c r="R489" s="38"/>
      <c r="X489" s="106"/>
      <c r="Y489" s="34"/>
      <c r="Z489" s="34"/>
    </row>
    <row r="490" spans="1:26">
      <c r="A490" s="41"/>
      <c r="B490" s="35"/>
      <c r="C490" s="35"/>
      <c r="E490" s="105"/>
      <c r="K490" s="34"/>
      <c r="L490" s="34"/>
      <c r="M490" s="34"/>
      <c r="N490" s="34"/>
      <c r="P490" s="109"/>
      <c r="Q490" s="38"/>
      <c r="R490" s="38"/>
      <c r="X490" s="106"/>
      <c r="Y490" s="34"/>
      <c r="Z490" s="34"/>
    </row>
    <row r="491" spans="1:26">
      <c r="A491" s="41"/>
      <c r="B491" s="35"/>
      <c r="C491" s="35"/>
      <c r="E491" s="105"/>
      <c r="K491" s="34"/>
      <c r="L491" s="34"/>
      <c r="M491" s="34"/>
      <c r="N491" s="34"/>
      <c r="P491" s="109"/>
      <c r="Q491" s="38"/>
      <c r="R491" s="38"/>
      <c r="X491" s="106"/>
      <c r="Y491" s="34"/>
      <c r="Z491" s="34"/>
    </row>
    <row r="492" spans="1:26">
      <c r="A492" s="41"/>
      <c r="B492" s="35"/>
      <c r="C492" s="35"/>
      <c r="E492" s="105"/>
      <c r="K492" s="34"/>
      <c r="L492" s="34"/>
      <c r="M492" s="34"/>
      <c r="N492" s="34"/>
      <c r="P492" s="109"/>
      <c r="Q492" s="38"/>
      <c r="R492" s="38"/>
      <c r="X492" s="106"/>
      <c r="Y492" s="34"/>
      <c r="Z492" s="34"/>
    </row>
    <row r="493" spans="1:26">
      <c r="A493" s="41"/>
      <c r="B493" s="35"/>
      <c r="C493" s="35"/>
      <c r="E493" s="105"/>
      <c r="K493" s="34"/>
      <c r="L493" s="34"/>
      <c r="M493" s="34"/>
      <c r="N493" s="34"/>
      <c r="P493" s="109"/>
      <c r="Q493" s="38"/>
      <c r="R493" s="38"/>
      <c r="X493" s="106"/>
      <c r="Y493" s="34"/>
      <c r="Z493" s="34"/>
    </row>
    <row r="494" spans="1:26">
      <c r="A494" s="41"/>
      <c r="B494" s="35"/>
      <c r="C494" s="35"/>
      <c r="E494" s="105"/>
      <c r="K494" s="34"/>
      <c r="L494" s="34"/>
      <c r="M494" s="34"/>
      <c r="N494" s="34"/>
      <c r="P494" s="109"/>
      <c r="Q494" s="38"/>
      <c r="R494" s="38"/>
      <c r="X494" s="106"/>
      <c r="Y494" s="34"/>
      <c r="Z494" s="34"/>
    </row>
    <row r="495" spans="1:26">
      <c r="A495" s="41"/>
      <c r="B495" s="35"/>
      <c r="C495" s="35"/>
      <c r="E495" s="105"/>
      <c r="K495" s="34"/>
      <c r="L495" s="34"/>
      <c r="M495" s="34"/>
      <c r="N495" s="34"/>
      <c r="P495" s="109"/>
      <c r="Q495" s="38"/>
      <c r="R495" s="38"/>
      <c r="X495" s="106"/>
      <c r="Y495" s="34"/>
      <c r="Z495" s="34"/>
    </row>
    <row r="496" spans="1:26">
      <c r="A496" s="41"/>
      <c r="B496" s="35"/>
      <c r="C496" s="35"/>
      <c r="E496" s="105"/>
      <c r="K496" s="34"/>
      <c r="L496" s="34"/>
      <c r="M496" s="34"/>
      <c r="N496" s="34"/>
      <c r="P496" s="109"/>
      <c r="Q496" s="38"/>
      <c r="R496" s="38"/>
      <c r="X496" s="106"/>
      <c r="Y496" s="34"/>
      <c r="Z496" s="34"/>
    </row>
    <row r="497" spans="1:26">
      <c r="A497" s="41"/>
      <c r="B497" s="35"/>
      <c r="C497" s="35"/>
      <c r="E497" s="105"/>
      <c r="K497" s="34"/>
      <c r="L497" s="34"/>
      <c r="M497" s="34"/>
      <c r="N497" s="34"/>
      <c r="P497" s="109"/>
      <c r="Q497" s="38"/>
      <c r="R497" s="38"/>
      <c r="X497" s="106"/>
      <c r="Y497" s="34"/>
      <c r="Z497" s="34"/>
    </row>
    <row r="498" spans="1:26">
      <c r="A498" s="41"/>
      <c r="B498" s="35"/>
      <c r="C498" s="35"/>
      <c r="E498" s="105"/>
      <c r="K498" s="34"/>
      <c r="L498" s="34"/>
      <c r="M498" s="34"/>
      <c r="N498" s="34"/>
      <c r="P498" s="109"/>
      <c r="Q498" s="38"/>
      <c r="R498" s="38"/>
      <c r="X498" s="106"/>
      <c r="Y498" s="34"/>
      <c r="Z498" s="34"/>
    </row>
    <row r="499" spans="1:26">
      <c r="A499" s="41"/>
      <c r="B499" s="35"/>
      <c r="C499" s="35"/>
      <c r="E499" s="105"/>
      <c r="K499" s="34"/>
      <c r="L499" s="34"/>
      <c r="M499" s="34"/>
      <c r="N499" s="34"/>
      <c r="P499" s="109"/>
      <c r="Q499" s="38"/>
      <c r="R499" s="38"/>
      <c r="X499" s="106"/>
      <c r="Y499" s="34"/>
      <c r="Z499" s="34"/>
    </row>
    <row r="500" spans="1:26">
      <c r="A500" s="41"/>
      <c r="B500" s="35"/>
      <c r="C500" s="35"/>
      <c r="E500" s="105"/>
      <c r="K500" s="34"/>
      <c r="L500" s="34"/>
      <c r="M500" s="34"/>
      <c r="N500" s="34"/>
      <c r="P500" s="109"/>
      <c r="Q500" s="38"/>
      <c r="R500" s="38"/>
      <c r="X500" s="106"/>
      <c r="Y500" s="34"/>
      <c r="Z500" s="34"/>
    </row>
    <row r="501" spans="1:26">
      <c r="A501" s="41"/>
      <c r="B501" s="35"/>
      <c r="C501" s="35"/>
      <c r="E501" s="105"/>
      <c r="K501" s="34"/>
      <c r="L501" s="34"/>
      <c r="M501" s="34"/>
      <c r="N501" s="34"/>
      <c r="P501" s="109"/>
      <c r="Q501" s="38"/>
      <c r="R501" s="38"/>
      <c r="X501" s="106"/>
      <c r="Y501" s="34"/>
      <c r="Z501" s="34"/>
    </row>
    <row r="502" spans="1:26">
      <c r="A502" s="41"/>
      <c r="B502" s="35"/>
      <c r="C502" s="35"/>
      <c r="E502" s="105"/>
      <c r="K502" s="34"/>
      <c r="L502" s="34"/>
      <c r="M502" s="34"/>
      <c r="N502" s="34"/>
      <c r="P502" s="109"/>
      <c r="Q502" s="38"/>
      <c r="R502" s="38"/>
      <c r="X502" s="106"/>
      <c r="Y502" s="34"/>
      <c r="Z502" s="34"/>
    </row>
    <row r="503" spans="1:26">
      <c r="A503" s="41"/>
      <c r="B503" s="35"/>
      <c r="C503" s="35"/>
      <c r="E503" s="105"/>
      <c r="K503" s="34"/>
      <c r="L503" s="34"/>
      <c r="M503" s="34"/>
      <c r="N503" s="34"/>
      <c r="P503" s="109"/>
      <c r="Q503" s="38"/>
      <c r="R503" s="38"/>
      <c r="X503" s="106"/>
      <c r="Y503" s="34"/>
      <c r="Z503" s="34"/>
    </row>
    <row r="504" spans="1:26">
      <c r="A504" s="41"/>
      <c r="B504" s="35"/>
      <c r="C504" s="35"/>
      <c r="E504" s="105"/>
      <c r="K504" s="34"/>
      <c r="L504" s="34"/>
      <c r="M504" s="34"/>
      <c r="N504" s="34"/>
      <c r="P504" s="109"/>
      <c r="Q504" s="38"/>
      <c r="R504" s="38"/>
      <c r="X504" s="106"/>
      <c r="Y504" s="34"/>
      <c r="Z504" s="34"/>
    </row>
    <row r="505" spans="1:26">
      <c r="A505" s="41"/>
      <c r="B505" s="35"/>
      <c r="C505" s="35"/>
      <c r="E505" s="105"/>
      <c r="K505" s="34"/>
      <c r="L505" s="34"/>
      <c r="M505" s="34"/>
      <c r="N505" s="34"/>
      <c r="P505" s="109"/>
      <c r="Q505" s="38"/>
      <c r="R505" s="38"/>
      <c r="X505" s="106"/>
      <c r="Y505" s="34"/>
      <c r="Z505" s="34"/>
    </row>
    <row r="506" spans="1:26">
      <c r="A506" s="41"/>
      <c r="B506" s="35"/>
      <c r="C506" s="35"/>
      <c r="E506" s="105"/>
      <c r="K506" s="34"/>
      <c r="L506" s="34"/>
      <c r="M506" s="34"/>
      <c r="N506" s="34"/>
      <c r="P506" s="109"/>
      <c r="Q506" s="38"/>
      <c r="R506" s="38"/>
      <c r="X506" s="106"/>
      <c r="Y506" s="34"/>
      <c r="Z506" s="34"/>
    </row>
    <row r="507" spans="1:26">
      <c r="A507" s="41"/>
      <c r="B507" s="35"/>
      <c r="C507" s="35"/>
      <c r="E507" s="105"/>
      <c r="K507" s="34"/>
      <c r="L507" s="34"/>
      <c r="M507" s="34"/>
      <c r="N507" s="34"/>
      <c r="P507" s="109"/>
      <c r="Q507" s="38"/>
      <c r="R507" s="38"/>
      <c r="X507" s="106"/>
      <c r="Y507" s="34"/>
      <c r="Z507" s="34"/>
    </row>
    <row r="508" spans="1:26">
      <c r="A508" s="41"/>
      <c r="B508" s="35"/>
      <c r="C508" s="35"/>
      <c r="E508" s="105"/>
      <c r="K508" s="34"/>
      <c r="L508" s="34"/>
      <c r="M508" s="34"/>
      <c r="N508" s="34"/>
      <c r="P508" s="109"/>
      <c r="Q508" s="38"/>
      <c r="R508" s="38"/>
      <c r="X508" s="106"/>
      <c r="Y508" s="34"/>
      <c r="Z508" s="34"/>
    </row>
    <row r="509" spans="1:26">
      <c r="A509" s="41"/>
      <c r="B509" s="35"/>
      <c r="C509" s="35"/>
      <c r="E509" s="105"/>
      <c r="K509" s="34"/>
      <c r="L509" s="34"/>
      <c r="M509" s="34"/>
      <c r="N509" s="34"/>
      <c r="P509" s="109"/>
      <c r="Q509" s="38"/>
      <c r="R509" s="38"/>
      <c r="X509" s="106"/>
      <c r="Y509" s="34"/>
      <c r="Z509" s="34"/>
    </row>
    <row r="510" spans="1:26">
      <c r="A510" s="41"/>
      <c r="B510" s="35"/>
      <c r="C510" s="35"/>
      <c r="E510" s="105"/>
      <c r="K510" s="34"/>
      <c r="L510" s="34"/>
      <c r="M510" s="34"/>
      <c r="N510" s="34"/>
      <c r="P510" s="109"/>
      <c r="Q510" s="38"/>
      <c r="R510" s="38"/>
      <c r="X510" s="106"/>
      <c r="Y510" s="34"/>
      <c r="Z510" s="34"/>
    </row>
    <row r="511" spans="1:26">
      <c r="A511" s="41"/>
      <c r="B511" s="35"/>
      <c r="C511" s="35"/>
      <c r="E511" s="105"/>
      <c r="K511" s="34"/>
      <c r="L511" s="34"/>
      <c r="M511" s="34"/>
      <c r="N511" s="34"/>
      <c r="P511" s="109"/>
      <c r="Q511" s="38"/>
      <c r="R511" s="38"/>
      <c r="X511" s="106"/>
      <c r="Y511" s="34"/>
      <c r="Z511" s="34"/>
    </row>
    <row r="512" spans="1:26">
      <c r="A512" s="41"/>
      <c r="B512" s="35"/>
      <c r="C512" s="35"/>
      <c r="E512" s="105"/>
      <c r="K512" s="34"/>
      <c r="L512" s="34"/>
      <c r="M512" s="34"/>
      <c r="N512" s="34"/>
      <c r="P512" s="109"/>
      <c r="Q512" s="38"/>
      <c r="R512" s="38"/>
      <c r="X512" s="106"/>
      <c r="Y512" s="34"/>
      <c r="Z512" s="34"/>
    </row>
    <row r="513" spans="1:26">
      <c r="A513" s="41"/>
      <c r="B513" s="35"/>
      <c r="C513" s="35"/>
      <c r="E513" s="105"/>
      <c r="K513" s="34"/>
      <c r="L513" s="34"/>
      <c r="M513" s="34"/>
      <c r="N513" s="34"/>
      <c r="P513" s="109"/>
      <c r="Q513" s="38"/>
      <c r="R513" s="38"/>
      <c r="X513" s="106"/>
      <c r="Y513" s="34"/>
      <c r="Z513" s="34"/>
    </row>
    <row r="514" spans="1:26">
      <c r="A514" s="41"/>
      <c r="B514" s="35"/>
      <c r="C514" s="35"/>
      <c r="E514" s="105"/>
      <c r="K514" s="34"/>
      <c r="L514" s="34"/>
      <c r="M514" s="34"/>
      <c r="N514" s="34"/>
      <c r="P514" s="109"/>
      <c r="Q514" s="38"/>
      <c r="R514" s="38"/>
      <c r="X514" s="106"/>
      <c r="Y514" s="34"/>
      <c r="Z514" s="34"/>
    </row>
    <row r="515" spans="1:26">
      <c r="A515" s="41"/>
      <c r="B515" s="35"/>
      <c r="C515" s="35"/>
      <c r="E515" s="105"/>
      <c r="K515" s="34"/>
      <c r="L515" s="34"/>
      <c r="M515" s="34"/>
      <c r="N515" s="34"/>
      <c r="P515" s="109"/>
      <c r="Q515" s="38"/>
      <c r="R515" s="38"/>
      <c r="X515" s="106"/>
      <c r="Y515" s="34"/>
      <c r="Z515" s="34"/>
    </row>
    <row r="516" spans="1:26">
      <c r="A516" s="41"/>
      <c r="B516" s="35"/>
      <c r="C516" s="35"/>
      <c r="E516" s="105"/>
      <c r="K516" s="34"/>
      <c r="L516" s="34"/>
      <c r="M516" s="34"/>
      <c r="N516" s="34"/>
      <c r="P516" s="109"/>
      <c r="Q516" s="38"/>
      <c r="R516" s="38"/>
      <c r="X516" s="106"/>
      <c r="Y516" s="34"/>
      <c r="Z516" s="34"/>
    </row>
    <row r="517" spans="1:26">
      <c r="A517" s="41"/>
      <c r="B517" s="35"/>
      <c r="C517" s="35"/>
      <c r="E517" s="105"/>
      <c r="K517" s="34"/>
      <c r="L517" s="34"/>
      <c r="M517" s="34"/>
      <c r="N517" s="34"/>
      <c r="P517" s="109"/>
      <c r="Q517" s="38"/>
      <c r="R517" s="38"/>
      <c r="X517" s="106"/>
      <c r="Y517" s="34"/>
      <c r="Z517" s="34"/>
    </row>
    <row r="518" spans="1:26">
      <c r="A518" s="41"/>
      <c r="B518" s="35"/>
      <c r="C518" s="35"/>
      <c r="E518" s="105"/>
      <c r="K518" s="34"/>
      <c r="L518" s="34"/>
      <c r="M518" s="34"/>
      <c r="N518" s="34"/>
      <c r="P518" s="109"/>
      <c r="Q518" s="38"/>
      <c r="R518" s="38"/>
      <c r="X518" s="106"/>
      <c r="Y518" s="34"/>
      <c r="Z518" s="34"/>
    </row>
    <row r="519" spans="1:26">
      <c r="A519" s="41"/>
      <c r="B519" s="35"/>
      <c r="C519" s="35"/>
      <c r="E519" s="105"/>
      <c r="K519" s="34"/>
      <c r="L519" s="34"/>
      <c r="M519" s="34"/>
      <c r="N519" s="34"/>
      <c r="P519" s="109"/>
      <c r="Q519" s="38"/>
      <c r="R519" s="38"/>
      <c r="X519" s="106"/>
      <c r="Y519" s="34"/>
      <c r="Z519" s="34"/>
    </row>
    <row r="520" spans="1:26">
      <c r="A520" s="41"/>
      <c r="B520" s="35"/>
      <c r="C520" s="35"/>
      <c r="E520" s="105"/>
      <c r="K520" s="34"/>
      <c r="L520" s="34"/>
      <c r="M520" s="34"/>
      <c r="N520" s="34"/>
      <c r="P520" s="109"/>
      <c r="Q520" s="38"/>
      <c r="R520" s="38"/>
      <c r="X520" s="106"/>
      <c r="Y520" s="34"/>
      <c r="Z520" s="34"/>
    </row>
    <row r="521" spans="1:26">
      <c r="A521" s="41"/>
      <c r="B521" s="35"/>
      <c r="C521" s="35"/>
      <c r="E521" s="105"/>
      <c r="K521" s="34"/>
      <c r="L521" s="34"/>
      <c r="M521" s="34"/>
      <c r="N521" s="34"/>
      <c r="P521" s="109"/>
      <c r="Q521" s="38"/>
      <c r="R521" s="38"/>
      <c r="X521" s="106"/>
      <c r="Y521" s="34"/>
      <c r="Z521" s="34"/>
    </row>
    <row r="522" spans="1:26">
      <c r="A522" s="41"/>
      <c r="B522" s="35"/>
      <c r="C522" s="35"/>
      <c r="E522" s="105"/>
      <c r="K522" s="34"/>
      <c r="L522" s="34"/>
      <c r="M522" s="34"/>
      <c r="N522" s="34"/>
      <c r="P522" s="109"/>
      <c r="Q522" s="38"/>
      <c r="R522" s="38"/>
      <c r="X522" s="106"/>
      <c r="Y522" s="34"/>
      <c r="Z522" s="34"/>
    </row>
    <row r="523" spans="1:26">
      <c r="A523" s="41"/>
      <c r="B523" s="35"/>
      <c r="C523" s="35"/>
      <c r="E523" s="105"/>
      <c r="K523" s="34"/>
      <c r="L523" s="34"/>
      <c r="M523" s="34"/>
      <c r="N523" s="34"/>
      <c r="P523" s="109"/>
      <c r="Q523" s="38"/>
      <c r="R523" s="38"/>
      <c r="X523" s="106"/>
      <c r="Y523" s="34"/>
      <c r="Z523" s="34"/>
    </row>
    <row r="524" spans="1:26">
      <c r="A524" s="41"/>
      <c r="B524" s="35"/>
      <c r="C524" s="35"/>
      <c r="E524" s="105"/>
      <c r="K524" s="34"/>
      <c r="L524" s="34"/>
      <c r="M524" s="34"/>
      <c r="N524" s="34"/>
      <c r="P524" s="109"/>
      <c r="Q524" s="38"/>
      <c r="R524" s="38"/>
      <c r="X524" s="106"/>
      <c r="Y524" s="34"/>
      <c r="Z524" s="34"/>
    </row>
    <row r="525" spans="1:26">
      <c r="A525" s="41"/>
      <c r="B525" s="35"/>
      <c r="C525" s="35"/>
      <c r="E525" s="105"/>
      <c r="K525" s="34"/>
      <c r="L525" s="34"/>
      <c r="M525" s="34"/>
      <c r="N525" s="34"/>
      <c r="P525" s="109"/>
      <c r="Q525" s="38"/>
      <c r="R525" s="38"/>
      <c r="X525" s="106"/>
      <c r="Y525" s="34"/>
      <c r="Z525" s="34"/>
    </row>
    <row r="526" spans="1:26">
      <c r="A526" s="41"/>
      <c r="B526" s="35"/>
      <c r="C526" s="35"/>
      <c r="E526" s="105"/>
      <c r="K526" s="34"/>
      <c r="L526" s="34"/>
      <c r="M526" s="34"/>
      <c r="N526" s="34"/>
      <c r="P526" s="109"/>
      <c r="Q526" s="38"/>
      <c r="R526" s="38"/>
      <c r="X526" s="106"/>
      <c r="Y526" s="34"/>
      <c r="Z526" s="34"/>
    </row>
    <row r="527" spans="1:26">
      <c r="A527" s="41"/>
      <c r="B527" s="35"/>
      <c r="C527" s="35"/>
      <c r="E527" s="105"/>
      <c r="K527" s="34"/>
      <c r="L527" s="34"/>
      <c r="M527" s="34"/>
      <c r="N527" s="34"/>
      <c r="P527" s="109"/>
      <c r="Q527" s="38"/>
      <c r="R527" s="38"/>
      <c r="X527" s="106"/>
      <c r="Y527" s="34"/>
      <c r="Z527" s="34"/>
    </row>
    <row r="528" spans="1:26">
      <c r="A528" s="41"/>
      <c r="B528" s="35"/>
      <c r="C528" s="35"/>
      <c r="E528" s="105"/>
      <c r="K528" s="34"/>
      <c r="L528" s="34"/>
      <c r="M528" s="34"/>
      <c r="N528" s="34"/>
      <c r="P528" s="109"/>
      <c r="Q528" s="38"/>
      <c r="R528" s="38"/>
      <c r="X528" s="106"/>
      <c r="Y528" s="34"/>
      <c r="Z528" s="34"/>
    </row>
    <row r="529" spans="1:26">
      <c r="A529" s="41"/>
      <c r="B529" s="35"/>
      <c r="C529" s="35"/>
      <c r="E529" s="105"/>
      <c r="K529" s="34"/>
      <c r="L529" s="34"/>
      <c r="M529" s="34"/>
      <c r="N529" s="34"/>
      <c r="P529" s="109"/>
      <c r="Q529" s="38"/>
      <c r="R529" s="38"/>
      <c r="X529" s="106"/>
      <c r="Y529" s="34"/>
      <c r="Z529" s="34"/>
    </row>
    <row r="530" spans="1:26">
      <c r="A530" s="41"/>
      <c r="B530" s="35"/>
      <c r="C530" s="35"/>
      <c r="E530" s="105"/>
      <c r="K530" s="34"/>
      <c r="L530" s="34"/>
      <c r="M530" s="34"/>
      <c r="N530" s="34"/>
      <c r="P530" s="109"/>
      <c r="Q530" s="38"/>
      <c r="R530" s="38"/>
      <c r="X530" s="106"/>
      <c r="Y530" s="34"/>
      <c r="Z530" s="34"/>
    </row>
    <row r="531" spans="1:26">
      <c r="A531" s="41"/>
      <c r="B531" s="35"/>
      <c r="C531" s="35"/>
      <c r="E531" s="105"/>
      <c r="K531" s="34"/>
      <c r="L531" s="34"/>
      <c r="M531" s="34"/>
      <c r="N531" s="34"/>
      <c r="P531" s="109"/>
      <c r="Q531" s="38"/>
      <c r="R531" s="38"/>
      <c r="X531" s="106"/>
      <c r="Y531" s="34"/>
      <c r="Z531" s="34"/>
    </row>
    <row r="532" spans="1:26">
      <c r="A532" s="41"/>
      <c r="B532" s="35"/>
      <c r="C532" s="35"/>
      <c r="E532" s="105"/>
      <c r="K532" s="34"/>
      <c r="L532" s="34"/>
      <c r="M532" s="34"/>
      <c r="N532" s="34"/>
      <c r="P532" s="109"/>
      <c r="Q532" s="38"/>
      <c r="R532" s="38"/>
      <c r="X532" s="106"/>
      <c r="Y532" s="34"/>
      <c r="Z532" s="34"/>
    </row>
    <row r="533" spans="1:26">
      <c r="A533" s="41"/>
      <c r="B533" s="35"/>
      <c r="C533" s="35"/>
      <c r="E533" s="105"/>
      <c r="K533" s="34"/>
      <c r="L533" s="34"/>
      <c r="M533" s="34"/>
      <c r="N533" s="34"/>
      <c r="P533" s="109"/>
      <c r="Q533" s="38"/>
      <c r="R533" s="38"/>
      <c r="X533" s="106"/>
      <c r="Y533" s="34"/>
      <c r="Z533" s="34"/>
    </row>
    <row r="534" spans="1:26">
      <c r="A534" s="41"/>
      <c r="B534" s="35"/>
      <c r="C534" s="35"/>
      <c r="E534" s="105"/>
      <c r="K534" s="34"/>
      <c r="L534" s="34"/>
      <c r="M534" s="34"/>
      <c r="N534" s="34"/>
      <c r="P534" s="109"/>
      <c r="Q534" s="38"/>
      <c r="R534" s="38"/>
      <c r="X534" s="106"/>
    </row>
  </sheetData>
  <conditionalFormatting sqref="H4:H957 O4:O957 A4:A957">
    <cfRule type="expression" dxfId="33" priority="209">
      <formula>ISNUMBER(SEARCH("3", $E4))</formula>
    </cfRule>
    <cfRule type="expression" dxfId="32" priority="210">
      <formula>ISNUMBER(SEARCH("4", $E4))</formula>
    </cfRule>
    <cfRule type="expression" dxfId="31" priority="211">
      <formula>ISNUMBER(SEARCH("5", $E4))</formula>
    </cfRule>
  </conditionalFormatting>
  <conditionalFormatting sqref="K1:K1048576">
    <cfRule type="containsText" dxfId="30" priority="33" operator="containsText" text="Grab">
      <formula>NOT(ISERROR(SEARCH("Grab",K1)))</formula>
    </cfRule>
    <cfRule type="containsText" dxfId="29" priority="34" operator="containsText" text="Zalo">
      <formula>NOT(ISERROR(SEARCH("Zalo",K1)))</formula>
    </cfRule>
    <cfRule type="containsText" dxfId="28" priority="35" operator="containsText" text="MoMo">
      <formula>NOT(ISERROR(SEARCH("MoMo",K1)))</formula>
    </cfRule>
  </conditionalFormatting>
  <conditionalFormatting sqref="M4:M1048576">
    <cfRule type="expression" dxfId="27" priority="1">
      <formula>$M4="Transaction growth"</formula>
    </cfRule>
    <cfRule type="expression" dxfId="26" priority="2">
      <formula>$M4="User acquisition"</formula>
    </cfRule>
    <cfRule type="expression" dxfId="25" priority="3">
      <formula>$M4="User engagement"</formula>
    </cfRule>
    <cfRule type="expression" dxfId="24" priority="4">
      <formula>$M4="User activation"</formula>
    </cfRule>
    <cfRule type="expression" dxfId="23" priority="5">
      <formula>$L4="Partnership"</formula>
    </cfRule>
    <cfRule type="expression" dxfId="22" priority="6">
      <formula>$L4="Feature"</formula>
    </cfRule>
    <cfRule type="expression" dxfId="21" priority="7">
      <formula>$L4="Product"</formula>
    </cfRule>
    <cfRule type="expression" dxfId="20" priority="8">
      <formula>$L4="Strategy"</formula>
    </cfRule>
  </conditionalFormatting>
  <dataValidations count="4">
    <dataValidation type="list" allowBlank="1" showInputMessage="1" showErrorMessage="1" sqref="M4:N148 N149:N159 M149:M1048576" xr:uid="{EBA393C5-8519-4318-B230-314444FB66F2}">
      <formula1>INDIRECT(SUBSTITUTE(L4," ","_"))</formula1>
    </dataValidation>
    <dataValidation type="list" allowBlank="1" showInputMessage="1" showErrorMessage="1" sqref="J4:J1048576" xr:uid="{2D7FEE8F-3593-44EF-A417-6DB7DEB31368}">
      <formula1>topic_group</formula1>
    </dataValidation>
    <dataValidation type="list" allowBlank="1" showInputMessage="1" showErrorMessage="1" sqref="L4:L1048576" xr:uid="{257A9899-E658-4614-BBBF-79038F13146D}">
      <formula1>INDIRECT(SUBSTITUTE(J4," ","_"))</formula1>
    </dataValidation>
    <dataValidation type="list" allowBlank="1" showInputMessage="1" showErrorMessage="1" sqref="K4:K1048576" xr:uid="{C9B59446-BF9C-4B3C-A61D-AB40E28799E9}">
      <formula1>INDIRECT(SUBSTITUTE(J4," ","."))</formula1>
    </dataValidation>
  </dataValidations>
  <hyperlinks>
    <hyperlink ref="B7" r:id="rId1" xr:uid="{21E21085-1479-44CE-921E-F15BD7813E9C}"/>
    <hyperlink ref="B8" r:id="rId2" xr:uid="{E83BF135-B463-40A5-9CC3-AA687C672A5E}"/>
    <hyperlink ref="B9" r:id="rId3" xr:uid="{207BFE25-CE2D-40B2-93D6-BF81151237A8}"/>
    <hyperlink ref="B10" r:id="rId4" xr:uid="{5A055249-16FE-45F4-A90A-E0589ED26B42}"/>
    <hyperlink ref="B11" r:id="rId5" xr:uid="{3DA9A9D5-205A-47C4-8447-23FE2F03879C}"/>
    <hyperlink ref="B4" r:id="rId6" xr:uid="{0A799932-1B70-4550-8051-1E0C2A35E089}"/>
    <hyperlink ref="B5" r:id="rId7" xr:uid="{DFEC002F-BFF2-435D-AC7C-C0371A6E4EB8}"/>
    <hyperlink ref="B6" r:id="rId8" xr:uid="{738BFDAC-2966-42FF-AE12-A2114EDE0B0B}"/>
    <hyperlink ref="B12" r:id="rId9" xr:uid="{01A698DC-22CA-4A3B-9B29-23B36FD31087}"/>
    <hyperlink ref="B13" r:id="rId10" xr:uid="{FF92FBBA-839F-4D6B-BB0A-A097F636CD80}"/>
    <hyperlink ref="B14" r:id="rId11" xr:uid="{B1B2E219-42B0-4A96-8F85-7FA64D1B54D1}"/>
    <hyperlink ref="B15" r:id="rId12" xr:uid="{B859060A-2096-4048-B4D2-1F7D4772FA75}"/>
    <hyperlink ref="B16" r:id="rId13" xr:uid="{95BF941E-CEFE-4A77-A2EF-DF227E1B1748}"/>
    <hyperlink ref="B17" r:id="rId14" xr:uid="{086EFED9-C343-447C-9D50-384EE4B3E364}"/>
    <hyperlink ref="B18" r:id="rId15" xr:uid="{0950B2BE-28B4-4FE1-8D6C-CAB331433FF8}"/>
    <hyperlink ref="B19" r:id="rId16" xr:uid="{EE129F70-13A8-4EE1-9CD4-96C773EF81AD}"/>
    <hyperlink ref="B21" r:id="rId17" xr:uid="{F710D454-702E-4C82-BE7D-1FE64DBE1866}"/>
    <hyperlink ref="B22" r:id="rId18" xr:uid="{667D270F-C03A-4F36-BEC4-FA55B025A512}"/>
    <hyperlink ref="B20" r:id="rId19" xr:uid="{C8EC9E46-7BD1-448B-B167-A305847E4282}"/>
    <hyperlink ref="B77" r:id="rId20" xr:uid="{28FAB9B6-4D20-4E55-8C26-415D5A972563}"/>
    <hyperlink ref="B148" r:id="rId21" xr:uid="{C212A20A-9612-40D1-B334-7E08892D40D1}"/>
    <hyperlink ref="B145" r:id="rId22" xr:uid="{1B592952-5ECA-4339-B6AD-70AB070377B4}"/>
    <hyperlink ref="B146" r:id="rId23" xr:uid="{00F2B17D-884A-4F6B-B6BE-3974D4C9DB3A}"/>
    <hyperlink ref="B147" r:id="rId24" xr:uid="{FBA1E846-D783-4120-8D86-FB6B142FBCAB}"/>
    <hyperlink ref="B149" r:id="rId25" xr:uid="{7277CD24-6684-41C0-9672-E9C2ACF82FE6}"/>
    <hyperlink ref="B150" r:id="rId26" xr:uid="{8E6962FC-2059-4015-A9BE-DBE141A1BEDA}"/>
    <hyperlink ref="B169" r:id="rId27" xr:uid="{12E73D13-5BBC-47D5-B780-2F2BF8BCBEB2}"/>
    <hyperlink ref="B205" r:id="rId28" display="https://www.momo.vn/tin-tuc/khuyen-mai/khai-truong-satrafoods-becamex-binh-duong-giam-30-8618" xr:uid="{54D2BA39-4602-4DB5-8E95-6B0DA714B52A}"/>
    <hyperlink ref="B243" r:id="rId29" xr:uid="{BC45A603-705B-44FE-85D3-F609FDCB81C1}"/>
    <hyperlink ref="B247" r:id="rId30" xr:uid="{EFFD8766-0A10-454B-A59E-4B47FBD3A5FA}"/>
    <hyperlink ref="B248" r:id="rId31" xr:uid="{CFBB0DFD-9BE9-4530-8A82-5966345BA34E}"/>
    <hyperlink ref="B249" r:id="rId32" xr:uid="{DD00E792-9EEB-41F1-8B7C-F7CB257603D1}"/>
    <hyperlink ref="B250" r:id="rId33" xr:uid="{FF806D66-5AAE-4A54-BABC-9C45E7C0F54B}"/>
    <hyperlink ref="B251" r:id="rId34" xr:uid="{F2B4359E-FE35-46C8-AF60-6C452BB34B06}"/>
    <hyperlink ref="B252" r:id="rId35" xr:uid="{7D78254D-6471-47A2-8D23-E0F86FFBB048}"/>
    <hyperlink ref="B266" r:id="rId36" xr:uid="{3719709C-743B-41C1-AF06-A60D8E1BB3BE}"/>
    <hyperlink ref="B268" r:id="rId37" xr:uid="{CE89EAB3-8958-4619-9628-A14BE4D87104}"/>
    <hyperlink ref="B270" r:id="rId38" xr:uid="{4E37F81E-0CBA-4765-B7A0-E48903CB67A1}"/>
    <hyperlink ref="B274" r:id="rId39" xr:uid="{20AD84DA-E551-41D5-A1B3-DA136FCA6EE9}"/>
    <hyperlink ref="B269" r:id="rId40" xr:uid="{DB4A5397-38C2-4086-9631-FCFAF8E5716E}"/>
    <hyperlink ref="B264" r:id="rId41" xr:uid="{5D4A848B-D611-4280-AFF2-843695A97EAB}"/>
    <hyperlink ref="B257" r:id="rId42" xr:uid="{7BAD9B30-C80B-42CD-BF84-FA0DED21D9F5}"/>
    <hyperlink ref="B275" r:id="rId43" xr:uid="{35259F1C-0BBA-4ECC-8288-5BA59454A3BD}"/>
    <hyperlink ref="B260" r:id="rId44" xr:uid="{959FCC54-DEE6-43C1-B7C9-B75FE60C5D51}"/>
    <hyperlink ref="B261" r:id="rId45" xr:uid="{3A7E23D6-6B74-4494-89C8-F384D26B39E2}"/>
    <hyperlink ref="B265" r:id="rId46" xr:uid="{87571A76-DDDA-44FC-B3F7-7B4F8A35BF26}"/>
    <hyperlink ref="B262" r:id="rId47" xr:uid="{2A6A79CD-ADED-44E5-BDAA-D41CD8ED7E03}"/>
    <hyperlink ref="B272" r:id="rId48" xr:uid="{A6F979F8-F3F8-4166-925F-2FDBB3CD0242}"/>
    <hyperlink ref="B263" r:id="rId49" xr:uid="{70D4DE7B-9060-43D2-A71E-C790A42C6CB8}"/>
    <hyperlink ref="B273" r:id="rId50" xr:uid="{8D85E200-9AC2-4D42-83C1-9459865C7BC3}"/>
    <hyperlink ref="B271" r:id="rId51" xr:uid="{5CAFD976-5641-4B18-8CE8-A92DE2630F47}"/>
    <hyperlink ref="B255" r:id="rId52" xr:uid="{7C834245-0209-4D59-86AE-B7E7FBA354D3}"/>
    <hyperlink ref="B254" r:id="rId53" xr:uid="{509017D2-A3B8-44E5-852E-56D2C86C4F68}"/>
    <hyperlink ref="B256" r:id="rId54" xr:uid="{0D4640BE-0191-4A72-B6B4-D90EF01CBDE9}"/>
    <hyperlink ref="B253" r:id="rId55" xr:uid="{15E68585-B248-4FA2-AC6D-ABDD32527E22}"/>
    <hyperlink ref="B258" r:id="rId56" xr:uid="{781A853D-81A1-4DBC-8E7B-B3400329809C}"/>
    <hyperlink ref="B259" r:id="rId57" xr:uid="{588E0BB9-3D42-42CA-8757-5BD5754C00BD}"/>
    <hyperlink ref="B276" r:id="rId58" xr:uid="{1DEBCA29-394A-4C14-942C-B2039C1B84DE}"/>
    <hyperlink ref="B267" r:id="rId59" xr:uid="{C93FC7EA-234F-4AAE-8427-47725B41BB68}"/>
    <hyperlink ref="B285" r:id="rId60" xr:uid="{C95762F2-24B7-490E-AE0E-7E3E585CA4AF}"/>
    <hyperlink ref="B433" r:id="rId61" xr:uid="{41D419BB-918A-4C22-A2D2-BA0B21D6251B}"/>
    <hyperlink ref="B479" r:id="rId62" xr:uid="{8C05D8EF-8A6F-497A-B35D-CD190E969092}"/>
    <hyperlink ref="B475" r:id="rId63" xr:uid="{57D8674C-BC58-47DC-AFF6-66C8A08EAEFC}"/>
    <hyperlink ref="B476" r:id="rId64" xr:uid="{92456345-9CDC-4533-B488-06BBAF51F5B3}"/>
    <hyperlink ref="B477" r:id="rId65" xr:uid="{EE8074B9-6C3C-4020-86C6-3BAC10A5AD51}"/>
    <hyperlink ref="B478" r:id="rId66" xr:uid="{BDC0352A-06E9-4298-B73A-B642BC51FDC1}"/>
    <hyperlink ref="B428" r:id="rId67" xr:uid="{EFA4E721-D8EE-4D15-98D0-D80C5DB9BB71}"/>
    <hyperlink ref="B404" r:id="rId68" xr:uid="{BDBDFC41-A15E-486D-AB7E-448D33F19378}"/>
    <hyperlink ref="B405" r:id="rId69" xr:uid="{3B9DC18E-B6A0-4BC5-AA40-9D547B494471}"/>
    <hyperlink ref="B406" r:id="rId70" xr:uid="{92CD5CB8-4154-4914-AD7F-382DDFD297DE}"/>
    <hyperlink ref="B435" r:id="rId71" xr:uid="{624919BA-B4F3-48D6-9C29-19DBFABE1AB6}"/>
    <hyperlink ref="B436" r:id="rId72" xr:uid="{B04D3872-AE7C-4F63-BD0B-FCFA8EFE97FA}"/>
    <hyperlink ref="B407" r:id="rId73" xr:uid="{57E28AC3-11E9-4A1C-8F32-F505CCBCC92F}"/>
    <hyperlink ref="B408" r:id="rId74" xr:uid="{C6D03FF5-9294-4E09-99EB-3BDAF40485D5}"/>
    <hyperlink ref="B437" r:id="rId75" xr:uid="{52048D20-5A4D-417A-84B4-F38408FA9E89}"/>
    <hyperlink ref="B365" r:id="rId76" xr:uid="{ECB743A6-32F0-4D01-AA03-CCA5DB564A45}"/>
    <hyperlink ref="B370" r:id="rId77" xr:uid="{C65EAE63-9E03-43EE-B248-7AD86DA20E8E}"/>
    <hyperlink ref="B378" r:id="rId78" xr:uid="{B7AEE337-4335-4E4B-BB54-B34CDCF46799}"/>
    <hyperlink ref="B424" r:id="rId79" xr:uid="{88DFA1D9-4CAF-4B83-8E08-39B120E51D5E}"/>
    <hyperlink ref="B425" r:id="rId80" xr:uid="{C6945FD2-31B0-4A20-89C3-4B1612B38DEB}"/>
    <hyperlink ref="B411" r:id="rId81" xr:uid="{8CB961E9-43DD-46BC-8A2F-758EA4E8CF47}"/>
    <hyperlink ref="B413" r:id="rId82" xr:uid="{F99239C1-04C2-43FF-96D7-6468976070C4}"/>
  </hyperlinks>
  <pageMargins left="0.7" right="0.7" top="0.75" bottom="0.75" header="0.3" footer="0.3"/>
  <pageSetup orientation="portrait" r:id="rId83"/>
  <drawing r:id="rId84"/>
  <tableParts count="1">
    <tablePart r:id="rId85"/>
  </tableParts>
  <extLst>
    <ext xmlns:x15="http://schemas.microsoft.com/office/spreadsheetml/2010/11/main" uri="{3A4CF648-6AED-40f4-86FF-DC5316D8AED3}">
      <x14:slicerList xmlns:x14="http://schemas.microsoft.com/office/spreadsheetml/2009/9/main">
        <x14:slicer r:id="rId86"/>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9B8CF-0024-44DB-B163-30F2DC4E79FF}">
  <dimension ref="A1:Z87"/>
  <sheetViews>
    <sheetView workbookViewId="0">
      <selection activeCell="E25" sqref="E25"/>
    </sheetView>
  </sheetViews>
  <sheetFormatPr defaultRowHeight="14.45"/>
  <cols>
    <col min="15" max="15" width="31.85546875" customWidth="1"/>
    <col min="16" max="16" width="64.85546875" customWidth="1"/>
    <col min="17" max="18" width="8.7109375" style="38"/>
    <col min="24" max="24" width="14.5703125" customWidth="1"/>
  </cols>
  <sheetData>
    <row r="1" spans="1:26">
      <c r="A1" t="s">
        <v>294</v>
      </c>
      <c r="B1" t="s">
        <v>297</v>
      </c>
      <c r="C1" t="s">
        <v>300</v>
      </c>
      <c r="D1" t="s">
        <v>303</v>
      </c>
      <c r="E1" t="s">
        <v>306</v>
      </c>
      <c r="G1">
        <v>18</v>
      </c>
    </row>
    <row r="3" spans="1:26" ht="18.600000000000001" customHeight="1">
      <c r="A3" t="str">
        <f>Database!A3</f>
        <v>id</v>
      </c>
      <c r="B3" t="str">
        <f>Database!B3</f>
        <v>url</v>
      </c>
      <c r="C3" t="str">
        <f>Database!C3</f>
        <v>hyperlink</v>
      </c>
      <c r="D3" t="str">
        <f>Database!D3</f>
        <v>source_name</v>
      </c>
      <c r="E3" t="str">
        <f>Database!E3</f>
        <v>signal_level</v>
      </c>
      <c r="F3" t="str">
        <f>Database!F3</f>
        <v>week</v>
      </c>
      <c r="G3" t="str">
        <f>Database!G3</f>
        <v>crawl_date</v>
      </c>
      <c r="H3" t="str">
        <f>Database!H3</f>
        <v>title_raw</v>
      </c>
      <c r="I3" t="str">
        <f>Database!I3</f>
        <v>publish_date</v>
      </c>
      <c r="J3" t="str">
        <f>Database!J3</f>
        <v>topic_group</v>
      </c>
      <c r="K3" t="str">
        <f>Database!K3</f>
        <v>sub_topic_group</v>
      </c>
      <c r="L3" t="str">
        <f>Database!L3</f>
        <v>category</v>
      </c>
      <c r="M3" t="str">
        <f>Database!M3</f>
        <v>subcategory</v>
      </c>
      <c r="N3" t="str">
        <f>Database!N3</f>
        <v>merged_category</v>
      </c>
      <c r="O3" t="str">
        <f>Database!O3</f>
        <v>title_normalized</v>
      </c>
      <c r="P3" t="str">
        <f>Database!P3</f>
        <v>summary</v>
      </c>
      <c r="Q3" s="38" t="str">
        <f>Database!Q3</f>
        <v>start_date</v>
      </c>
      <c r="R3" s="38" t="str">
        <f>Database!R3</f>
        <v>end_date</v>
      </c>
      <c r="S3" t="str">
        <f>Database!S3</f>
        <v>tags</v>
      </c>
      <c r="T3" t="str">
        <f>Database!T3</f>
        <v>R1</v>
      </c>
      <c r="U3" t="str">
        <f>Database!U3</f>
        <v>R2</v>
      </c>
      <c r="V3" t="str">
        <f>Database!V3</f>
        <v>R3</v>
      </c>
      <c r="W3" t="str">
        <f>Database!W3</f>
        <v>R4</v>
      </c>
      <c r="X3" t="str">
        <f>Database!X3</f>
        <v>signal_score</v>
      </c>
      <c r="Y3" t="str">
        <f>Database!Y3</f>
        <v>related _vertical</v>
      </c>
      <c r="Z3" t="str">
        <f>Database!Z3</f>
        <v>related_product_2</v>
      </c>
    </row>
    <row r="4" spans="1:26">
      <c r="A4" t="str" cm="1">
        <f t="array" ref="A4:Z87">_xlfn._xlws.FILTER(Database[]&amp;"",(Database[week]=G1)*((Database[signal_level] = Database_clean!C1)+(Database[signal_level]  = Database_clean!D1)+(Database[signal_level]  = Database_clean!E1)),"")</f>
        <v>358</v>
      </c>
      <c r="B4" t="str">
        <v>https://www.techinasia.com/news/goto-review-comply-prabowos-8-platform-fee-cap</v>
      </c>
      <c r="C4" t="str">
        <v>Indonesia Prabowo ký sắc lệnh cắt hoa hồng ride-hailing xuống 8% – Tác động trực tiếp Grab và GoTo</v>
      </c>
      <c r="D4" t="str">
        <v>Tech in Asia</v>
      </c>
      <c r="E4" t="str">
        <v>5 - Industry disruption</v>
      </c>
      <c r="F4" t="str">
        <v>18</v>
      </c>
      <c r="G4" t="str">
        <v>46145</v>
      </c>
      <c r="H4" t="str">
        <v>GoTo review to comply with Prabowo's 8% platform fee cap</v>
      </c>
      <c r="I4" t="str">
        <v>46143</v>
      </c>
      <c r="J4" t="str">
        <v>Market Pulse</v>
      </c>
      <c r="K4" t="str">
        <v>SEA</v>
      </c>
      <c r="L4" t="str">
        <v>Legal</v>
      </c>
      <c r="M4" t="str">
        <v>eCommerce regulation</v>
      </c>
      <c r="N4" t="str">
        <v>Legal | eCommerce regulation</v>
      </c>
      <c r="O4" t="str">
        <v>Indonesia Prabowo ký sắc lệnh cắt hoa hồng ride-hailing xuống 8% – Tác động trực tiếp Grab và GoTo</v>
      </c>
      <c r="P4" t="str">
        <v>Tổng thống Prabowo ký sắc lệnh tổng thống giảm hoa hồng tối đa của nền tảng gọi xe từ 20% xuống 8%, công bố tại Ngày Lao động 1/5 tại Monas Jakarta.  Bằng cách ký Quy định của Tổng thống (Perpres) số 27 năm 2026, Tổng thống đã quy định về mặt pháp lý rằng ít nhất 92% giá vé phải đi trực tiếp vào túi của các tài xế. Tuy chưa có ngày hiệu lực chính thức cụ thể, nhưng được yêu cầu thực thi ngay lập tức trong dịp May Day để bảo vệ tài xế. 
GoTo báo cáo lợi nhuận ròng đầu tiên 171 tỷ rupiah Q1/2026. Indonesia chiếm 17-19% Mobility GMV và ~20% EBITDA của Grab. Sắc lệnh của Tổng thống sẽ buộc các nền tảng điều chỉnh mô hình vận hành và phân chia doanh thu. Theo đó, GoTo cho biết đang rà soát và chuẩn bị tuân thủ quy định mới của Indonesia. Việc áp trần phí nền tảng 8% làm co hẹp đáng kể take rate của mảng gọi xe (Gojek) – vốn là trụ cột tạo lưu lượng trong mô hình super app. Điều này khiến GoTo khó duy trì lợi nhuận từ mobility nếu không tái cấu trúc chi phí hoặc tìm nguồn bù đắp khác.
Đây có thể trở thành tiền lệ để Việt Nam cân nhắc siết phí nền tảng trong các lĩnh vực thiết yếu như gọi xe, giao đồ ăn nhằm bảo vệ đối tác và người lao động</v>
      </c>
      <c r="Q4" s="38" t="str">
        <v/>
      </c>
      <c r="R4" s="38" t="str">
        <v/>
      </c>
      <c r="S4" t="str">
        <v/>
      </c>
      <c r="T4" t="str">
        <v>5</v>
      </c>
      <c r="U4" t="str">
        <v>5</v>
      </c>
      <c r="V4" t="str">
        <v/>
      </c>
      <c r="W4" t="str">
        <v/>
      </c>
      <c r="X4" t="str">
        <v>5</v>
      </c>
      <c r="Y4" t="str">
        <v>Ride-hailing / Delivery</v>
      </c>
      <c r="Z4" t="str">
        <v/>
      </c>
    </row>
    <row r="5" spans="1:26">
      <c r="A5" t="str">
        <v>359</v>
      </c>
      <c r="B5" t="str">
        <v>https://vneconomy.vn/techconnect/trung-quoc-ra-chinh-sach-bao-ve-tai-xe-cong-nghe-nhan-vien-giao-hang.htm</v>
      </c>
      <c r="C5" t="str">
        <v>Trung Quốc ban hành chính sách bảo vệ tài xế gig economy</v>
      </c>
      <c r="D5" t="str">
        <v>VNEconomy</v>
      </c>
      <c r="E5" t="str">
        <v>5 - Industry disruption</v>
      </c>
      <c r="F5" t="str">
        <v>18</v>
      </c>
      <c r="G5" t="str">
        <v>46145</v>
      </c>
      <c r="H5" t="str">
        <v>Trung Quốc ra chính sách bảo vệ tài xế công nghệ, nhân viên giao hàng</v>
      </c>
      <c r="I5" t="str">
        <v>46132</v>
      </c>
      <c r="J5" t="str">
        <v>Market Pulse</v>
      </c>
      <c r="K5" t="str">
        <v>Trung quốc</v>
      </c>
      <c r="L5" t="str">
        <v>Legal</v>
      </c>
      <c r="M5" t="str">
        <v>eCommerce regulation</v>
      </c>
      <c r="N5" t="str">
        <v>Legal | eCommerce regulation</v>
      </c>
      <c r="O5" t="str">
        <v>Trung Quốc ban hành chính sách bảo vệ tài xế gig economy</v>
      </c>
      <c r="P5" t="str">
        <v>Trung Quốc ban hành khung chính sách toàn diện đầu tiên cho lao động nền tảng (tài xế công nghệ, giao hàng, livestream…), yêu cầu các nền tảng chuẩn hóa quan hệ lao động và ký hợp đồng rõ ràng.
Chính sách buộc doanh nghiệp đảm bảo thu nhập hợp lý, phúc lợi và an sinh xã hội, đồng thời chấm dứt tình trạng lao động làm toàn thời gian nhưng không được công nhận chính thức.
Trung Quốc cũng siết chặt việc sử dụng thuật toán, yêu cầu minh bạch hơn trong phân bổ đơn hàng và trả lương; mục tiêu là chuẩn hóa kinh tế nền tảng vào năm 2027.
Động thái của Trung Quốc cho thấy mô hình gig economy đang bước sang giai đoạn “lao động hóa”, buộc các nền tảng gọi xe–giao hàng phải hy sinh biên lợi nhuận để đổi lấy ổn định xã hội, và có thể trở thành tiền lệ chính sách quan trọng cho các thị trường như Việt Nam khi quy mô lao động nền tảng ngày càng lớn.</v>
      </c>
      <c r="Q5" s="38" t="str">
        <v/>
      </c>
      <c r="R5" s="38" t="str">
        <v/>
      </c>
      <c r="S5" t="str">
        <v/>
      </c>
      <c r="T5" t="str">
        <v>5</v>
      </c>
      <c r="U5" t="str">
        <v>5</v>
      </c>
      <c r="V5" t="str">
        <v/>
      </c>
      <c r="W5" t="str">
        <v/>
      </c>
      <c r="X5" t="str">
        <v>5</v>
      </c>
      <c r="Y5" t="str">
        <v>Ride-hailing / Delivery</v>
      </c>
      <c r="Z5" t="str">
        <v/>
      </c>
    </row>
    <row r="6" spans="1:26">
      <c r="A6" t="str">
        <v>360</v>
      </c>
      <c r="B6" t="str">
        <v>https://techcrunch.com/2026/04/30/stripe-link-digital-wallet-ai-agents-shopping/</v>
      </c>
      <c r="C6" t="str">
        <v>Stripe Link ra mắt: ví điện tử cho AI agent tự động thanh toán thay user</v>
      </c>
      <c r="D6" t="str">
        <v>TechCrunch</v>
      </c>
      <c r="E6" t="str">
        <v>5 - Industry disruption</v>
      </c>
      <c r="F6" t="str">
        <v>18</v>
      </c>
      <c r="G6" t="str">
        <v>46145</v>
      </c>
      <c r="H6" t="str">
        <v>Stripe introduces Link, a digital wallet that autonomous AI agents can use, too</v>
      </c>
      <c r="I6" t="str">
        <v>46142</v>
      </c>
      <c r="J6" t="str">
        <v>Market Pulse</v>
      </c>
      <c r="K6" t="str">
        <v>Quốc tế</v>
      </c>
      <c r="L6" t="str">
        <v>Technology</v>
      </c>
      <c r="M6" t="str">
        <v>Open banking/ API</v>
      </c>
      <c r="N6" t="str">
        <v>Technology | Open banking/ API</v>
      </c>
      <c r="O6" t="str">
        <v>Stripe Link ra mắt: ví điện tử cho AI agent tự động thanh toán thay user</v>
      </c>
      <c r="P6" t="str">
        <v>Stripe ra mắt Link — ví điện tử hỗ trợ nhiều PTTT như thẻ, bank, crypto, BNPL cho phép AI agent (OpenClaw và các agent khác) tự thanh toán trong giới hạn được phép, không cần giao thông tin thẻ thật cho agent tại Sessions 2026 (San Francisco, 30/04/2026). Hiện tại Link có trên web, iOS, Android. Tính năng thêm: xem chi tiêu, theo dõi subscription, bảo vệ mua hàng 90 ngày cùng cơ chế giới hạn chi tiêu linh hoạt.
Người dùng ủy quyền cho AI agents qua cơ chế OAuth và phê duyệt chi tiêu từng giao dịch, giúp AI hoạt động mà không lộ thông tin thanh toán gốc Context: Mac Mini Apple bán hết vì nhiều người dùng làm nền tảng chạy AI agent.
Việc Stripe “trao ví cho AI agents” cho thấy thanh toán đang dịch chuyển từ hành vi của con người sang hành vi của phần mềm, buộc các nền tảng ví và fintech phải sớm chuẩn bị hạ tầng cho agent‑driven commerce</v>
      </c>
      <c r="Q6" s="38" t="str">
        <v>46142</v>
      </c>
      <c r="R6" s="38" t="str">
        <v/>
      </c>
      <c r="S6" t="str">
        <v/>
      </c>
      <c r="T6" t="str">
        <v>4.8</v>
      </c>
      <c r="U6" t="str">
        <v>5</v>
      </c>
      <c r="V6" t="str">
        <v/>
      </c>
      <c r="W6" t="str">
        <v/>
      </c>
      <c r="X6" t="str">
        <v>4.88</v>
      </c>
      <c r="Y6" t="str">
        <v>Fintech/ Đầu tư</v>
      </c>
      <c r="Z6" t="str">
        <v/>
      </c>
    </row>
    <row r="7" spans="1:26">
      <c r="A7" t="str">
        <v>361</v>
      </c>
      <c r="B7" t="str">
        <v>https://www.techinasia.com/news/wechat-pay-expands-qr-payments-5-asian-countries</v>
      </c>
      <c r="C7" t="str">
        <v>WeChat Pay mở rộng QR payments sang 5 nước châu Á – Cạnh tranh trực tiếp với Alipay+ và QR nội địa</v>
      </c>
      <c r="D7" t="str">
        <v>Tech in Asia</v>
      </c>
      <c r="E7" t="str">
        <v>5 - Industry disruption</v>
      </c>
      <c r="F7" t="str">
        <v>18</v>
      </c>
      <c r="G7" t="str">
        <v>46145</v>
      </c>
      <c r="H7" t="str">
        <v>WeChat Pay expands QR payments to 5 Asian countries</v>
      </c>
      <c r="I7" t="str">
        <v>46137</v>
      </c>
      <c r="J7" t="str">
        <v>Market Pulse</v>
      </c>
      <c r="K7" t="str">
        <v>SEA</v>
      </c>
      <c r="L7" t="str">
        <v>Technology</v>
      </c>
      <c r="M7" t="str">
        <v>Open banking/ API</v>
      </c>
      <c r="N7" t="str">
        <v>Technology | Open banking/ API</v>
      </c>
      <c r="O7" t="str">
        <v>WeChat Pay mở rộng QR payments sang 5 nước châu Á – Cạnh tranh trực tiếp với Alipay+ và QR nội địa</v>
      </c>
      <c r="P7" t="str">
        <v>WeChat Pay mở rộng thanh toán QR xuyên biên giới sang 5 quốc gia châu Á gồm Hàn Quốc, Sri Lanka, Thái Lan, Malaysia và Singapore, cho phép người dùng quét trực tiếp QR nội địa khi chi tiêu ở nước ngoài.
Dịch vụ được tích hợp trực tiếp với hệ thống QR quốc gia (như PromptPay, DuitNow, SGQR), giúp người dùng không cần tải app địa phương hay đổi tiền.
Động thái diễn ra trong bối cảnh du lịch xuyên biên giới của Trung Quốc phục hồi mạnh, mở rộng vai trò WeChat Pay trong hệ sinh thái thanh toán quốc tế.
cuộc cạnh tranh ví điện tử sẽ dịch chuyển sang khả năng liên thông xuyên biên giới, gây áp lực lên các ví nội địa (trong đó có Việt Nam) phải mở rộng interoperability hoặc liên kết khu vực. MoMo hay Zalopay đều có những động thái để mở rộng QR thanh toán quốc tế trong thời gian gần đây</v>
      </c>
      <c r="Q7" s="38" t="str">
        <v/>
      </c>
      <c r="R7" s="38" t="str">
        <v/>
      </c>
      <c r="S7" t="str">
        <v/>
      </c>
      <c r="T7" t="str">
        <v>4.8</v>
      </c>
      <c r="U7" t="str">
        <v>5</v>
      </c>
      <c r="V7" t="str">
        <v/>
      </c>
      <c r="W7" t="str">
        <v/>
      </c>
      <c r="X7" t="str">
        <v>4.88</v>
      </c>
      <c r="Y7" t="str">
        <v>Fintech/ Đầu tư</v>
      </c>
      <c r="Z7" t="str">
        <v/>
      </c>
    </row>
    <row r="8" spans="1:26">
      <c r="A8" t="str">
        <v>362</v>
      </c>
      <c r="B8" t="str">
        <v>https://www.techsignin.com/040526-ant-international-ket-noi-2-ty-nguoi-dung/</v>
      </c>
      <c r="C8" t="str">
        <v>Ant International ra mắt AMP – Giao thức agentic payment đầu tiên cho mobile</v>
      </c>
      <c r="D8" t="str">
        <v>Tech in Asia</v>
      </c>
      <c r="E8" t="str">
        <v>5 - Industry disruption</v>
      </c>
      <c r="F8" t="str">
        <v>18</v>
      </c>
      <c r="G8" t="str">
        <v>46145</v>
      </c>
      <c r="H8" t="str">
        <v>Ant International links 150 million merchants with AI payments</v>
      </c>
      <c r="I8" t="str">
        <v>46142</v>
      </c>
      <c r="J8" t="str">
        <v>Market Pulse</v>
      </c>
      <c r="K8" t="str">
        <v>SEA</v>
      </c>
      <c r="L8" t="str">
        <v>Technology</v>
      </c>
      <c r="M8" t="str">
        <v>Open banking/ API</v>
      </c>
      <c r="N8" t="str">
        <v>Technology | Open banking/ API</v>
      </c>
      <c r="O8" t="str">
        <v>Ant International ra mắt AMP – Giao thức agentic payment đầu tiên cho mobile</v>
      </c>
      <c r="P8" t="str">
        <v>Tại diễn đàn cấp cao thường niên về công nghệ tài chính (fintech) MoMents 2026 ở Kuala Lumpur, Malaysia,Ant International công bố chiến lược mới nhấn mạnh sự phối hợp giữa các dịch vụ Thanh toán Toàn cầu (Alipay+), Tài khoản Toàn cầu (Antom, WorldFirst) và Tài chính Toàn diện &amp; Tích hợp dựa trên AI, được xây dựng dựa trên những tiến bộ về AI và khả năng tương tác. Là nền tảng cho hoạt động kinh doanh, các dịch vụ thanh toán toàn cầu của Ant International hỗ trợ hơn 300 phương thức thanh toán, bao gồm hơn 10 hệ thống mã QR quốc gia cùng 50 ví điện tử và ứng dụng ngân hàng, đạt trung bình hơn 20 triệu giao dịch mỗi ngày
Sản phẩm nổi bật: 
Giao thức AMP mã nguồn mở – khung thanh toán dựa trên tác nhân đầu tiên trên thế giới được thiết kế cho giao diện di động – nhằm thúc đẩy thương mại AI; 
Nền tảng AI dưới dạng dịch vụ GenAI Cockpit;
AI SHIELD xác định các giao dịch rủi ro cao với độ chính xác trên 95%, đồng thời cải thiện tỷ lệ thanh toán thành công lên đến 13,5%; 
Falcon TST FX đưa ra các dự báo dài hạn với độ chính xác tới 93% để quản lý dòng tiền và rủi ro ngoại hối, giảm chi phí ngoại hối của công ty tới 60%;
EPOS360 POS SME ứng dụng tiên phong dành cho doanh nghiệp vừa và nhỏ (SME) được hỗ trợ bởi trí tuệ nhân tạo (AI), tích hợp các công cụ AI thiết thực với hệ thống POS, thanh toán, ngân hàng, tài chính và các hoạt động tăng trưởng; 
Antom Copilot cung cấp khả năng tự động hóa và hỗ trợ cho các nhà bán hàng dựa trên các trường hợp thực tế, giúp cải thiện hiệu quả của các dịch vụ như xử lý tranh chấp bồi hoàn (chargeback) lên đến 46%
Tại Việt Nam, công ty hợp tác với NAPAS và Vietcombank để triển khai dịch vụ thanh toán mã QR xuyên biên giới, đồng thời cũng đang làm việc với chính quyền TP.HCM nhằm phát triển Trung tâm Tài chính Quốc tế (IFC)</v>
      </c>
      <c r="Q8" s="38" t="str">
        <v/>
      </c>
      <c r="R8" s="38" t="str">
        <v/>
      </c>
      <c r="S8" t="str">
        <v/>
      </c>
      <c r="T8" t="str">
        <v>4.8</v>
      </c>
      <c r="U8" t="str">
        <v>4.5</v>
      </c>
      <c r="V8" t="str">
        <v/>
      </c>
      <c r="W8" t="str">
        <v/>
      </c>
      <c r="X8" t="str">
        <v>4.68</v>
      </c>
      <c r="Y8" t="str">
        <v>Fintech/ Đầu tư</v>
      </c>
      <c r="Z8" t="str">
        <v/>
      </c>
    </row>
    <row r="9" spans="1:26">
      <c r="A9" t="str">
        <v>363</v>
      </c>
      <c r="B9" t="str">
        <v>https://www.bloomberg.com/news/articles/2026-04-29/uber-adds-hotel-bookings-to-its-app-through-new-expedia-partnership</v>
      </c>
      <c r="C9" t="str">
        <v>Uber tích hợp đặt khách sạn qua Expedia – Super-app ride+food+travel đang hình thành tại Mỹ</v>
      </c>
      <c r="D9" t="str">
        <v>Bloomberg</v>
      </c>
      <c r="E9" t="str">
        <v>5 - Industry disruption</v>
      </c>
      <c r="F9" t="str">
        <v>18</v>
      </c>
      <c r="G9" t="str">
        <v>46145</v>
      </c>
      <c r="H9" t="str">
        <v>Uber adds hotel bookings to its app through new Expedia partnership</v>
      </c>
      <c r="I9" t="str">
        <v>46141</v>
      </c>
      <c r="J9" t="str">
        <v>Market Pulse</v>
      </c>
      <c r="K9" t="str">
        <v>Quốc tế</v>
      </c>
      <c r="L9" t="str">
        <v>Economic</v>
      </c>
      <c r="M9" t="str">
        <v>Business model change</v>
      </c>
      <c r="N9" t="str">
        <v>Economic | Business model change</v>
      </c>
      <c r="O9" t="str">
        <v>Uber tích hợp đặt khách sạn qua Expedia – Super-app ride+food+travel đang hình thành tại Mỹ</v>
      </c>
      <c r="P9" t="str">
        <v>Uber hợp tác Expedia tích hợp đặt 700.000+ khách sạn trực tiếp trong app, triển khai đầu tại Mỹ và mở rộng quốc tế. Người dùng tại Mỹ có thể truy cập hơn 700.000 khách sạn, với ưu đãi cho Uber One members nhận 10% Uber credits và giảm ít nhất 20%. Thêm AI voice booking, Travel Mode với gợi ý địa điểm + OpenTable + Uber Eats giao đến khách sạn. Uber rides cũng sẽ tích hợp vào Expedia app từ tháng 6/2026. Vrbo sẽ thêm vào cuối 2026. Việc tích hợp booking lưu trú giúp Uber kết nối hành trình đi lại – ăn uống – lưu trú trong một trải nghiệm liền mạch, củng cố tham vọng “everything app”</v>
      </c>
      <c r="Q9" s="38" t="str">
        <v/>
      </c>
      <c r="R9" s="38" t="str">
        <v/>
      </c>
      <c r="S9" t="str">
        <v/>
      </c>
      <c r="T9" t="str">
        <v>4</v>
      </c>
      <c r="U9" t="str">
        <v>5</v>
      </c>
      <c r="V9" t="str">
        <v/>
      </c>
      <c r="W9" t="str">
        <v/>
      </c>
      <c r="X9" t="str">
        <v>4.4</v>
      </c>
      <c r="Y9" t="str">
        <v>Ride-hailing / Delivery</v>
      </c>
      <c r="Z9" t="str">
        <v/>
      </c>
    </row>
    <row r="10" spans="1:26">
      <c r="A10" t="str">
        <v>364</v>
      </c>
      <c r="B10" t="str">
        <v>https://genk.vn/nguoi-viet-mua-gi-ma-moi-ngay-chot-toi-126-trieu-san-pham-tren-san-tmdt-165260429075817689.chn</v>
      </c>
      <c r="C10" t="str">
        <v>Người Việt chốt 126 triệu sản phẩm/ngày trên TMĐT – Số liệu thực tế quy mô thị trường</v>
      </c>
      <c r="D10" t="str">
        <v>GenK</v>
      </c>
      <c r="E10" t="str">
        <v>4 - Strategic shift</v>
      </c>
      <c r="F10" t="str">
        <v>18</v>
      </c>
      <c r="G10" t="str">
        <v>46145</v>
      </c>
      <c r="H10" t="str">
        <v>Người Việt mua gì mà mỗi ngày chốt tới 126 triệu sản phẩm trên sàn TMĐT</v>
      </c>
      <c r="I10" t="str">
        <v>46141</v>
      </c>
      <c r="J10" t="str">
        <v>Market Pulse</v>
      </c>
      <c r="K10" t="str">
        <v>Trong nước</v>
      </c>
      <c r="L10" t="str">
        <v>Economic</v>
      </c>
      <c r="M10" t="str">
        <v>Business model change</v>
      </c>
      <c r="N10" t="str">
        <v>Economic | Business model change</v>
      </c>
      <c r="O10" t="str">
        <v>Người Việt chốt 126 triệu sản phẩm/ngày trên TMĐT – Số liệu thực tế quy mô thị trường</v>
      </c>
      <c r="P10" t="str">
        <v>Theo báo cáo Thị trường sàn bán lẻ trực tuyến quý I/2026 của nền tảng tổng hợp và khai thác dữ liệu Metric.vn, quý I sàn thương mại điện tử (TMĐT) ghi nhận tổng sản lượng 1.138,6 triệu sản phẩm, tương ứng mức tăng 19,7% so với cùng kỳ năm 2025. Với thời gian thống kê từ ngày 1/1 đến 31/3, bình quân mỗi ngày người Việt chốt khoảng 12,6 triệu sản phẩm trên 4 sàn Shopee, Lazada, Tiki và TikTok Shop
Cùng với sản lượng tăng, doanh số toàn thị trường đạt 148,6 nghìn tỷ đồng, tăng 46,6% so với cùng kỳ năm trước. Số shop phát sinh đơn hàng đạt 490,9 nghìn shop, tăng 3,91%
Top doanh số theo danh mục: Nhóm Làm đẹp dẫn đầu về doanh số với 24.427,3 tỷ đồng. Đây cũng là ngành đứng đầu toàn thị trường trong quý đầu năm. Xếp sau là Nhà cửa - Đời sống với doanh số 18.246 tỷ đồng, tiếp đến là Thời trang nữ đạt 20.953,71 tỷ đồng. Ở nhóm hàng tiêu dùng, Bách hóa - Thực phẩm đạt 9.111,96 tỷ đồng doanh số. Điện thoại và Máy tính bảng đạt 7.133,65 tỷ đồng, trong khi Thời trang nam đạt 9.464,42 tỷ đồng.
Top tốc độ tăng trưởng doanh số theo danh mục: Thời trang nam là ngành tăng mạnh nhất với 151,08% so với cùng kỳ năm trước. Theo sau là Phụ kiện thời trang tăng 92,88%, Thời trang nữ tăng 74,75%, Giày dép nữ tăng 45,27% và Điện thoại &amp; Máy tính bảng tăng 44,73%
Top sản phẩm bán ra theo số lượng: Nhà cửa - Đời sống dẫn đầu với 210,96 triệu sản phẩm. Làm đẹp đứng thứ hai với 159,96 triệu sản phẩm, tiếp theo là Thời trang nữ với 146,15 triệu sản phẩm
Top sàn theo số lượng sản phẩm: Shopee dẫn đầu (629 triệu sp, 55%), TikTok Shop thứ 2 (289 triệu, 25%)</v>
      </c>
      <c r="Q10" s="38" t="str">
        <v/>
      </c>
      <c r="R10" s="38" t="str">
        <v/>
      </c>
      <c r="S10" t="str">
        <v/>
      </c>
      <c r="T10" t="str">
        <v>4</v>
      </c>
      <c r="U10" t="str">
        <v>4.5</v>
      </c>
      <c r="V10" t="str">
        <v/>
      </c>
      <c r="W10" t="str">
        <v/>
      </c>
      <c r="X10" t="str">
        <v>4.2</v>
      </c>
      <c r="Y10" t="str">
        <v>TMĐT</v>
      </c>
      <c r="Z10" t="str">
        <v/>
      </c>
    </row>
    <row r="11" spans="1:26">
      <c r="A11" t="str">
        <v>365</v>
      </c>
      <c r="B11" t="str">
        <v>https://baotintuc.vn/thi-truong-tien-te/giao-hang-nhanh-dinh-hinh-lai-cuoc-dua-thuong-mai-dien-tu-20260416172320540.htm</v>
      </c>
      <c r="C11" t="str">
        <v>Giao Hàng Nhanh tái định vị để chiếm lợi thế trong cuộc đua TMĐT</v>
      </c>
      <c r="D11" t="str">
        <v>Báo Tin Tức</v>
      </c>
      <c r="E11" t="str">
        <v>4 - Strategic shift</v>
      </c>
      <c r="F11" t="str">
        <v>18</v>
      </c>
      <c r="G11" t="str">
        <v>46145</v>
      </c>
      <c r="H11" t="str">
        <v>Giao hàng nhanh định hình lại cuộc đua thương mại điện tử</v>
      </c>
      <c r="I11" t="str">
        <v>46128</v>
      </c>
      <c r="J11" t="str">
        <v>Market Pulse</v>
      </c>
      <c r="K11" t="str">
        <v>Trong nước</v>
      </c>
      <c r="L11" t="str">
        <v>Economic</v>
      </c>
      <c r="M11" t="str">
        <v>Business model change</v>
      </c>
      <c r="N11" t="str">
        <v>Economic | Business model change</v>
      </c>
      <c r="O11" t="str">
        <v>Giao Hàng Nhanh tái định vị để chiếm lợi thế trong cuộc đua TMĐT</v>
      </c>
      <c r="P11" t="str">
        <v>Giao Hàng Nhanh (GHN) đang tái định vị vai trò từ đơn vị giao vận sang đối tác hạ tầng TMĐT, tham gia sâu hơn vào khâu vận hành và tối ưu đơn hàng cho nhà bán.
Doanh nghiệp tập trung vào tốc độ giao hàng, kiểm soát chi phí và giải pháp đặc thù cho người bán nhỏ – vừa, thay vì chạy đua mở rộng bằng trợ giá.
Động thái này diễn ra khi cuộc cạnh tranh TMĐT chuyển từ “đốt tiền lấy thị phần” sang tối ưu hiệu quả và trải nghiệm.</v>
      </c>
      <c r="Q11" s="38" t="str">
        <v/>
      </c>
      <c r="R11" s="38" t="str">
        <v/>
      </c>
      <c r="S11" t="str">
        <v/>
      </c>
      <c r="T11" t="str">
        <v>4</v>
      </c>
      <c r="U11" t="str">
        <v>4</v>
      </c>
      <c r="V11" t="str">
        <v/>
      </c>
      <c r="W11" t="str">
        <v/>
      </c>
      <c r="X11" t="str">
        <v>4</v>
      </c>
      <c r="Y11" t="str">
        <v>Ride-hailing / Delivery</v>
      </c>
      <c r="Z11" t="str">
        <v/>
      </c>
    </row>
    <row r="12" spans="1:26">
      <c r="A12" t="str">
        <v>366</v>
      </c>
      <c r="B12" t="str">
        <v>https://www.techinasia.com/airwallex-launch-indonesia-vietnam-southeast-asia-push</v>
      </c>
      <c r="C12" t="str">
        <v>Airwallex chính thức mở rộng hoạt động sang Indonesia và Việt Nam</v>
      </c>
      <c r="D12" t="str">
        <v>Tech in Asia</v>
      </c>
      <c r="E12" t="str">
        <v>4 - Strategic shift</v>
      </c>
      <c r="F12" t="str">
        <v>18</v>
      </c>
      <c r="G12" t="str">
        <v>46145</v>
      </c>
      <c r="H12" t="str">
        <v>Airwallex launches in Indonesia and Vietnam as part of Southeast Asia push</v>
      </c>
      <c r="I12" t="str">
        <v>46136</v>
      </c>
      <c r="J12" t="str">
        <v>Market Pulse</v>
      </c>
      <c r="K12" t="str">
        <v>SEA</v>
      </c>
      <c r="L12" t="str">
        <v>Economic</v>
      </c>
      <c r="M12" t="str">
        <v>Funding/ Investment</v>
      </c>
      <c r="N12" t="str">
        <v>Economic | Funding/ Investment</v>
      </c>
      <c r="O12" t="str">
        <v>Airwallex chính thức mở rộng hoạt động sang Indonesia và Việt Nam</v>
      </c>
      <c r="P12" t="str">
        <v xml:space="preserve">Airwallex, fintech đa tiền tệ và thanh toán xuyên biên giới, chính thức ra mắt tại Indonesia và Việt Nam trong năm 2026 sau mua lại giấy phép: CTIN Pay (Việt Nam, trung gian thanh toán) năm 2025 và Skye Sab (Indonesia, dịch vụ thanh toán), đưa hai thị trường này vào trọng tâm chiến lược mở rộng tại Đông Nam Á.
Tại Việt Nam, Airwallex cung cấp hệ sinh thái tài chính toàn cầu cho doanh nghiệp xuất khẩu, tập trung chiến lược vào hai hệ sinh thái trọng tâm: Game/App và Ecommerce - ưu tiên doanh nghiệp cần thanh toán xuyên biên giới nhanh, tiết kiệm chi phí so VNPAY/MoMo
Sản phẩm chính: Cổng thanh toán quốc tế (60+ tiền tệ, phí thấp minh bạch, API linh hoạt, PCI DSS), Tài khoản Toàn cầu (nhận tiền nội địa Mỹ/EU/Úc/SG/HK không phí SWIFT, hỗ trợ VND 0,6%), Chuyển tiền quốc tế (tỷ giá liên ngân hàng), Thẻ doanh nghiệp đa tiền tệ (cashback), và Banking-as-a-Service nhúng cho nền tảng
</v>
      </c>
      <c r="Q12" s="38" t="str">
        <v/>
      </c>
      <c r="R12" s="38" t="str">
        <v/>
      </c>
      <c r="S12" t="str">
        <v/>
      </c>
      <c r="T12" t="str">
        <v>4</v>
      </c>
      <c r="U12" t="str">
        <v>4</v>
      </c>
      <c r="V12" t="str">
        <v/>
      </c>
      <c r="W12" t="str">
        <v/>
      </c>
      <c r="X12" t="str">
        <v>4</v>
      </c>
      <c r="Y12" t="str">
        <v>Fintech/ Đầu tư</v>
      </c>
      <c r="Z12" t="str">
        <v/>
      </c>
    </row>
    <row r="13" spans="1:26">
      <c r="A13" t="str">
        <v>367</v>
      </c>
      <c r="B13" t="str">
        <v>https://www.techinasia.com/news/tiktok-launches-restaurant-recommendation-service-indonesia</v>
      </c>
      <c r="C13" t="str">
        <v>TikTok ra dịch vụ gợi ý nhà hàng tại Indonesia – Mở rộng sang local services, cạnh tranh Grab</v>
      </c>
      <c r="D13" t="str">
        <v>Tech in Asia</v>
      </c>
      <c r="E13" t="str">
        <v>4 - Strategic shift</v>
      </c>
      <c r="F13" t="str">
        <v>18</v>
      </c>
      <c r="G13" t="str">
        <v>46145</v>
      </c>
      <c r="H13" t="str">
        <v>TikTok launches restaurant recommendation service in Indonesia</v>
      </c>
      <c r="I13" t="str">
        <v>46140</v>
      </c>
      <c r="J13" t="str">
        <v>Market Pulse</v>
      </c>
      <c r="K13" t="str">
        <v>SEA</v>
      </c>
      <c r="L13" t="str">
        <v>Technology</v>
      </c>
      <c r="M13" t="str">
        <v>AI/ Gen AI</v>
      </c>
      <c r="N13" t="str">
        <v>Technology | AI/ Gen AI</v>
      </c>
      <c r="O13" t="str">
        <v>TikTok ra dịch vụ gợi ý nhà hàng tại Indonesia – Mở rộng sang local services, cạnh tranh Grab</v>
      </c>
      <c r="P13" t="str">
        <v>TikTok ra mắt dịch vụ gợi ý nhà hàng tại Indonesia mang tên TikTok Go by Tokopedia, kết nối nội dung video, livestream và tìm kiếm với trải nghiệm ăn uống ngoài đời thực. Việc TikTok chuyển từ “đề xuất nội dung” sang dẫn dắt hành vi tiêu dùng offline cho thấy mạng xã hội đang tiến sâu vào local services &amp; commerce
Người dùng có thể xem video → tìm địa điểm → mua voucher → đến quán, trong khi creator được hưởng hoa hồng từ giao dịch, mở ra mô hình kiếm tiền mới cho hệ sinh thái.
Dịch vụ tận dụng hành vi khám phá ẩm thực trên TikTok trong bối cảnh Indonesia có hơn 5,2 triệu doanh nghiệp F&amp;B và nhu cầu tìm quán qua nền tảng số tăng mạnh.</v>
      </c>
      <c r="Q13" s="38" t="str">
        <v/>
      </c>
      <c r="R13" s="38" t="str">
        <v/>
      </c>
      <c r="S13" t="str">
        <v/>
      </c>
      <c r="T13" t="str">
        <v>4</v>
      </c>
      <c r="U13" t="str">
        <v>4</v>
      </c>
      <c r="V13" t="str">
        <v/>
      </c>
      <c r="W13" t="str">
        <v/>
      </c>
      <c r="X13" t="str">
        <v>4</v>
      </c>
      <c r="Y13" t="str">
        <v>TMĐT</v>
      </c>
      <c r="Z13" t="str">
        <v/>
      </c>
    </row>
    <row r="14" spans="1:26">
      <c r="A14" t="str">
        <v>368</v>
      </c>
      <c r="B14" t="str">
        <v>https://techcrunch.com/2026/04/30/tiktoks-new-campus-hub-features-college-group-chats-and-feeds/</v>
      </c>
      <c r="C14" t="str">
        <v>TikTok mở rộng đối tượng Sinh viên với tính năng Campus Hub</v>
      </c>
      <c r="D14" t="str">
        <v>TechCrunch</v>
      </c>
      <c r="E14" t="str">
        <v>4 - Strategic shift</v>
      </c>
      <c r="F14" t="str">
        <v>18</v>
      </c>
      <c r="G14" t="str">
        <v>46145</v>
      </c>
      <c r="H14" t="str">
        <v>TikTok's new campus hub features college group chats and feeds</v>
      </c>
      <c r="I14" t="str">
        <v>46142</v>
      </c>
      <c r="J14" t="str">
        <v>Market Pulse</v>
      </c>
      <c r="K14" t="str">
        <v>Quốc tế</v>
      </c>
      <c r="L14" t="str">
        <v>Technology</v>
      </c>
      <c r="M14" t="str">
        <v>AI/ Gen AI</v>
      </c>
      <c r="N14" t="str">
        <v>Technology | AI/ Gen AI</v>
      </c>
      <c r="O14" t="str">
        <v>TikTok mở rộng đối tượng Sinh viên với tính năng Campus Hub</v>
      </c>
      <c r="P14" t="str">
        <v>TikTok ra mắt Campus Hub tại Mỹ, bổ sung group chat và feed riêng cho sinh viên từng trường đại học (&gt;6.000 trường đại học qua UNiDAYS), nhằm tăng tương tác theo cộng đồng khép kín.
Tính năng chính: College Group Chats (tạo/tham gia nhóm 300 bạn cùng trường, chỉ verified students, tổ chức reunion/họp học); College Feeds cá nhân hóa nội dung từ sinh viên trường + cập nhật xu hướng/sự kiện.
Campus Hub được xem là nỗ lực giữ chân nhóm người dùng trẻ Gen Z, gắn TikTok với đời sống hàng ngày chứ không chỉ là nền tảng giải trí ngắn hạn.</v>
      </c>
      <c r="Q14" s="38" t="str">
        <v>46142</v>
      </c>
      <c r="R14" s="38" t="str">
        <v/>
      </c>
      <c r="S14" t="str">
        <v/>
      </c>
      <c r="T14" t="str">
        <v>4</v>
      </c>
      <c r="U14" t="str">
        <v>4</v>
      </c>
      <c r="V14" t="str">
        <v/>
      </c>
      <c r="W14" t="str">
        <v/>
      </c>
      <c r="X14" t="str">
        <v>4</v>
      </c>
      <c r="Y14" t="str">
        <v>MXH/ Chat/ Giải trí</v>
      </c>
      <c r="Z14" t="str">
        <v/>
      </c>
    </row>
    <row r="15" spans="1:26">
      <c r="A15" t="str">
        <v>369</v>
      </c>
      <c r="B15" t="str">
        <v>https://vnexpress.net/bidv-cung-cac-doi-tac-trien-khai-dich-vu-thanh-toan-qr-viet-han-5066506.html</v>
      </c>
      <c r="C15" t="str">
        <v>BIDV mở rộng thanh toán QR xuyên biên giới Việt – Hàn</v>
      </c>
      <c r="D15" t="str">
        <v>VnExpress</v>
      </c>
      <c r="E15" t="str">
        <v>4 - Strategic shift</v>
      </c>
      <c r="F15" t="str">
        <v>18</v>
      </c>
      <c r="G15" t="str">
        <v>46145</v>
      </c>
      <c r="H15" t="str">
        <v>BIDV cùng các đối tác triển khai dịch vụ thanh toán QR Việt-Hàn</v>
      </c>
      <c r="I15" t="str">
        <v>46137</v>
      </c>
      <c r="J15" t="str">
        <v>Market Pulse</v>
      </c>
      <c r="K15" t="str">
        <v>Trong nước</v>
      </c>
      <c r="L15" t="str">
        <v>Technology</v>
      </c>
      <c r="M15" t="str">
        <v>Open banking/ API</v>
      </c>
      <c r="N15" t="str">
        <v>Technology | Open banking/ API</v>
      </c>
      <c r="O15" t="str">
        <v>BIDV mở rộng thanh toán QR xuyên biên giới Việt – Hàn</v>
      </c>
      <c r="P15" t="str">
        <v>BIDV phối hợp với đối tác Hàn Quốc triển khai dịch vụ thanh toán QR Việt–Hàn, cho phép khách Hàn Quốc thanh toán tại Việt Nam và ngược lại bằng ứng dụng ngân hàng nội địa.
Giải pháp tận dụng kết nối hạ tầng QR quốc gia của hai nước, giúp người dùng không cần đổi tiền mặt hay tải thêm ví mới.
Dịch vụ nhắm tới nhóm khách du lịch, lao động và doanh nghiệp hai chiều Việt–Hàn, nơi có giao thương và di chuyển lớn.
Việc BIDV đẩy mạnh thanh toán QR xuyên biên giới cho thấy ngân hàng Việt đang chủ động trong sân chơi cross‑border payments, tạo áp lực cạnh tranh trực tiếp lên ví điện tử và mở ra tiền lệ để Việt Nam tham gia sâu hơn vào mạng lưới QR khu vực.</v>
      </c>
      <c r="Q15" s="38" t="str">
        <v/>
      </c>
      <c r="R15" s="38" t="str">
        <v/>
      </c>
      <c r="S15" t="str">
        <v/>
      </c>
      <c r="T15" t="str">
        <v>4</v>
      </c>
      <c r="U15" t="str">
        <v>4</v>
      </c>
      <c r="V15" t="str">
        <v/>
      </c>
      <c r="W15" t="str">
        <v/>
      </c>
      <c r="X15" t="str">
        <v>4</v>
      </c>
      <c r="Y15" t="str">
        <v>Fintech/ Đầu tư</v>
      </c>
      <c r="Z15" t="str">
        <v/>
      </c>
    </row>
    <row r="16" spans="1:26">
      <c r="A16" t="str">
        <v>370</v>
      </c>
      <c r="B16" t="str">
        <v>https://www.techinasia.com/news/ant-international-upgrades-alipay-with-privacy-tech</v>
      </c>
      <c r="C16" t="str">
        <v>Ant International tăng cường công nghệ bảo mật để mở rộng Alipay toàn cầu</v>
      </c>
      <c r="D16" t="str">
        <v>Tech in Asia</v>
      </c>
      <c r="E16" t="str">
        <v>4 - Strategic shift</v>
      </c>
      <c r="F16" t="str">
        <v>18</v>
      </c>
      <c r="G16" t="str">
        <v>46145</v>
      </c>
      <c r="H16" t="str">
        <v>Ant International upgrades Alipay with privacy tech</v>
      </c>
      <c r="I16" t="str">
        <v>46140</v>
      </c>
      <c r="J16" t="str">
        <v>Market Pulse</v>
      </c>
      <c r="K16" t="str">
        <v>SEA</v>
      </c>
      <c r="L16" t="str">
        <v>Technology</v>
      </c>
      <c r="M16" t="str">
        <v>Open banking/ API</v>
      </c>
      <c r="N16" t="str">
        <v>Technology | Open banking/ API</v>
      </c>
      <c r="O16" t="str">
        <v>Ant International tăng cường công nghệ bảo mật để mở rộng Alipay toàn cầu</v>
      </c>
      <c r="P16" t="str">
        <v>Ant International nâng cấp Alipay với loạt công nghệ bảo vệ quyền riêng tư, tập trung vào mã hóa dữ liệu, xử lý phân tách và kiểm soát truy cập theo ngữ cảnh.
Các cải tiến nhằm giúp Alipay đáp ứng yêu cầu tuân thủ chặt chẽ tại nhiều thị trường, đặc biệt trong các kịch bản thanh toán xuyên biên giới.
Ant nhấn mạnh cách tiếp cận “privacy‑by‑design”, coi bảo mật và tuân thủ là nền tảng cho tăng trưởng quốc tế dài hạn.
Việc Alipay đầu tư mạnh vào privacy tech cho thấy niềm tin và tuân thủ đang trở thành lợi thế cạnh tranh cốt lõi của fintech toàn cầu, tạo áp lực để các ví và nền tảng thanh toán tại Việt Nam nâng chuẩn bảo mật nếu muốn tham gia sâu hơn vào hệ sinh thái thanh toán khu vực và quốc tế.</v>
      </c>
      <c r="Q16" s="38" t="str">
        <v/>
      </c>
      <c r="R16" s="38" t="str">
        <v/>
      </c>
      <c r="S16" t="str">
        <v/>
      </c>
      <c r="T16" t="str">
        <v>4</v>
      </c>
      <c r="U16" t="str">
        <v>4</v>
      </c>
      <c r="V16" t="str">
        <v/>
      </c>
      <c r="W16" t="str">
        <v/>
      </c>
      <c r="X16" t="str">
        <v>4</v>
      </c>
      <c r="Y16" t="str">
        <v>Fintech/ Đầu tư</v>
      </c>
      <c r="Z16" t="str">
        <v/>
      </c>
    </row>
    <row r="17" spans="1:26">
      <c r="A17" t="str">
        <v>371</v>
      </c>
      <c r="B17" t="str">
        <v>https://vnexpress.net/nhieu-ngan-hang-dung-chuyen-tien-nhanh-tren-500-trieu-dong-5063913.html</v>
      </c>
      <c r="C17" t="str">
        <v>Nhiều ngân hàng VN dừng chuyển tiền nhanh &gt;500 triệu đồng – Siết quy định thanh toán tức thì lớn</v>
      </c>
      <c r="D17" t="str">
        <v>VnExpress</v>
      </c>
      <c r="E17" t="str">
        <v>4 - Strategic shift</v>
      </c>
      <c r="F17" t="str">
        <v>18</v>
      </c>
      <c r="G17" t="str">
        <v>46145</v>
      </c>
      <c r="H17" t="str">
        <v>Nhiều ngân hàng dừng chuyển tiền nhanh trên 500 triệu đồng</v>
      </c>
      <c r="I17" t="str">
        <v>46133</v>
      </c>
      <c r="J17" t="str">
        <v>Market Pulse</v>
      </c>
      <c r="K17" t="str">
        <v>Trong nước</v>
      </c>
      <c r="L17" t="str">
        <v>Legal</v>
      </c>
      <c r="M17" t="str">
        <v>Fintech/ Wallet</v>
      </c>
      <c r="N17" t="str">
        <v>Legal | Fintech/ Wallet</v>
      </c>
      <c r="O17" t="str">
        <v>Nhiều ngân hàng VN dừng chuyển tiền nhanh &gt;500 triệu đồng – Siết quy định thanh toán tức thì lớn</v>
      </c>
      <c r="P17" t="str">
        <v>Nhiều ngân hàng như Eximbank, TPBank, VPBank dừng tính năng tự động chia nhỏ giao dịch trên 500 triệu đồng, khiến các khoản chuyển liên ngân hàng giá trị lớn không còn đi qua kênh Napas 24/7.
Các giao dịch từ 500 triệu đồng trở lên sẽ chuyển sang luồng chuyển khoản thường, có thể mất vài giờ hoặc sang ngày làm việc kế tiếp nếu ngoài giờ hành chính. Việc điều chỉnh nhằm tuân thủ quy định mới của Ngân hàng Nhà nước, tăng kiểm soát rủi ro và phòng chống gian lận, rửa tiền trong giao dịch giá trị lớn.</v>
      </c>
      <c r="Q17" s="38" t="str">
        <v/>
      </c>
      <c r="R17" s="38" t="str">
        <v/>
      </c>
      <c r="S17" t="str">
        <v/>
      </c>
      <c r="T17" t="str">
        <v>4</v>
      </c>
      <c r="U17" t="str">
        <v>3.5</v>
      </c>
      <c r="V17" t="str">
        <v/>
      </c>
      <c r="W17" t="str">
        <v/>
      </c>
      <c r="X17" t="str">
        <v>3.8</v>
      </c>
      <c r="Y17" t="str">
        <v>Fintech/ Đầu tư</v>
      </c>
      <c r="Z17" t="str">
        <v/>
      </c>
    </row>
    <row r="18" spans="1:26">
      <c r="A18" t="str">
        <v>372</v>
      </c>
      <c r="B18" t="str">
        <v>https://genk.vn/openclaw-moi-phien-ban-cloud-an-toan-tien-dung-cho-nguoi-viet-165260421151000535.chn</v>
      </c>
      <c r="C18" t="str">
        <v>OpenClaw ra phiên bản cloud cho người Việt – AI agent trên nền tảng đám mây</v>
      </c>
      <c r="D18" t="str">
        <v>GenK</v>
      </c>
      <c r="E18" t="str">
        <v>4 - Strategic shift</v>
      </c>
      <c r="F18" t="str">
        <v>18</v>
      </c>
      <c r="G18" t="str">
        <v>46145</v>
      </c>
      <c r="H18" t="str">
        <v>OpenClaw mới: Phiên bản cloud an toàn, tiện dụng cho người Việt</v>
      </c>
      <c r="I18" t="str">
        <v>46133</v>
      </c>
      <c r="J18" t="str">
        <v>Market Pulse</v>
      </c>
      <c r="K18" t="str">
        <v>Trong nước</v>
      </c>
      <c r="L18" t="str">
        <v>Technology</v>
      </c>
      <c r="M18" t="str">
        <v>AI/ Gen AI</v>
      </c>
      <c r="N18" t="str">
        <v>Technology | AI/ Gen AI</v>
      </c>
      <c r="O18" t="str">
        <v>OpenClaw ra phiên bản cloud cho người Việt – AI agent trên nền tảng đám mây</v>
      </c>
      <c r="P18" t="str">
        <v>OpenClaw ra mắt phiên bản cloud mới, tập trung vào bảo mật dữ liệu và trải nghiệm người dùng Việt, cho phép truy cập và quản lý tài nguyên từ xa thuận tiện hơn.
Nền tảng nhấn mạnh lưu trữ và xử lý dữ liệu trên cloud nội địa, giúp giảm độ trễ, tăng kiểm soát dữ liệu và phù hợp yêu cầu tuân thủ trong nước.
OpenClaw hướng tới người dùng cá nhân và doanh nghiệp nhỏ, cung cấp giải pháp cloud dễ dùng, chi phí hợp lý thay cho các dịch vụ quốc tế phức tạp.</v>
      </c>
      <c r="Q18" s="38" t="str">
        <v/>
      </c>
      <c r="R18" s="38" t="str">
        <v/>
      </c>
      <c r="S18" t="str">
        <v/>
      </c>
      <c r="T18" t="str">
        <v>3.6</v>
      </c>
      <c r="U18" t="str">
        <v>4</v>
      </c>
      <c r="V18" t="str">
        <v/>
      </c>
      <c r="W18" t="str">
        <v/>
      </c>
      <c r="X18" t="str">
        <v>3.76</v>
      </c>
      <c r="Y18" t="str">
        <v>AI</v>
      </c>
      <c r="Z18" t="str">
        <v/>
      </c>
    </row>
    <row r="19" spans="1:26">
      <c r="A19" t="str">
        <v>373</v>
      </c>
      <c r="B19" t="str">
        <v>https://vnexpress.net/cach-cong-ty-cong-nghe-trung-quoc-chuyen-hoa-ai-thanh-loi-nhuan-5061856.html</v>
      </c>
      <c r="C19" t="str">
        <v>Doanh nghiệp công nghệ Trung Quốc đẩy nhanh thương mại hóa AI để tạo lợi nhuận</v>
      </c>
      <c r="D19" t="str">
        <v>VnExpress</v>
      </c>
      <c r="E19" t="str">
        <v>4 - Strategic shift</v>
      </c>
      <c r="F19" t="str">
        <v>18</v>
      </c>
      <c r="G19" t="str">
        <v>46145</v>
      </c>
      <c r="H19" t="str">
        <v>Cách công ty công nghệ Trung Quốc chuyển hóa AI thành lợi nhuận</v>
      </c>
      <c r="I19" t="str">
        <v>46131</v>
      </c>
      <c r="J19" t="str">
        <v>Market Pulse</v>
      </c>
      <c r="K19" t="str">
        <v>Trung quốc</v>
      </c>
      <c r="L19" t="str">
        <v>Economic</v>
      </c>
      <c r="M19" t="str">
        <v>Business model change</v>
      </c>
      <c r="N19" t="str">
        <v>Economic | Business model change</v>
      </c>
      <c r="O19" t="str">
        <v>Doanh nghiệp công nghệ Trung Quốc đẩy nhanh thương mại hóa AI để tạo lợi nhuận</v>
      </c>
      <c r="P19" t="str">
        <v>Nhiều công ty công nghệ Trung Quốc đang chuyển trọng tâm từ nghiên cứu AI sang thương mại hóa, tích hợp AI trực tiếp vào sản phẩm và dịch vụ tạo doanh thu.
AI được ứng dụng mạnh trong quảng cáo, thương mại điện tử, cloud, dịch vụ doanh nghiệp và công cụ làm việc, giúp tối ưu chi phí và tăng hiệu suất vận hành.
Thay vì chạy đua mô hình lớn nhất, các doanh nghiệp ưu tiên AI “dùng được – bán được – sinh lời”, phù hợp nhu cầu thị trường nội địa quy mô lớn.
Alibaba: Dùng AI tăng hiệu quả quảng cáo và bán giải pháp AI/LLM qua Alibaba Cloud cho doanh nghiệp.
Tencent: Ứng dụng AI để tối ưu hiển thị quảng cáo và nội dung trong WeChat, mini‑program và game, gia tăng doanh thu trên mỗi người dùng.
Baidu: Thương mại hóa AI thông qua quảng cáo tìm kiếm thông minh và bán giải pháp AI cho doanh nghiệp, chính quyền.
ByteDance: AI âm thầm tối ưu phân phối nội dung và quảng cáo trên Douyin/TikTok để tăng doanh thu ads.
Meituan: AI trong dự báo nhu cầu, điều phối tài xế và tối ưu logistics, từ đây mở rộng biên lợi nhuận trong giao đồ ăn và local services</v>
      </c>
      <c r="Q19" s="38" t="str">
        <v/>
      </c>
      <c r="R19" s="38" t="str">
        <v/>
      </c>
      <c r="S19" t="str">
        <v/>
      </c>
      <c r="T19" t="str">
        <v>3.5</v>
      </c>
      <c r="U19" t="str">
        <v>4</v>
      </c>
      <c r="V19" t="str">
        <v/>
      </c>
      <c r="W19" t="str">
        <v/>
      </c>
      <c r="X19" t="str">
        <v>3.7</v>
      </c>
      <c r="Y19" t="str">
        <v>AI</v>
      </c>
      <c r="Z19" t="str">
        <v/>
      </c>
    </row>
    <row r="20" spans="1:26">
      <c r="A20" t="str">
        <v>374</v>
      </c>
      <c r="B20" t="str">
        <v>https://techcrunch.com/2026/04/21/yelps-updated-ai-assistant-can-answer-questions-and-book-a-restaurant-or-service-in-one-conversation/</v>
      </c>
      <c r="C20" t="str">
        <v>Yelp nâng cấp AI assistant thành “trợ lý hành động” cho ăn uống và dịch vụ</v>
      </c>
      <c r="D20" t="str">
        <v>TechCrunch</v>
      </c>
      <c r="E20" t="str">
        <v>4 - Strategic shift</v>
      </c>
      <c r="F20" t="str">
        <v>18</v>
      </c>
      <c r="G20" t="str">
        <v>46145</v>
      </c>
      <c r="H20" t="str">
        <v>Yelp's updated AI assistant can answer questions and book a restaurant in one conversation</v>
      </c>
      <c r="I20" t="str">
        <v>46133</v>
      </c>
      <c r="J20" t="str">
        <v>Market Pulse</v>
      </c>
      <c r="K20" t="str">
        <v>Quốc tế</v>
      </c>
      <c r="L20" t="str">
        <v>Technology</v>
      </c>
      <c r="M20" t="str">
        <v>AI/ Gen AI</v>
      </c>
      <c r="N20" t="str">
        <v>Technology | AI/ Gen AI</v>
      </c>
      <c r="O20" t="str">
        <v>Yelp nâng cấp AI assistant thành “trợ lý hành động” cho ăn uống và dịch vụ</v>
      </c>
      <c r="P20" t="str">
        <v>Yelp ra mắt phiên bản AI assistant mới có thể trả lời câu hỏi và hoàn tất đặt bàn/đặt dịch vụ trong cùng một cuộc hội thoại.
Tính năng chính: Trả lời câu hỏi phức tạp ("nhà hàng Ý gần đây có chỗ trống tối nay, món pasta ngon"), đặt bàn tự động qua Yelp Guest Manager/Vagaro/Zocdoc/Calendly, gọi delivery (DoorDash/Grubhub), dựa trên hàng triệu review thực tế
Tính năng này tận dụng dữ liệu đánh giá, bối cảnh và lịch trống để rút ngắn hành trình người dùng từ khám phá đến giao dịch.</v>
      </c>
      <c r="Q20" s="38" t="str">
        <v>46133</v>
      </c>
      <c r="R20" s="38" t="str">
        <v/>
      </c>
      <c r="S20" t="str">
        <v/>
      </c>
      <c r="T20" t="str">
        <v>3.5</v>
      </c>
      <c r="U20" t="str">
        <v>4</v>
      </c>
      <c r="V20" t="str">
        <v/>
      </c>
      <c r="W20" t="str">
        <v/>
      </c>
      <c r="X20" t="str">
        <v>3.7</v>
      </c>
      <c r="Y20" t="str">
        <v>Ride-hailing / Delivery</v>
      </c>
      <c r="Z20" t="str">
        <v/>
      </c>
    </row>
    <row r="21" spans="1:26">
      <c r="A21" t="str">
        <v>375</v>
      </c>
      <c r="B21" t="str">
        <v>https://techcrunch.com/2026/04/28/snapchat-brings-ai-powered-conversational-advertising-to-its-app/</v>
      </c>
      <c r="C21" t="str">
        <v>Snapchat đưa quảng cáo hội thoại bằng AI vào trải nghiệm người dùng</v>
      </c>
      <c r="D21" t="str">
        <v>TechCrunch</v>
      </c>
      <c r="E21" t="str">
        <v>4 - Strategic shift</v>
      </c>
      <c r="F21" t="str">
        <v>18</v>
      </c>
      <c r="G21" t="str">
        <v>46145</v>
      </c>
      <c r="H21" t="str">
        <v>Snapchat brings AI-powered conversational advertising to its app</v>
      </c>
      <c r="I21" t="str">
        <v>46140</v>
      </c>
      <c r="J21" t="str">
        <v>Market Pulse</v>
      </c>
      <c r="K21" t="str">
        <v>Quốc tế</v>
      </c>
      <c r="L21" t="str">
        <v>Technology</v>
      </c>
      <c r="M21" t="str">
        <v>AI/ Gen AI</v>
      </c>
      <c r="N21" t="str">
        <v>Technology | AI/ Gen AI</v>
      </c>
      <c r="O21" t="str">
        <v>Snapchat đưa quảng cáo hội thoại bằng AI vào trải nghiệm người dùng</v>
      </c>
      <c r="P21" t="str">
        <v>Snapchat ra mắt hình thức quảng cáo hội thoại chạy bằng AI -  AI Sponsored Snaps - kết hợp quy mô gần một tỷ người dùng hàng tháng với các cuộc trò chuyện do AI cung cấp để thúc đẩy sự tương tác, cho phép thương hiệu trò chuyện trực tiếp với người dùng thay vì chỉ hiển thị banner hay video
Người dùng có thể hỏi đáp, khám phá sản phẩm và nhận gợi ý cá nhân hóa ngay trong cuộc trò chuyện với chatbot của nhãn hàng.
Giải pháp được thiết kế nhằm tăng mức độ tương tác và đo lường hiệu quả quảng cáo sâu hơn, phù hợp với hành vi chat‑first của Gen Z.</v>
      </c>
      <c r="Q21" s="38" t="str">
        <v>46140</v>
      </c>
      <c r="R21" s="38" t="str">
        <v/>
      </c>
      <c r="S21" t="str">
        <v/>
      </c>
      <c r="T21" t="str">
        <v>3.5</v>
      </c>
      <c r="U21" t="str">
        <v>4</v>
      </c>
      <c r="V21" t="str">
        <v/>
      </c>
      <c r="W21" t="str">
        <v/>
      </c>
      <c r="X21" t="str">
        <v>3.7</v>
      </c>
      <c r="Y21" t="str">
        <v>MXH/ Chat/ Giải trí</v>
      </c>
      <c r="Z21" t="str">
        <v/>
      </c>
    </row>
    <row r="22" spans="1:26">
      <c r="A22" t="str">
        <v>376</v>
      </c>
      <c r="B22" t="str">
        <v>https://techcrunch.com/2026/04/23/whatsapp-adds-prepaid-phone-recharges-in-india-as-its-payments-usage-still-lags/</v>
      </c>
      <c r="C22" t="str">
        <v>WhatsApp mở rộng nạp tiền di động để thúc đẩy mảng thanh toán tại Ấn Độ</v>
      </c>
      <c r="D22" t="str">
        <v>TechCrunch</v>
      </c>
      <c r="E22" t="str">
        <v>4 - Strategic shift</v>
      </c>
      <c r="F22" t="str">
        <v>18</v>
      </c>
      <c r="G22" t="str">
        <v>46145</v>
      </c>
      <c r="H22" t="str">
        <v>WhatsApp adds prepaid phone recharges in India — payments still lags</v>
      </c>
      <c r="I22" t="str">
        <v>46135</v>
      </c>
      <c r="J22" t="str">
        <v>Market Pulse</v>
      </c>
      <c r="K22" t="str">
        <v>Quốc tế</v>
      </c>
      <c r="L22" t="str">
        <v>Technology</v>
      </c>
      <c r="M22" t="str">
        <v>Open banking/ API</v>
      </c>
      <c r="N22" t="str">
        <v>Technology | Open banking/ API</v>
      </c>
      <c r="O22" t="str">
        <v>WhatsApp mở rộng nạp tiền di động để thúc đẩy mảng thanh toán tại Ấn Độ</v>
      </c>
      <c r="P22" t="str">
        <v>WhatsApp hợp tác PayU thêm nạp tiền điện thoại trả trước tại Ấn Độ (Jio, Airtel, Vodafone), triển khai cho toàn bộ 500M+ người dùng. 
Việc triển khai mới nhất bổ sung vào nỗ lực rộng lớn hơn của WhatsApp nhằm mở rộng thanh toán và dịch vụ trong ứng dụng ở Ấn Độ, nơi người dùng đã có thể thanh toán hóa đơn, đặt vé tàu điện ngầm và truy cập một loạt các dịch vụ của chính phủ thông qua giao diện dựa trên trò chuyện
Tính năng mới nhằm tăng mức độ sử dụng WhatsApp Payments. Ứng dụng nhắn tin đã xử lý hơn 130 triệu giao dịch trong tháng 3, theo số liệu thống kê mới nhất từ Tập đoàn Thanh toán Quốc gia Ấn Độ, bỏ xa các đối thủ như PhonePe và Google Pay thuộc sở hữu của Walmart, xử lý lần lượt hơn 10,5 tỷ và 7,5 tỷ giao dịch trong cùng kỳ</v>
      </c>
      <c r="Q22" s="38" t="str">
        <v>46135</v>
      </c>
      <c r="R22" s="38" t="str">
        <v/>
      </c>
      <c r="S22" t="str">
        <v/>
      </c>
      <c r="T22" t="str">
        <v>3.5</v>
      </c>
      <c r="U22" t="str">
        <v>4</v>
      </c>
      <c r="V22" t="str">
        <v/>
      </c>
      <c r="W22" t="str">
        <v/>
      </c>
      <c r="X22" t="str">
        <v>3.7</v>
      </c>
      <c r="Y22" t="str">
        <v>MXH/ Chat/ Giải trí</v>
      </c>
      <c r="Z22" t="str">
        <v/>
      </c>
    </row>
    <row r="23" spans="1:26">
      <c r="A23" t="str">
        <v>377</v>
      </c>
      <c r="B23" t="str">
        <v>https://www.techinasia.com/news/indian-ecommerce-firms-build-agentic-ai-storefronts</v>
      </c>
      <c r="C23" t="str">
        <v>Thương mại điện tử Ấn Độ chuyển sang mô hình storefront dùng AI age</v>
      </c>
      <c r="D23" t="str">
        <v>Tech in Asia</v>
      </c>
      <c r="E23" t="str">
        <v>4 - Strategic shift</v>
      </c>
      <c r="F23" t="str">
        <v>18</v>
      </c>
      <c r="G23" t="str">
        <v>46145</v>
      </c>
      <c r="H23" t="str">
        <v>Indian ecommerce firms build agentic AI storefronts</v>
      </c>
      <c r="I23" t="str">
        <v>46137</v>
      </c>
      <c r="J23" t="str">
        <v>Market Pulse</v>
      </c>
      <c r="K23" t="str">
        <v>Quốc tế</v>
      </c>
      <c r="L23" t="str">
        <v>Technology</v>
      </c>
      <c r="M23" t="str">
        <v>AI/ Gen AI</v>
      </c>
      <c r="N23" t="str">
        <v>Technology | AI/ Gen AI</v>
      </c>
      <c r="O23" t="str">
        <v>Thương mại điện tử Ấn Độ chuyển sang mô hình storefront dùng AI age</v>
      </c>
      <c r="P23" t="str">
        <v>Các công ty TMĐT Ấn Độ đang xây dựng storefront sử dụng AI agent, cho phép khách hàng trò chuyện, hỏi đáp và mua sắm thay vì duyệt danh mục truyền thống.
AI agent có thể hiểu nhu cầu, gợi ý sản phẩm, so sánh giá và hoàn tất đơn hàng trong một luồng hội thoại liền mạch.
Mô hình này tận dụng hành vi mobile‑first và chatbot‑friendly của người dùng Ấn Độ, đồng thời giúp doanh nghiệp cá nhân hóa trải nghiệm ở quy mô lớn.</v>
      </c>
      <c r="Q23" s="38" t="str">
        <v/>
      </c>
      <c r="R23" s="38" t="str">
        <v/>
      </c>
      <c r="S23" t="str">
        <v/>
      </c>
      <c r="T23" t="str">
        <v>4</v>
      </c>
      <c r="U23" t="str">
        <v>3</v>
      </c>
      <c r="V23" t="str">
        <v/>
      </c>
      <c r="W23" t="str">
        <v/>
      </c>
      <c r="X23" t="str">
        <v>3.6</v>
      </c>
      <c r="Y23" t="str">
        <v>TMĐT</v>
      </c>
      <c r="Z23" t="str">
        <v/>
      </c>
    </row>
    <row r="24" spans="1:26">
      <c r="A24" t="str">
        <v>378</v>
      </c>
      <c r="B24" t="str">
        <v>https://techcrunch.com/2026/04/22/threads-is-adding-live-chats-to-boost-real-time-engagement/</v>
      </c>
      <c r="C24" t="str">
        <v>Threads bổ sung live chat để tăng tương tác theo thời gian thực</v>
      </c>
      <c r="D24" t="str">
        <v>TechCrunch</v>
      </c>
      <c r="E24" t="str">
        <v>4 - Strategic shift</v>
      </c>
      <c r="F24" t="str">
        <v>18</v>
      </c>
      <c r="G24" t="str">
        <v>46145</v>
      </c>
      <c r="H24" t="str">
        <v>Threads is adding live chats to boost real-time engagement</v>
      </c>
      <c r="I24" t="str">
        <v>46134</v>
      </c>
      <c r="J24" t="str">
        <v>Market Pulse</v>
      </c>
      <c r="K24" t="str">
        <v>Quốc tế</v>
      </c>
      <c r="L24" t="str">
        <v>Technology</v>
      </c>
      <c r="M24" t="str">
        <v>AI/ Gen AI</v>
      </c>
      <c r="N24" t="str">
        <v>Technology | AI/ Gen AI</v>
      </c>
      <c r="O24" t="str">
        <v>Threads bổ sung live chat để tăng tương tác theo thời gian thực</v>
      </c>
      <c r="P24" t="str">
        <v>Threads triển khai tính năng live chat, cho phép người dùng tham gia trò chuyện trực tiếp, theo dõi diễn biến tức thì theo chủ đề (thể thao, giải trí, sản phẩm) ngay trong ứng dụng với tối đa 150 người cùng lúc
Tính năng này nhằm thúc đẩy tương tác real‑time, vốn là điểm yếu của Threads so với X trong các cuộc thảo luận nóng.
Live chat được tích hợp gọn nhẹ, tập trung vào tốc độ và tính thời sự, thay vì xây dựng cộng đồng phức tạp.</v>
      </c>
      <c r="Q24" s="38" t="str">
        <v/>
      </c>
      <c r="R24" s="38" t="str">
        <v/>
      </c>
      <c r="S24" t="str">
        <v/>
      </c>
      <c r="T24" t="str">
        <v>4</v>
      </c>
      <c r="U24" t="str">
        <v>3</v>
      </c>
      <c r="V24" t="str">
        <v/>
      </c>
      <c r="W24" t="str">
        <v/>
      </c>
      <c r="X24" t="str">
        <v>3.6</v>
      </c>
      <c r="Y24" t="str">
        <v>MXH/ Chat/ Giải trí</v>
      </c>
      <c r="Z24" t="str">
        <v/>
      </c>
    </row>
    <row r="25" spans="1:26">
      <c r="A25" t="str">
        <v>379</v>
      </c>
      <c r="B25" t="str">
        <v>https://techcrunch.com/2026/04/23/meta-is-revamping-its-cross-app-management-system/</v>
      </c>
      <c r="C25" t="str">
        <v>Meta tái cấu trúc hệ thống quản lý tài khoản xuyên ứng dụng</v>
      </c>
      <c r="D25" t="str">
        <v>TechCrunch</v>
      </c>
      <c r="E25" t="str">
        <v>4 - Strategic shift</v>
      </c>
      <c r="F25" t="str">
        <v>18</v>
      </c>
      <c r="G25" t="str">
        <v>46145</v>
      </c>
      <c r="H25" t="str">
        <v>Meta is revamping its cross-app management system</v>
      </c>
      <c r="I25" t="str">
        <v>46135</v>
      </c>
      <c r="J25" t="str">
        <v>Market Pulse</v>
      </c>
      <c r="K25" t="str">
        <v>Quốc tế</v>
      </c>
      <c r="L25" t="str">
        <v>Technology</v>
      </c>
      <c r="M25" t="str">
        <v>AI/ Gen AI</v>
      </c>
      <c r="N25" t="str">
        <v>Technology | AI/ Gen AI</v>
      </c>
      <c r="O25" t="str">
        <v>Meta tái cấu trúc hệ thống quản lý tài khoản xuyên ứng dụng</v>
      </c>
      <c r="P25" t="str">
        <v>Meta ra mắt hệ thống Meta Account – hệ thống quản lý tài khoản thống nhất thay thế Accounts Center, đơn giản hóa đăng nhập và cài đặt bảo mật cho Facebook, Instagram, WhatsApp, Meta AI glasses... trên toàn hệ sinh thái
Tính năng chính: Mật khẩu duy nhất (bảo vệ Passkeys), 2FA/email tập trung, cảnh báo đăng nhập đa thiết bị, dashboard Family Center giám sát con cái đa app mà không cần chuyển đổi.
Hệ thống mới sẽ triển khai dần trong khoảng một năm, vẫn cho phép tách riêng tài khoản từng app nếu người dùng muốn.</v>
      </c>
      <c r="Q25" s="38" t="str">
        <v/>
      </c>
      <c r="R25" s="38" t="str">
        <v/>
      </c>
      <c r="S25" t="str">
        <v/>
      </c>
      <c r="T25" t="str">
        <v>3.6</v>
      </c>
      <c r="U25" t="str">
        <v>3.4</v>
      </c>
      <c r="V25" t="str">
        <v/>
      </c>
      <c r="W25" t="str">
        <v/>
      </c>
      <c r="X25" t="str">
        <v>3.52</v>
      </c>
      <c r="Y25" t="str">
        <v>MXH/ Chat/ Giải trí</v>
      </c>
      <c r="Z25" t="str">
        <v/>
      </c>
    </row>
    <row r="26" spans="1:26">
      <c r="A26" t="str">
        <v>380</v>
      </c>
      <c r="B26" t="str">
        <v>https://genk.vn/apple-tra-google-1-ty-usd-moi-nam-de-tich-hop-gemini-vao-siri-165262304152849967.chn</v>
      </c>
      <c r="C26" t="str">
        <v>Apple trả Google $1B/năm tích hợp Gemini vào Siri – AI partnership lớn nhất trong lịch sử mobile</v>
      </c>
      <c r="D26" t="str">
        <v>GenK</v>
      </c>
      <c r="E26" t="str">
        <v>4 - Strategic shift</v>
      </c>
      <c r="F26" t="str">
        <v>18</v>
      </c>
      <c r="G26" t="str">
        <v>46145</v>
      </c>
      <c r="H26" t="str">
        <v>Apple trả Google 1 tỷ USD mỗi năm để tích hợp Gemini vào Siri</v>
      </c>
      <c r="I26" t="str">
        <v>46135</v>
      </c>
      <c r="J26" t="str">
        <v>Market Pulse</v>
      </c>
      <c r="K26" t="str">
        <v>Quốc tế</v>
      </c>
      <c r="L26" t="str">
        <v>Economic</v>
      </c>
      <c r="M26" t="str">
        <v>Business model change</v>
      </c>
      <c r="N26" t="str">
        <v>Economic | Business model change</v>
      </c>
      <c r="O26" t="str">
        <v>Apple trả Google $1B/năm tích hợp Gemini vào Siri – AI partnership lớn nhất trong lịch sử mobile</v>
      </c>
      <c r="P26" t="str">
        <v>Apple được cho là trả khoảng 1 tỷ USD mỗi năm cho Google để tích hợp mô hình AI Gemini vào Siri, trong khuôn khổ hợp tác AI thế hệ mới giữa hai bên.
Động thái này nhằm nâng cấp đáng kể năng lực AI tạo sinh cho Siri, đặc biệt ở các tác vụ hỏi–đáp, suy luận và hỗ trợ người dùng phức tạp.
Thay vì tự xây dựng toàn bộ mô hình từ đầu, Apple chọn cách kết hợp AI nội bộ với mô hình hàng đầu bên ngoài để tăng tốc triển khai AI trên iOS.</v>
      </c>
      <c r="Q26" s="38" t="str">
        <v/>
      </c>
      <c r="R26" s="38" t="str">
        <v/>
      </c>
      <c r="S26" t="str">
        <v/>
      </c>
      <c r="T26" t="str">
        <v>3.5</v>
      </c>
      <c r="U26" t="str">
        <v>3.5</v>
      </c>
      <c r="V26" t="str">
        <v/>
      </c>
      <c r="W26" t="str">
        <v/>
      </c>
      <c r="X26" t="str">
        <v>3.5</v>
      </c>
      <c r="Y26" t="str">
        <v>AI</v>
      </c>
      <c r="Z26" t="str">
        <v/>
      </c>
    </row>
    <row r="27" spans="1:26">
      <c r="A27" t="str">
        <v>381</v>
      </c>
      <c r="B27" t="str">
        <v>https://techcrunch.com/2026/04/23/meta-will-now-allow-parents-to-see-the-topics-their-child-discussed-with-meta-ai/</v>
      </c>
      <c r="C27" t="str">
        <v>Meta cho phép phụ huynh theo dõi chủ đề con trao đổi với Meta A</v>
      </c>
      <c r="D27" t="str">
        <v>TechCrunch</v>
      </c>
      <c r="E27" t="str">
        <v>3 - Market signal</v>
      </c>
      <c r="F27" t="str">
        <v>18</v>
      </c>
      <c r="G27" t="str">
        <v>46145</v>
      </c>
      <c r="H27" t="str">
        <v>Meta will now allow parents to see the topics their child discussed with Meta AI</v>
      </c>
      <c r="I27" t="str">
        <v>46135</v>
      </c>
      <c r="J27" t="str">
        <v>Market Pulse</v>
      </c>
      <c r="K27" t="str">
        <v>Quốc tế</v>
      </c>
      <c r="L27" t="str">
        <v>Legal</v>
      </c>
      <c r="M27" t="str">
        <v>Social media regulation</v>
      </c>
      <c r="N27" t="str">
        <v>Legal | Social media regulation</v>
      </c>
      <c r="O27" t="str">
        <v>Meta cho phép phụ huynh theo dõi chủ đề con trao đổi với Meta A</v>
      </c>
      <c r="P27" t="str">
        <v>Meta cập nhật tính năng giám sát cho phụ huynh, cho phép cha mẹ xem các chủ đề mà con chưa đủ tuổi đã trao đổi với Meta AI, thay vì nội dung chi tiết.
Thay đổi này nhằm tăng minh bạch và an toàn cho trẻ em, trong bối cảnh AI ngày càng được tích hợp sâu vào các ứng dụng như Instagram và WhatsApp.
Meta khẳng định dữ liệu vẫn được ẩn chi tiết hội thoại, chỉ hiển thị ở mức tổng quát để cân bằng giữa quyền riêng tư và kiểm soát.</v>
      </c>
      <c r="Q27" s="38" t="str">
        <v/>
      </c>
      <c r="R27" s="38" t="str">
        <v/>
      </c>
      <c r="S27" t="str">
        <v/>
      </c>
      <c r="T27" t="str">
        <v>3.4</v>
      </c>
      <c r="U27" t="str">
        <v>3</v>
      </c>
      <c r="V27" t="str">
        <v/>
      </c>
      <c r="W27" t="str">
        <v/>
      </c>
      <c r="X27" t="str">
        <v>3.24</v>
      </c>
      <c r="Y27" t="str">
        <v>MXH/ Chat/ Giải trí</v>
      </c>
      <c r="Z27" t="str">
        <v/>
      </c>
    </row>
    <row r="28" spans="1:26">
      <c r="A28" t="str">
        <v>382</v>
      </c>
      <c r="B28" t="str">
        <v>https://techcrunch.com/2026/04/28/amazon-launches-an-ai-powered-audio-qa-experience-on-product-pages/</v>
      </c>
      <c r="C28" t="str">
        <v>Amazon đưa AI hỏi–đáp bằng giọng nói lên trang sản phẩm</v>
      </c>
      <c r="D28" t="str">
        <v>TechCrunch</v>
      </c>
      <c r="E28" t="str">
        <v>3 - Market signal</v>
      </c>
      <c r="F28" t="str">
        <v>18</v>
      </c>
      <c r="G28" t="str">
        <v>46145</v>
      </c>
      <c r="H28" t="str">
        <v>Amazon launches an AI-powered audio Q&amp;A experience on product pages</v>
      </c>
      <c r="I28" t="str">
        <v>46140</v>
      </c>
      <c r="J28" t="str">
        <v>Market Pulse</v>
      </c>
      <c r="K28" t="str">
        <v>Quốc tế</v>
      </c>
      <c r="L28" t="str">
        <v>Technology</v>
      </c>
      <c r="M28" t="str">
        <v>AI/ Gen AI</v>
      </c>
      <c r="N28" t="str">
        <v>Technology | AI/ Gen AI</v>
      </c>
      <c r="O28" t="str">
        <v>Amazon đưa AI hỏi–đáp bằng giọng nói lên trang sản phẩm</v>
      </c>
      <c r="P28" t="str">
        <v>Amazon ra mắt trải nghiệm hỏi–đáp bằng audio dùng AI "Joint the chat" ngay trên trang sản phẩm Amazon Shopping (Mỹ), cho phép người dùng nghe câu trả lời tóm tắt thay vì đọc mô tả dài.
Cách hoạt động: Người dùng tap "Hear highlights" &gt; "Join the chat", hỏi bằng text/voice ("máy pha cà phê này phù hợp người mới? áo này có ngứa không?"), AI tổng hợp specs/review/web data, trả lời real-time rồi tiếp tục audio
Tính năng hướng tới giảm thời gian cân nhắc và tăng tỷ lệ chuyển đổi, đặc biệt trên thiết bị di động và loa thông minh.</v>
      </c>
      <c r="Q28" s="38" t="str">
        <v>46136</v>
      </c>
      <c r="R28" s="38" t="str">
        <v/>
      </c>
      <c r="S28" t="str">
        <v/>
      </c>
      <c r="T28" t="str">
        <v>3.4</v>
      </c>
      <c r="U28" t="str">
        <v>3</v>
      </c>
      <c r="V28" t="str">
        <v/>
      </c>
      <c r="W28" t="str">
        <v/>
      </c>
      <c r="X28" t="str">
        <v>3.24</v>
      </c>
      <c r="Y28" t="str">
        <v>TMĐT</v>
      </c>
      <c r="Z28" t="str">
        <v/>
      </c>
    </row>
    <row r="29" spans="1:26">
      <c r="A29" t="str">
        <v>383</v>
      </c>
      <c r="B29" t="str">
        <v>https://www.techinasia.com/news/malaysian-fintech-ryt-bank-adds-pay-later-to-card-payments</v>
      </c>
      <c r="C29" t="str">
        <v>Fintech Malaysia đưa Pay Later vào thanh toán thẻ để mở rộng chi tiêu</v>
      </c>
      <c r="D29" t="str">
        <v>Tech in Asia</v>
      </c>
      <c r="E29" t="str">
        <v>3 - Market signal</v>
      </c>
      <c r="F29" t="str">
        <v>18</v>
      </c>
      <c r="G29" t="str">
        <v>46145</v>
      </c>
      <c r="H29" t="str">
        <v>Malaysian fintech RYT Bank adds pay-later to card payments</v>
      </c>
      <c r="I29" t="str">
        <v>46136</v>
      </c>
      <c r="J29" t="str">
        <v>Market Pulse</v>
      </c>
      <c r="K29" t="str">
        <v>SEA</v>
      </c>
      <c r="L29" t="str">
        <v>Economic</v>
      </c>
      <c r="M29" t="str">
        <v>Business model change</v>
      </c>
      <c r="N29" t="str">
        <v>Economic | Business model change</v>
      </c>
      <c r="O29" t="str">
        <v>Fintech Malaysia đưa Pay Later vào thanh toán thẻ để mở rộng chi tiêu</v>
      </c>
      <c r="P29" t="str">
        <v>Ryt Bank (Malaysia) tích hợp tính năng Pay Later trực tiếp vào thanh toán thẻ, cho phép chọn trả ngay hoặc trả sau lên đến RM1,499 không cần giấy tờ, 0% lãi nếu thanh toán kỳ đầu.
Chiến lược: Tạo siêu thẻ linh hoạt debit/credit, cashback quốc tế, không phí rút ATM nội địa; cạnh tranh BNPL truyền thống bằng tích hợp liền mạch app AI.
Sản phẩm tập trung: PayLater theo kỳ hạn 3-12 tháng, quản lý chi tiêu real-time, phù hợp Gen Z mua sắm nhỏ lẻ.</v>
      </c>
      <c r="Q29" s="38" t="str">
        <v>46135</v>
      </c>
      <c r="R29" s="38" t="str">
        <v/>
      </c>
      <c r="S29" t="str">
        <v/>
      </c>
      <c r="T29" t="str">
        <v>3.3</v>
      </c>
      <c r="U29" t="str">
        <v>3.1</v>
      </c>
      <c r="V29" t="str">
        <v/>
      </c>
      <c r="W29" t="str">
        <v/>
      </c>
      <c r="X29" t="str">
        <v>3.22</v>
      </c>
      <c r="Y29" t="str">
        <v>Fintech/ Đầu tư</v>
      </c>
      <c r="Z29" t="str">
        <v/>
      </c>
    </row>
    <row r="30" spans="1:26">
      <c r="A30" t="str">
        <v>384</v>
      </c>
      <c r="B30" t="str">
        <v>https://techcrunch.com/2026/04/30/x-announces-a-rebuilt-ad-platform-powered-by-ai/</v>
      </c>
      <c r="C30" t="str">
        <v>X tái xây dựng nền tảng quảng cáo, đặt AI làm lõi vận hành</v>
      </c>
      <c r="D30" t="str">
        <v>TechCrunch</v>
      </c>
      <c r="E30" t="str">
        <v>3 - Market signal</v>
      </c>
      <c r="F30" t="str">
        <v>18</v>
      </c>
      <c r="G30" t="str">
        <v>46145</v>
      </c>
      <c r="H30" t="str">
        <v>X announces a rebuilt ad platform powered by AI</v>
      </c>
      <c r="I30" t="str">
        <v>46142</v>
      </c>
      <c r="J30" t="str">
        <v>Market Pulse</v>
      </c>
      <c r="K30" t="str">
        <v>Quốc tế</v>
      </c>
      <c r="L30" t="str">
        <v>Technology</v>
      </c>
      <c r="M30" t="str">
        <v>AI/ Gen AI</v>
      </c>
      <c r="N30" t="str">
        <v>Technology | AI/ Gen AI</v>
      </c>
      <c r="O30" t="str">
        <v>X tái xây dựng nền tảng quảng cáo, đặt AI làm lõi vận hành</v>
      </c>
      <c r="P30" t="str">
        <v>X công bố nền tảng quảng cáo được xây dựng lại từ đầu, sử dụng AI để tự động hóa việc nhắm mục tiêu, sáng tạo nội dung và tối ưu phân phối.
Hệ thống mới cho phép nhãn hàng tạo, thử nghiệm và điều chỉnh quảng cáo nhanh hơn, giảm phụ thuộc vào thao tác thủ công của đội marketing.
Động thái này nhằm phục hồi doanh thu quảng cáo, trong bối cảnh nhiều nhà quảng cáo từng rút lui vì lo ngại hiệu quả và an toàn thương hiệu.</v>
      </c>
      <c r="Q30" s="38" t="str">
        <v>46142</v>
      </c>
      <c r="R30" s="38" t="str">
        <v/>
      </c>
      <c r="S30" t="str">
        <v/>
      </c>
      <c r="T30" t="str">
        <v>3.3</v>
      </c>
      <c r="U30" t="str">
        <v>3</v>
      </c>
      <c r="V30" t="str">
        <v/>
      </c>
      <c r="W30" t="str">
        <v/>
      </c>
      <c r="X30" t="str">
        <v>3.18</v>
      </c>
      <c r="Y30" t="str">
        <v>MXH/ Chat/ Giải trí</v>
      </c>
      <c r="Z30" t="str">
        <v/>
      </c>
    </row>
    <row r="31" spans="1:26">
      <c r="A31" t="str">
        <v>385</v>
      </c>
      <c r="B31" t="str">
        <v>https://techcrunch.com/2026/04/23/x-is-shutting-down-communities-because-of-low-usage-and-lots-of-spam/</v>
      </c>
      <c r="C31" t="str">
        <v>X đóng cửa tính năng Communities do ít người dùng và spam lan tràn</v>
      </c>
      <c r="D31" t="str">
        <v>TechCrunch</v>
      </c>
      <c r="E31" t="str">
        <v>3 - Market signal</v>
      </c>
      <c r="F31" t="str">
        <v>18</v>
      </c>
      <c r="G31" t="str">
        <v>46145</v>
      </c>
      <c r="H31" t="str">
        <v>X is shutting down Communities because of low usage and lots of spam</v>
      </c>
      <c r="I31" t="str">
        <v>46135</v>
      </c>
      <c r="J31" t="str">
        <v>Market Pulse</v>
      </c>
      <c r="K31" t="str">
        <v>Quốc tế</v>
      </c>
      <c r="L31" t="str">
        <v>Technology</v>
      </c>
      <c r="M31" t="str">
        <v>AI/ Gen AI</v>
      </c>
      <c r="N31" t="str">
        <v>Technology | AI/ Gen AI</v>
      </c>
      <c r="O31" t="str">
        <v>X đóng cửa tính năng Communities do ít người dùng và spam lan tràn</v>
      </c>
      <c r="P31" t="str">
        <v>X thông báo sẽ đóng cửa Communities, tính năng cho phép tạo nhóm thảo luận theo chủ đề, do mức độ sử dụng thấp và bị spam nghiêm trọng.
Theo X, Communities không đạt được mục tiêu tạo không gian thảo luận chất lượng, trong khi chi phí kiểm duyệt ngày càng lớn.
Động thái diễn ra trong bối cảnh X tinh gọn sản phẩm và tập trung nguồn lực vào các ưu tiên khác như video, creator và quảng cáo.</v>
      </c>
      <c r="Q31" s="38" t="str">
        <v/>
      </c>
      <c r="R31" s="38" t="str">
        <v/>
      </c>
      <c r="S31" t="str">
        <v/>
      </c>
      <c r="T31" t="str">
        <v>3.3</v>
      </c>
      <c r="U31" t="str">
        <v>3</v>
      </c>
      <c r="V31" t="str">
        <v/>
      </c>
      <c r="W31" t="str">
        <v/>
      </c>
      <c r="X31" t="str">
        <v>3.18</v>
      </c>
      <c r="Y31" t="str">
        <v>MXH/ Chat/ Giải trí</v>
      </c>
      <c r="Z31" t="str">
        <v/>
      </c>
    </row>
    <row r="32" spans="1:26">
      <c r="A32" t="str">
        <v>386</v>
      </c>
      <c r="B32" t="str">
        <v>https://techcrunch.com/2026/04/30/netflix-wants-you-to-watch-clips-its-tiktok-like-vertical-video-feed/</v>
      </c>
      <c r="C32" t="str">
        <v>Netflix thử nghiệm feed video dọc kiểu TikTok để tăng khám phá nội dung</v>
      </c>
      <c r="D32" t="str">
        <v>TechCrunch</v>
      </c>
      <c r="E32" t="str">
        <v>3 - Market signal</v>
      </c>
      <c r="F32" t="str">
        <v>18</v>
      </c>
      <c r="G32" t="str">
        <v>46145</v>
      </c>
      <c r="H32" t="str">
        <v>Netflix wants you to watch clips — its TikTok-like vertical video feed</v>
      </c>
      <c r="I32" t="str">
        <v>46142</v>
      </c>
      <c r="J32" t="str">
        <v>Market Pulse</v>
      </c>
      <c r="K32" t="str">
        <v>Quốc tế</v>
      </c>
      <c r="L32" t="str">
        <v>Technology</v>
      </c>
      <c r="M32" t="str">
        <v>AI/ Gen AI</v>
      </c>
      <c r="N32" t="str">
        <v>Technology | AI/ Gen AI</v>
      </c>
      <c r="O32" t="str">
        <v>Netflix thử nghiệm feed video dọc kiểu TikTok để tăng khám phá nội dung</v>
      </c>
      <c r="P32" t="str">
        <v>Netflix đang thử nghiệm feed video dọc gồm các clip ngắn từ phim và series, cho phép người dùng lướt xem, lưu hoặc phát ngay nội dung đầy đủ. Rollout từ 01/05/2026 (Mỹ, Anh, Úc, Canada, Ấn Độ, Malaysia...)
Tính năng nhắm tới việc giữ chân và tăng thời gian xem, đặc biệt khi Netflix hiện có hơn 260 triệu thuê bao toàn cầu, nhưng phải cạnh tranh mạnh với TikTok và YouTube Shorts.
Netflix cho biết phần lớn lượt xem đến từ hệ thống gợi ý, và feed clip dọc được thiết kế để đẩy nhanh hành trình khám phá nội dung, thay vì tìm kiếm thủ công.</v>
      </c>
      <c r="Q32" s="38" t="str">
        <v>46143</v>
      </c>
      <c r="R32" s="38" t="str">
        <v/>
      </c>
      <c r="S32" t="str">
        <v/>
      </c>
      <c r="T32" t="str">
        <v>3.3</v>
      </c>
      <c r="U32" t="str">
        <v>3</v>
      </c>
      <c r="V32" t="str">
        <v/>
      </c>
      <c r="W32" t="str">
        <v/>
      </c>
      <c r="X32" t="str">
        <v>3.18</v>
      </c>
      <c r="Y32" t="str">
        <v>MXH/ Chat/ Giải trí</v>
      </c>
      <c r="Z32" t="str">
        <v/>
      </c>
    </row>
    <row r="33" spans="1:26">
      <c r="A33" t="str">
        <v>387</v>
      </c>
      <c r="B33" t="str">
        <v>https://vnexpress.net/vcci-chua-den-2-ho-kinh-doanh-muon-mo-rong-hoat-dong-5066152.html</v>
      </c>
      <c r="C33" t="str">
        <v>Chưa đến 2% hộ kinh doanh VN muốn mở rộng</v>
      </c>
      <c r="D33" t="str">
        <v>VnExpress</v>
      </c>
      <c r="E33" t="str">
        <v>3 - Market signal</v>
      </c>
      <c r="F33" t="str">
        <v>18</v>
      </c>
      <c r="G33" t="str">
        <v>46145</v>
      </c>
      <c r="H33" t="str">
        <v>VCCI: Chưa đến 2% hộ kinh doanh muốn mở rộng hoạt động</v>
      </c>
      <c r="I33" t="str">
        <v>46135</v>
      </c>
      <c r="J33" t="str">
        <v>Market Pulse</v>
      </c>
      <c r="K33" t="str">
        <v>Trong nước</v>
      </c>
      <c r="L33" t="str">
        <v>Economic</v>
      </c>
      <c r="M33" t="str">
        <v>Business model change</v>
      </c>
      <c r="N33" t="str">
        <v>Economic | Business model change</v>
      </c>
      <c r="O33" t="str">
        <v>Chưa đến 2% hộ kinh doanh VN muốn mở rộng</v>
      </c>
      <c r="P33" t="str">
        <v>Theo VCCI, chưa đến 2% hộ kinh doanh có mong muốn mở rộng quy mô, dù khu vực này chiếm tỷ trọng lớn trong nền kinh tế.
Phần lớn hộ kinh doanh ngại chuyển lên mô hình doanh nghiệp do lo chi phí tuân thủ, thuế, kế toán và rủi ro pháp lý.
Môi trường kinh doanh hiện tại bị đánh giá là chưa đủ khuyến khích “lớn lên”, khiến khu vực kinh tế hộ duy trì ở quy mô nhỏ, phi chính thức.</v>
      </c>
      <c r="Q33" s="38" t="str">
        <v/>
      </c>
      <c r="R33" s="38" t="str">
        <v/>
      </c>
      <c r="S33" t="str">
        <v/>
      </c>
      <c r="T33" t="str">
        <v>3.2</v>
      </c>
      <c r="U33" t="str">
        <v>3</v>
      </c>
      <c r="V33" t="str">
        <v/>
      </c>
      <c r="W33" t="str">
        <v/>
      </c>
      <c r="X33" t="str">
        <v>3.12</v>
      </c>
      <c r="Y33" t="str">
        <v>Doanh nghiệp</v>
      </c>
      <c r="Z33" t="str">
        <v/>
      </c>
    </row>
    <row r="34" spans="1:26">
      <c r="A34" t="str">
        <v>388</v>
      </c>
      <c r="B34" t="str">
        <v>https://techcrunch.com/2026/04/28/youtube-is-testing-an-ai-powered-search-feature-that-shows-guided-answers/</v>
      </c>
      <c r="C34" t="str">
        <v>YouTube thử nghiệm tìm kiếm AI trả lời có hướng dẫn</v>
      </c>
      <c r="D34" t="str">
        <v>TechCrunch</v>
      </c>
      <c r="E34" t="str">
        <v>3 - Market signal</v>
      </c>
      <c r="F34" t="str">
        <v>18</v>
      </c>
      <c r="G34" t="str">
        <v>46145</v>
      </c>
      <c r="H34" t="str">
        <v>YouTube is testing an AI-powered search feature that shows guided answers</v>
      </c>
      <c r="I34" t="str">
        <v>46140</v>
      </c>
      <c r="J34" t="str">
        <v>Market Pulse</v>
      </c>
      <c r="K34" t="str">
        <v>Quốc tế</v>
      </c>
      <c r="L34" t="str">
        <v>Technology</v>
      </c>
      <c r="M34" t="str">
        <v>AI/ Gen AI</v>
      </c>
      <c r="N34" t="str">
        <v>Technology | AI/ Gen AI</v>
      </c>
      <c r="O34" t="str">
        <v>YouTube thử nghiệm tìm kiếm AI trả lời có hướng dẫn</v>
      </c>
      <c r="P34" t="str">
        <v>YouTube đang thử nghiệm tính năng tìm kiếm dùng AI "Ask Youtube" tại Mỹ dành cho người dùng premium tại Mỹ trên 18 tuổi, hiển thị các câu trả lời tổng hợp kèm video liên quan thay vì chỉ danh sách kết quả.
Tính năng giúp người dùng nhanh chóng nắm nội dung chính, đặc biệt với các truy vấn học tập như du lịch, mua sắm hoặc hướng dẫn kỹ thuật.
AI search được thiết kế để giữ người dùng trong hệ sinh thái YouTube, giảm nhu cầu tìm kiếm qua Google hay nền tảng khác.</v>
      </c>
      <c r="Q34" s="38" t="str">
        <v>46140</v>
      </c>
      <c r="R34" s="38" t="str">
        <v/>
      </c>
      <c r="S34" t="str">
        <v/>
      </c>
      <c r="T34" t="str">
        <v>3.2</v>
      </c>
      <c r="U34" t="str">
        <v>3</v>
      </c>
      <c r="V34" t="str">
        <v/>
      </c>
      <c r="W34" t="str">
        <v/>
      </c>
      <c r="X34" t="str">
        <v>3.12</v>
      </c>
      <c r="Y34" t="str">
        <v>MXH/ Chat/ Giải trí</v>
      </c>
      <c r="Z34" t="str">
        <v/>
      </c>
    </row>
    <row r="35" spans="1:26">
      <c r="A35" t="str">
        <v>389</v>
      </c>
      <c r="B35" t="str">
        <v>https://vneconomy.vn/techconnect/nguoi-thu-nhap-cao-ung-dung-ai-hang-ngay-trong-cong-viec.htm</v>
      </c>
      <c r="C35" t="str">
        <v>Nhóm thu nhập cao dẫn đầu xu hướng ứng dụng AI trong công việc</v>
      </c>
      <c r="D35" t="str">
        <v>VNEconomy</v>
      </c>
      <c r="E35" t="str">
        <v>3 - Market signal</v>
      </c>
      <c r="F35" t="str">
        <v>18</v>
      </c>
      <c r="G35" t="str">
        <v>46145</v>
      </c>
      <c r="H35" t="str">
        <v>Người thu nhập cao ứng dụng AI hàng ngày trong công việc</v>
      </c>
      <c r="I35" t="str">
        <v>46134</v>
      </c>
      <c r="J35" t="str">
        <v>Market Pulse</v>
      </c>
      <c r="K35" t="str">
        <v>Quốc tế</v>
      </c>
      <c r="L35" t="str">
        <v>Social</v>
      </c>
      <c r="M35" t="str">
        <v>Digital adoption</v>
      </c>
      <c r="N35" t="str">
        <v>Social | Digital adoption</v>
      </c>
      <c r="O35" t="str">
        <v>Nhóm thu nhập cao dẫn đầu xu hướng ứng dụng AI trong công việc</v>
      </c>
      <c r="P35" t="str">
        <v>Hơn 60% lao động có thu nhập cao cho biết họ sử dụng AI hàng ngày trong công việc, trong khi con số này ở nhóm thu nhập thấp chỉ là 16%. Khảo sát 4.000 lao động tại Mỹ và Anh cho thấy những người có trình độ và kỹ năng tốt tận dụng AI vượt trội trong phân tích, viết, lập kế hoạch và ra quyết định.
AI được xem là công cụ tăng năng suất và chất lượng lao động, giúp tiết kiệm thời gian và tạo lợi thế cạnh tranh cá nhân.
Nhóm này có xu hướng chủ động thử nghiệm công nghệ mới, coi AI là kỹ năng thiết yếu chứ không chỉ là công cụ hỗ trợ.</v>
      </c>
      <c r="Q35" s="38" t="str">
        <v/>
      </c>
      <c r="R35" s="38" t="str">
        <v/>
      </c>
      <c r="S35" t="str">
        <v/>
      </c>
      <c r="T35" t="str">
        <v>3.1</v>
      </c>
      <c r="U35" t="str">
        <v>3.1</v>
      </c>
      <c r="V35" t="str">
        <v/>
      </c>
      <c r="W35" t="str">
        <v/>
      </c>
      <c r="X35" t="str">
        <v>3.1</v>
      </c>
      <c r="Y35" t="str">
        <v>AI</v>
      </c>
      <c r="Z35" t="str">
        <v/>
      </c>
    </row>
    <row r="36" spans="1:26">
      <c r="A36" t="str">
        <v>393</v>
      </c>
      <c r="B36" t="str">
        <v>https://vneconomy.vn/techconnect/con-sot-anthropic-dinh-gia-cham-moc-nghin-ty-usd-tren-thi-truong-thu-cap-vuot-openai.htm</v>
      </c>
      <c r="C36" t="str">
        <v>Anthropic định giá $1 nghìn tỷ trên thị trường thứ cấp – Vượt OpenAI, AI vendor cung cấp cho super-app tăng giá trị</v>
      </c>
      <c r="D36" t="str">
        <v>VNEconomy</v>
      </c>
      <c r="E36" t="str">
        <v>3 - Market signal</v>
      </c>
      <c r="F36" t="str">
        <v>18</v>
      </c>
      <c r="G36" t="str">
        <v>46145</v>
      </c>
      <c r="H36" t="str">
        <v>Cơn sốt Anthropic: Định giá chạm mốc nghìn tỷ USD trên thị trường thứ cấp, vượt OpenAI</v>
      </c>
      <c r="I36" t="str">
        <v>46137</v>
      </c>
      <c r="J36" t="str">
        <v>Market Pulse</v>
      </c>
      <c r="K36" t="str">
        <v>Quốc tế</v>
      </c>
      <c r="L36" t="str">
        <v>Economic</v>
      </c>
      <c r="M36" t="str">
        <v>Funding/ Investment</v>
      </c>
      <c r="N36" t="str">
        <v>Economic | Funding/ Investment</v>
      </c>
      <c r="O36" t="str">
        <v>Anthropic định giá $1 nghìn tỷ trên thị trường thứ cấp – Vượt OpenAI, AI vendor cung cấp cho super-app tăng giá trị</v>
      </c>
      <c r="P36" t="str">
        <v>Anthropic ghi nhận mức định giá trên thị trường thứ cấp tăng vọt, tiệm cận mốc nghìn tỷ USD, phản ánh nhu cầu mạnh mẽ từ nhà đầu tư đối với các công ty AI nền tảng hàng đầu.
Đà tăng này diễn ra trong bối cảnh Claude được đánh giá cao về lập luận, an toàn và khả năng ứng dụng doanh nghiệp, giúp Anthropic nổi lên như đối trọng trực tiếp với OpenAI.
Việc định giá trên thị trường thứ cấp vượt OpenAI cho thấy nhà đầu tư sẵn sàng trả premium cho mô hình AI tập trung enterprise &amp; safety‑first, dù công ty chưa IPO</v>
      </c>
      <c r="Q36" s="38" t="str">
        <v/>
      </c>
      <c r="R36" s="38" t="str">
        <v/>
      </c>
      <c r="S36" t="str">
        <v/>
      </c>
      <c r="T36" t="str">
        <v>3.1</v>
      </c>
      <c r="U36" t="str">
        <v>3</v>
      </c>
      <c r="V36" t="str">
        <v/>
      </c>
      <c r="W36" t="str">
        <v/>
      </c>
      <c r="X36" t="str">
        <v>3.06</v>
      </c>
      <c r="Y36" t="str">
        <v>AI</v>
      </c>
      <c r="Z36" t="str">
        <v/>
      </c>
    </row>
    <row r="37" spans="1:26">
      <c r="A37" t="str">
        <v>394</v>
      </c>
      <c r="B37" t="str">
        <v>https://genk.vn/chatgpt-images-20-ra-mat-cong-cu-tao-anh-biet-suy-nghi-truoc-khi-ve-lam-duoc-ban-do-lich-su-manga-hoan-chinh-chi-trong-mot-cau-lenh-165260422142412177.chn</v>
      </c>
      <c r="C37" t="str">
        <v>ChatGPT Images 2.0 ra mắt – Tạo ảnh với khả năng suy luận: manga, bản đồ lịch sử từ 1 câu lệnh</v>
      </c>
      <c r="D37" t="str">
        <v>GenK</v>
      </c>
      <c r="E37" t="str">
        <v>3 - Market signal</v>
      </c>
      <c r="F37" t="str">
        <v>18</v>
      </c>
      <c r="G37" t="str">
        <v>46145</v>
      </c>
      <c r="H37" t="str">
        <v>ChatGPT Images 2.0 ra mắt – công cụ tạo ảnh biết suy nghĩ trước khi vẽ</v>
      </c>
      <c r="I37" t="str">
        <v>46134</v>
      </c>
      <c r="J37" t="str">
        <v>Market Pulse</v>
      </c>
      <c r="K37" t="str">
        <v>Quốc tế</v>
      </c>
      <c r="L37" t="str">
        <v>Technology</v>
      </c>
      <c r="M37" t="str">
        <v>AI/ Gen AI</v>
      </c>
      <c r="N37" t="str">
        <v>Technology | AI/ Gen AI</v>
      </c>
      <c r="O37" t="str">
        <v>ChatGPT Images 2.0 ra mắt – Tạo ảnh với khả năng suy luận: manga, bản đồ lịch sử từ 1 câu lệnh</v>
      </c>
      <c r="P37" t="str">
        <v>ChatGPT Images 2.0 ra mắt công cụ tạo ảnh mới có khả năng “suy nghĩ trước khi vẽ”, cho phép mô hình lập kế hoạch bố cục, nội dung trước khi sinh ảnh.
Công cụ có thể tạo bản đồ lịch sử, sơ đồ phức tạp, manga nhiều khung liền mạch chỉ từ một câu lệnh, cải thiện rõ rệt tính logic và nhất quán hình ảnh.
Đây là bước tiến từ tạo ảnh “đẹp” sang tạo ảnh có cấu trúc, có ý đồ, phục vụ tốt hơn cho học tập, sáng tạo nội dung và thiết kế</v>
      </c>
      <c r="Q37" s="38" t="str">
        <v/>
      </c>
      <c r="R37" s="38" t="str">
        <v/>
      </c>
      <c r="S37" t="str">
        <v/>
      </c>
      <c r="T37" t="str">
        <v>3.1</v>
      </c>
      <c r="U37" t="str">
        <v>3</v>
      </c>
      <c r="V37" t="str">
        <v/>
      </c>
      <c r="W37" t="str">
        <v/>
      </c>
      <c r="X37" t="str">
        <v>3.06</v>
      </c>
      <c r="Y37" t="str">
        <v>AI</v>
      </c>
      <c r="Z37" t="str">
        <v/>
      </c>
    </row>
    <row r="38" spans="1:26">
      <c r="A38" t="str">
        <v>395</v>
      </c>
      <c r="B38" t="str">
        <v>https://vnexpress.net/deepseek-ra-mo-hinh-v4-5066619.html</v>
      </c>
      <c r="C38" t="str">
        <v>DeepSeek V4 ra mắt: context 1M token, giá thấp hơn 6x GPT-5.5, ra mắt cùng ngày GPT-5.5</v>
      </c>
      <c r="D38" t="str">
        <v>VnExpress</v>
      </c>
      <c r="E38" t="str">
        <v>3 - Market signal</v>
      </c>
      <c r="F38" t="str">
        <v>18</v>
      </c>
      <c r="G38" t="str">
        <v>46145</v>
      </c>
      <c r="H38" t="str">
        <v>DeepSeek ra mô hình V4</v>
      </c>
      <c r="I38" t="str">
        <v>46136</v>
      </c>
      <c r="J38" t="str">
        <v>Market Pulse</v>
      </c>
      <c r="K38" t="str">
        <v>Trung quốc</v>
      </c>
      <c r="L38" t="str">
        <v>Technology</v>
      </c>
      <c r="M38" t="str">
        <v>AI/ Gen AI</v>
      </c>
      <c r="N38" t="str">
        <v>Technology | AI/ Gen AI</v>
      </c>
      <c r="O38" t="str">
        <v>DeepSeek V4 ra mắt: context 1M token, giá thấp hơn 6x GPT-5.5, ra mắt cùng ngày GPT-5.5</v>
      </c>
      <c r="P38" t="str">
        <v>DeepSeek AI (Trung Quốc) ra mắt DeepSeek-V4 (preview 24/04/2026), bộ mô hình mã nguồn mở đầu tiên xử lý ngữ cảnh 1 triệu token, với 2 phiên bản: V4-Pro (1.6T tham số, giá $1.74/M input token, $3.48/M output) và V4-Flash (284B tham số, nhanh kinh tế)
Hiệu suất: Vượt Claude Sonnet 4.5 toán/coding/agent, tiếp cận Opus 4.6/GPT-5.5; mạnh ngữ cảnh dài, lập trình phức tạp, suy luận agent</v>
      </c>
      <c r="Q38" s="38" t="str">
        <v/>
      </c>
      <c r="R38" s="38" t="str">
        <v/>
      </c>
      <c r="S38" t="str">
        <v/>
      </c>
      <c r="T38" t="str">
        <v>3.1</v>
      </c>
      <c r="U38" t="str">
        <v>3</v>
      </c>
      <c r="V38" t="str">
        <v/>
      </c>
      <c r="W38" t="str">
        <v/>
      </c>
      <c r="X38" t="str">
        <v>3.06</v>
      </c>
      <c r="Y38" t="str">
        <v>AI</v>
      </c>
      <c r="Z38" t="str">
        <v/>
      </c>
    </row>
    <row r="39" spans="1:26">
      <c r="A39" t="str">
        <v>396</v>
      </c>
      <c r="B39" t="str">
        <v>https://genk.vn/ra-mat-gpt-55-mo-hinh-ai-thong-minh-nhat-cua-openai-canh-tranh-voi-opus-47-165260424104450811.chn</v>
      </c>
      <c r="C39" t="str">
        <v>GPT-5.5 ra mắt cạnh tranh Claude Opus 4.7</v>
      </c>
      <c r="D39" t="str">
        <v>GenK</v>
      </c>
      <c r="E39" t="str">
        <v>3 - Market signal</v>
      </c>
      <c r="F39" t="str">
        <v>18</v>
      </c>
      <c r="G39" t="str">
        <v>46145</v>
      </c>
      <c r="H39" t="str">
        <v>Ra mắt GPT-5.5 – Mô hình AI thông minh nhất của OpenAI, cạnh tranh với Opus 4.7</v>
      </c>
      <c r="I39" t="str">
        <v>46136</v>
      </c>
      <c r="J39" t="str">
        <v>Market Pulse</v>
      </c>
      <c r="K39" t="str">
        <v>Quốc tế</v>
      </c>
      <c r="L39" t="str">
        <v>Technology</v>
      </c>
      <c r="M39" t="str">
        <v>AI/ Gen AI</v>
      </c>
      <c r="N39" t="str">
        <v>Technology | AI/ Gen AI</v>
      </c>
      <c r="O39" t="str">
        <v>GPT-5.5 ra mắt cạnh tranh Claude Opus 4.7</v>
      </c>
      <c r="P39" t="str">
        <v>OpenAI ra mắt GPT‑5.5, được giới thiệu là mô hình AI thông minh nhất từ trước đến nay, nhắm trực diện vào các đối thủ cao cấp như Claude Opus 4.7.
GPT‑5.5 cải thiện mạnh về lập luận đa bước, hiểu ngữ cảnh dài, xử lý tác vụ phức tạp và đa phương thức, hướng tới khả năng làm việc như “AI agent”.</v>
      </c>
      <c r="Q39" s="38" t="str">
        <v/>
      </c>
      <c r="R39" s="38" t="str">
        <v/>
      </c>
      <c r="S39" t="str">
        <v/>
      </c>
      <c r="T39" t="str">
        <v>3.1</v>
      </c>
      <c r="U39" t="str">
        <v>3</v>
      </c>
      <c r="V39" t="str">
        <v/>
      </c>
      <c r="W39" t="str">
        <v/>
      </c>
      <c r="X39" t="str">
        <v>3.06</v>
      </c>
      <c r="Y39" t="str">
        <v>AI</v>
      </c>
      <c r="Z39" t="str">
        <v/>
      </c>
    </row>
    <row r="40" spans="1:26">
      <c r="A40" t="str">
        <v>397</v>
      </c>
      <c r="B40" t="str">
        <v>https://techcrunch.com/2026/04/25/anthropic-created-a-test-marketplace-for-agent-on-agent-commerce/</v>
      </c>
      <c r="C40" t="str">
        <v>Anthropic Project Deal: 186 giao dịch agent-to-agent, $4.000 giá trị – Kỷ nguyên AI commerce đang đến</v>
      </c>
      <c r="D40" t="str">
        <v>TechCrunch</v>
      </c>
      <c r="E40" t="str">
        <v>3 - Market signal</v>
      </c>
      <c r="F40" t="str">
        <v>18</v>
      </c>
      <c r="G40" t="str">
        <v>46145</v>
      </c>
      <c r="H40" t="str">
        <v>Anthropic created a test marketplace for agent-on-agent commerce</v>
      </c>
      <c r="I40" t="str">
        <v>46137</v>
      </c>
      <c r="J40" t="str">
        <v>Market Pulse</v>
      </c>
      <c r="K40" t="str">
        <v>Quốc tế</v>
      </c>
      <c r="L40" t="str">
        <v>Technology</v>
      </c>
      <c r="M40" t="str">
        <v>AI/ Gen AI</v>
      </c>
      <c r="N40" t="str">
        <v>Technology | AI/ Gen AI</v>
      </c>
      <c r="O40" t="str">
        <v>Anthropic Project Deal: 186 giao dịch agent-to-agent, $4.000 giá trị – Kỷ nguyên AI commerce đang đến</v>
      </c>
      <c r="P40" t="str">
        <v>Anthropic xây dựng một marketplace thử nghiệm nơi các AI agents có thể mua bán dịch vụ với nhau, đánh dấu bước đi thực tế đầu tiên cho khái niệm agent‑on‑agent commerce.
Marketplace này cho phép AI tự thuê AI khác thực hiện nhiệm vụ, thanh toán bằng token/credit trong môi trường kiểm soát nhằm nghiên cứu hành vi kinh tế của agent.
Mục tiêu chính là kiểm tra cách AI thương lượng, định giá, tuân thủ quy tắc và tránh hành vi thao túng, trước khi mở rộng sang kịch bản thương mại thực tế.</v>
      </c>
      <c r="Q40" s="38" t="str">
        <v/>
      </c>
      <c r="R40" s="38" t="str">
        <v/>
      </c>
      <c r="S40" t="str">
        <v/>
      </c>
      <c r="T40" t="str">
        <v>3.1</v>
      </c>
      <c r="U40" t="str">
        <v>3</v>
      </c>
      <c r="V40" t="str">
        <v/>
      </c>
      <c r="W40" t="str">
        <v/>
      </c>
      <c r="X40" t="str">
        <v>3.06</v>
      </c>
      <c r="Y40" t="str">
        <v>AI</v>
      </c>
      <c r="Z40" t="str">
        <v/>
      </c>
    </row>
    <row r="41" spans="1:26">
      <c r="A41" t="str">
        <v>400</v>
      </c>
      <c r="B41" t="str">
        <v>https://www.momo.vn/tin-tuc/tin-tuc-su-kien/tu-30-4-di-xe-buyt-tphcm-mien-phi-ve-huong-dan-8686</v>
      </c>
      <c r="C41" t="str">
        <v>MoMo × Xe buýt TP.HCM: Thanh toán với QR MoMo</v>
      </c>
      <c r="D41" t="str">
        <v>MoMo Website</v>
      </c>
      <c r="E41" t="str">
        <v>4 - Strategic shift</v>
      </c>
      <c r="F41" t="str">
        <v>18</v>
      </c>
      <c r="G41" t="str">
        <v>46145</v>
      </c>
      <c r="H41" t="str">
        <v>Từ 30/4, đi xe buýt TP.HCM miễn phí vé: Hướng dẫn dùng QR MoMo để lên xe nhanh gọn!</v>
      </c>
      <c r="I41" t="str">
        <v>46136</v>
      </c>
      <c r="J41" t="str">
        <v>Players Movement</v>
      </c>
      <c r="K41" t="str">
        <v>MoMo</v>
      </c>
      <c r="L41" t="str">
        <v>Feature</v>
      </c>
      <c r="M41" t="str">
        <v>Payment capability upgrade</v>
      </c>
      <c r="N41" t="str">
        <v>Feature | Payment capability upgrade</v>
      </c>
      <c r="O41" t="str">
        <v>MoMo × Xe buýt TP.HCM: Thanh toán với QR MoMo</v>
      </c>
      <c r="P41" t="str">
        <v>Hưởng ứng chính sách miễn phí xe buýt tại TP.HCM trên toàn bộ hệ thống xe buýt khi người dùng quét thẻ hoặc mã QR định danh thí điểm từ dịp lễ 30/4, MoMo hướng dẫn người dùng quét QR trực tiếp trên MoMo để nhận được "lượt đi miễn phí"</v>
      </c>
      <c r="Q41" s="38" t="str">
        <v>46142</v>
      </c>
      <c r="R41" s="38" t="str">
        <v/>
      </c>
      <c r="S41" t="str">
        <v>xe buýt; TP.HCM; QR thanh toán; giao thông công cộng; mobility; cashless; transit</v>
      </c>
      <c r="T41" t="str">
        <v>4</v>
      </c>
      <c r="U41" t="str">
        <v>4</v>
      </c>
      <c r="V41" t="str">
        <v/>
      </c>
      <c r="W41" t="str">
        <v/>
      </c>
      <c r="X41" t="str">
        <v>4</v>
      </c>
      <c r="Y41" t="str">
        <v>Fintech/ Đầu tư</v>
      </c>
      <c r="Z41" t="str">
        <v/>
      </c>
    </row>
    <row r="42" spans="1:26">
      <c r="A42" t="str">
        <v>401</v>
      </c>
      <c r="B42" t="str">
        <v>https://www.facebook.com/share/p/17YvzqGAGW/?mibextid=wwXIfr</v>
      </c>
      <c r="C42" t="str">
        <v>Grab Đi ăn nhà hàng: Thứ 6 10% tối đa 300k + Thưởng 200 GrabXu</v>
      </c>
      <c r="D42" t="str">
        <v>Grab Fanpage</v>
      </c>
      <c r="E42" t="str">
        <v>3 - Market signal</v>
      </c>
      <c r="F42" t="str">
        <v>18</v>
      </c>
      <c r="G42" t="str">
        <v>46145</v>
      </c>
      <c r="H42" t="str">
        <v>Happy Friday: Giảm 10% tối đa 300k</v>
      </c>
      <c r="I42" t="str">
        <v>46142</v>
      </c>
      <c r="J42" t="str">
        <v>Players Movement</v>
      </c>
      <c r="K42" t="str">
        <v>Grab</v>
      </c>
      <c r="L42" t="str">
        <v>Marketing</v>
      </c>
      <c r="M42" t="str">
        <v>Transaction growth</v>
      </c>
      <c r="N42" t="str">
        <v>Marketing | Transaction growth</v>
      </c>
      <c r="O42" t="str">
        <v>Grab Đi ăn nhà hàng: Thứ 6 10% tối đa 300k + Thưởng 200 GrabXu</v>
      </c>
      <c r="P42" t="str">
        <v>Giảm giá 10% tối đa 300k cho Nhà hàng Dine Out + Thưởng thêm 200 GrabXu cho đơn từ 100k</v>
      </c>
      <c r="Q42" s="38" t="str">
        <v>46143</v>
      </c>
      <c r="R42" s="38" t="str">
        <v>46143</v>
      </c>
      <c r="S42" t="str">
        <v/>
      </c>
      <c r="T42" t="str">
        <v>3</v>
      </c>
      <c r="U42" t="str">
        <v>4</v>
      </c>
      <c r="V42" t="str">
        <v/>
      </c>
      <c r="W42" t="str">
        <v/>
      </c>
      <c r="X42" t="str">
        <v>3.4</v>
      </c>
      <c r="Y42" t="str">
        <v>Marketing/ Growth</v>
      </c>
      <c r="Z42" t="str">
        <v/>
      </c>
    </row>
    <row r="43" spans="1:26">
      <c r="A43" t="str">
        <v>402</v>
      </c>
      <c r="B43" t="str">
        <v>https://www.facebook.com/share/p/18PxDQYxmw/?mibextid=wwXIfr</v>
      </c>
      <c r="C43" t="str">
        <v>Grab Đi ăn nhà hàng: Ưu đãi đến 25%</v>
      </c>
      <c r="D43" t="str">
        <v>Grab Fanpage</v>
      </c>
      <c r="E43" t="str">
        <v>3 - Market signal</v>
      </c>
      <c r="F43" t="str">
        <v>18</v>
      </c>
      <c r="G43" t="str">
        <v>46145</v>
      </c>
      <c r="H43" t="str">
        <v>Đi ăn nhà hàng - Trọn vẹn đón lễ</v>
      </c>
      <c r="I43" t="str">
        <v>46142</v>
      </c>
      <c r="J43" t="str">
        <v>Players Movement</v>
      </c>
      <c r="K43" t="str">
        <v>Grab</v>
      </c>
      <c r="L43" t="str">
        <v>Marketing</v>
      </c>
      <c r="M43" t="str">
        <v>Transaction growth</v>
      </c>
      <c r="N43" t="str">
        <v>Marketing | Transaction growth</v>
      </c>
      <c r="O43" t="str">
        <v>Grab Đi ăn nhà hàng: Ưu đãi đến 25%</v>
      </c>
      <c r="P43" t="str">
        <v>Giảm giá đến 25% tổng hóa đơn cho Nhà hàng Dine Out tại Lục Thiện Môn, Sushi Tei, Kohaku Sushi, Giang Mỹ, Kin Kin Thai Food, Kohaku Sashimi &amp; Yakiniku, Baoz, Meat &amp; Meet BBQ, Yen Sushi, Hadilao, Yakimono, Dooki</v>
      </c>
      <c r="Q43" s="38" t="str">
        <v>46142</v>
      </c>
      <c r="R43" s="38" t="str">
        <v>46145</v>
      </c>
      <c r="S43" t="str">
        <v/>
      </c>
      <c r="T43" t="str">
        <v>3</v>
      </c>
      <c r="U43" t="str">
        <v>4</v>
      </c>
      <c r="V43" t="str">
        <v/>
      </c>
      <c r="W43" t="str">
        <v/>
      </c>
      <c r="X43" t="str">
        <v>3.4</v>
      </c>
      <c r="Y43" t="str">
        <v>Marketing/ Growth</v>
      </c>
      <c r="Z43" t="str">
        <v/>
      </c>
    </row>
    <row r="44" spans="1:26">
      <c r="A44" t="str">
        <v>403</v>
      </c>
      <c r="B44" t="str">
        <v>https://www.facebook.com/share/p/1GQw2u4j5M/?mibextid=wwXIfr</v>
      </c>
      <c r="C44" t="str">
        <v>Grab Đi ăn nhà hàng: Đi ăn ngày thứ 3 Giảm 30% max 70k + Thưởng 200 GrabXu</v>
      </c>
      <c r="D44" t="str">
        <v>Grab Fanpage</v>
      </c>
      <c r="E44" t="str">
        <v>3 - Market signal</v>
      </c>
      <c r="F44" t="str">
        <v>18</v>
      </c>
      <c r="G44" t="str">
        <v>46145</v>
      </c>
      <c r="H44" t="str">
        <v>Đi ăn ngày thứ 3</v>
      </c>
      <c r="I44" t="str">
        <v>46139</v>
      </c>
      <c r="J44" t="str">
        <v>Players Movement</v>
      </c>
      <c r="K44" t="str">
        <v>Grab</v>
      </c>
      <c r="L44" t="str">
        <v>Marketing</v>
      </c>
      <c r="M44" t="str">
        <v>Transaction growth</v>
      </c>
      <c r="N44" t="str">
        <v>Marketing | Transaction growth</v>
      </c>
      <c r="O44" t="str">
        <v>Grab Đi ăn nhà hàng: Đi ăn ngày thứ 3 Giảm 30% max 70k + Thưởng 200 GrabXu</v>
      </c>
      <c r="P44" t="str">
        <v>Giảm thêm 30% tối đa 70k + Thưởng 200 GrabXu cho đơn từ 100k</v>
      </c>
      <c r="Q44" s="38" t="str">
        <v>46140</v>
      </c>
      <c r="R44" s="38" t="str">
        <v>46143</v>
      </c>
      <c r="S44" t="str">
        <v/>
      </c>
      <c r="T44" t="str">
        <v>3</v>
      </c>
      <c r="U44" t="str">
        <v>4</v>
      </c>
      <c r="V44" t="str">
        <v/>
      </c>
      <c r="W44" t="str">
        <v/>
      </c>
      <c r="X44" t="str">
        <v>3.4</v>
      </c>
      <c r="Y44" t="str">
        <v>Marketing/ Growth</v>
      </c>
      <c r="Z44" t="str">
        <v/>
      </c>
    </row>
    <row r="45" spans="1:26">
      <c r="A45" t="str">
        <v>404</v>
      </c>
      <c r="B45" t="str">
        <v>https://www.facebook.com/share/p/17yW4z3sNW/?mibextid=wwXIfr</v>
      </c>
      <c r="C45" t="str">
        <v>GrabFood: Countdown nghỉ lễ - Giảm giá 48k - 72k - 120k trong ngày</v>
      </c>
      <c r="D45" t="str">
        <v>Grab Fanpage</v>
      </c>
      <c r="E45" t="str">
        <v>3 - Market signal</v>
      </c>
      <c r="F45" t="str">
        <v>18</v>
      </c>
      <c r="G45" t="str">
        <v>46145</v>
      </c>
      <c r="H45" t="str">
        <v>Countdown chờ lễ: GrabFood khao deal 48k</v>
      </c>
      <c r="I45" t="str">
        <v>46137</v>
      </c>
      <c r="J45" t="str">
        <v>Players Movement</v>
      </c>
      <c r="K45" t="str">
        <v>Grab</v>
      </c>
      <c r="L45" t="str">
        <v>Marketing</v>
      </c>
      <c r="M45" t="str">
        <v>Transaction growth</v>
      </c>
      <c r="N45" t="str">
        <v>Marketing | Transaction growth</v>
      </c>
      <c r="O45" t="str">
        <v>GrabFood: Countdown nghỉ lễ - Giảm giá 48k - 72k - 120k trong ngày</v>
      </c>
      <c r="P45" t="str">
        <v>Grab triển khai chuỗi 3 ưu đãi countdown chời nghỉ lễ
Countdown 48h - Deal 48k/người cho combo 4 người - Duy nhất ngày 25/4
Countdown 72h - Combo fastfood, trà sữa chỉ còn 72k - Duy nhất ngày 24/4
Countdown 120h - Combo fastfood, trà sữa chỉ còn 120k - Duy nhất ngày 22/4</v>
      </c>
      <c r="Q45" s="38" t="str">
        <v>46134</v>
      </c>
      <c r="R45" s="38" t="str">
        <v>46137</v>
      </c>
      <c r="S45" t="str">
        <v/>
      </c>
      <c r="T45" t="str">
        <v>3</v>
      </c>
      <c r="U45" t="str">
        <v>4</v>
      </c>
      <c r="V45" t="str">
        <v/>
      </c>
      <c r="W45" t="str">
        <v/>
      </c>
      <c r="X45" t="str">
        <v>3.4</v>
      </c>
      <c r="Y45" t="str">
        <v>Marketing/ Growth</v>
      </c>
      <c r="Z45" t="str">
        <v/>
      </c>
    </row>
    <row r="46" spans="1:26">
      <c r="A46" t="str">
        <v>405</v>
      </c>
      <c r="B46" t="str">
        <v>https://www.facebook.com/share/p/14aaJx5VaUh/?mibextid=wwXIfr</v>
      </c>
      <c r="C46" t="str">
        <v>GrabBike/GrabCar: Giảm 100k cho lộ trình từ Ga Metro đến Nghĩa trang Liệt sĩ TP.HCM</v>
      </c>
      <c r="D46" t="str">
        <v>Grab Fanpage</v>
      </c>
      <c r="E46" t="str">
        <v>3 - Market signal</v>
      </c>
      <c r="F46" t="str">
        <v>18</v>
      </c>
      <c r="G46" t="str">
        <v>46145</v>
      </c>
      <c r="H46" t="str">
        <v>Grab và Metro hỗ trợ chuyến xe viếng thăm nghĩa trang liệt sĩ HCM</v>
      </c>
      <c r="I46" t="str">
        <v>46137</v>
      </c>
      <c r="J46" t="str">
        <v>Players Movement</v>
      </c>
      <c r="K46" t="str">
        <v>Grab</v>
      </c>
      <c r="L46" t="str">
        <v>Partnership</v>
      </c>
      <c r="M46" t="str">
        <v>Merchant/ Retailer</v>
      </c>
      <c r="N46" t="str">
        <v>Partnership | Merchant/ Retailer</v>
      </c>
      <c r="O46" t="str">
        <v>GrabBike/GrabCar: Giảm 100k cho lộ trình từ Ga Metro đến Nghĩa trang Liệt sĩ TP.HCM</v>
      </c>
      <c r="P46" t="str">
        <v>Grab và Metro hợp tác để dành tặng ưu đãi giảm 100k cho các chuyến xe GrabBike/ GrabCar có lộ trình đi từ ga Metro Bến xe Suối Tiên đến Nghĩa trang liệt sĩ TP.HCM hoặc ngược lại
Thời gian áp dụng: 26/04 - 03/05</v>
      </c>
      <c r="Q46" s="38" t="str">
        <v>46138</v>
      </c>
      <c r="R46" s="38" t="str">
        <v>46145</v>
      </c>
      <c r="S46" t="str">
        <v/>
      </c>
      <c r="T46" t="str">
        <v>3</v>
      </c>
      <c r="U46" t="str">
        <v>4</v>
      </c>
      <c r="V46" t="str">
        <v/>
      </c>
      <c r="W46" t="str">
        <v/>
      </c>
      <c r="X46" t="str">
        <v>3.4</v>
      </c>
      <c r="Y46" t="str">
        <v>Marketing/ Growth</v>
      </c>
      <c r="Z46" t="str">
        <v/>
      </c>
    </row>
    <row r="47" spans="1:26">
      <c r="A47" t="str">
        <v>406</v>
      </c>
      <c r="B47" t="str">
        <v>https://vnexpress.net/ung-dung-zalo-chan-chup-man-hinh-anh-dai-dien-5066214.html</v>
      </c>
      <c r="C47" t="str">
        <v>Zalo bổ sung tính năng Chặn quay/ chụp màn hình ảnh đại diện</v>
      </c>
      <c r="D47" t="str">
        <v>VnExpress</v>
      </c>
      <c r="E47" t="str">
        <v>3 - Market signal</v>
      </c>
      <c r="F47" t="str">
        <v>18</v>
      </c>
      <c r="G47" t="str">
        <v>46145</v>
      </c>
      <c r="H47" t="str">
        <v>Ứng dụng Zalo chặn chụp màn hình ảnh đại diện</v>
      </c>
      <c r="I47" t="str">
        <v>46137</v>
      </c>
      <c r="J47" t="str">
        <v>Players Movement</v>
      </c>
      <c r="K47" t="str">
        <v>Zalo</v>
      </c>
      <c r="L47" t="str">
        <v>Feature</v>
      </c>
      <c r="M47" t="str">
        <v>Security /  Privacy</v>
      </c>
      <c r="N47" t="str">
        <v>Feature | Security /  Privacy</v>
      </c>
      <c r="O47" t="str">
        <v>Zalo bổ sung tính năng Chặn quay/ chụp màn hình ảnh đại diện</v>
      </c>
      <c r="P47" t="str">
        <v>Zalo triển khai tính năng chặn chụp màn hình ảnh đại diện của người dùng, nhằm bảo vệ quyền riêng tư và ngăn chặn việc sử dụng ảnh trái phép. Đây là phản ứng trước làn sóng deepfake và lừa đảo sử dụng ảnh đại diện để mạo danh.</v>
      </c>
      <c r="Q47" s="38" t="str">
        <v>46135</v>
      </c>
      <c r="R47" s="38" t="str">
        <v/>
      </c>
      <c r="S47" t="str">
        <v/>
      </c>
      <c r="T47" t="str">
        <v>3</v>
      </c>
      <c r="U47" t="str">
        <v>4</v>
      </c>
      <c r="V47" t="str">
        <v/>
      </c>
      <c r="W47" t="str">
        <v/>
      </c>
      <c r="X47" t="str">
        <v>3.4</v>
      </c>
      <c r="Y47" t="str">
        <v>Marketing/ Growth</v>
      </c>
      <c r="Z47" t="str">
        <v/>
      </c>
    </row>
    <row r="48" spans="1:26">
      <c r="A48" t="str">
        <v>407</v>
      </c>
      <c r="B48" t="str">
        <v>https://www.momo.vn/tin-tuc/khuyen-mai/55-chao-don-sale-he-ruc-ro-nhat-2026-8690</v>
      </c>
      <c r="C48" t="str">
        <v>MoMo Du lịch đi lại: Sale 5.5 khi thanh toán vé máy bay/xe khách/tàu hỏa/trải nghiệm và phòng khách sạn</v>
      </c>
      <c r="D48" t="str">
        <v>MoMo Website</v>
      </c>
      <c r="E48" t="str">
        <v>4 - Strategic shift</v>
      </c>
      <c r="F48" t="str">
        <v>18</v>
      </c>
      <c r="G48" t="str">
        <v>46145</v>
      </c>
      <c r="H48" t="str">
        <v>5.5 - Chào đón sale hè rực rỡ nhất 2026</v>
      </c>
      <c r="I48" t="str">
        <v>46136</v>
      </c>
      <c r="J48" t="str">
        <v>Players Movement</v>
      </c>
      <c r="K48" t="str">
        <v>MoMo</v>
      </c>
      <c r="L48" t="str">
        <v>Marketing</v>
      </c>
      <c r="M48" t="str">
        <v>Transaction growth</v>
      </c>
      <c r="N48" t="str">
        <v>Marketing | Transaction growth</v>
      </c>
      <c r="O48" t="str">
        <v>MoMo Du lịch đi lại: Sale 5.5 khi thanh toán vé máy bay/xe khách/tàu hỏa/trải nghiệm và phòng khách sạn</v>
      </c>
      <c r="P48" t="str">
        <v>MoMo tiếp tục triển khai ưu đãi Ngày đôi 5.5 nhằm thúc đẩy thanh toán dịch vụ Du lịch đi lại trên MoMo Travel.
Thời gian: 5/5/2026
Cách thức: Người dùng nhập mã khi thanh toán dịch vụ
Ưu đãi:
Bay nội địa: 10% tối đa 120k cho bạn mới; 5% tối đa 150k đơn từ 4 triệu cho bạn thân
Bay quốc tế: 10% tối đa 1tr cho bạn mới; 10% tối đa 150k đơn từ 3 triệu cho bạn thân
Vé xe khách: 10% tối đa 250k cho bạn mới; 5% tối đa 250k cho bạn thân
Vé tàu hỏa: 6% tối đa 100k cho bạn mới; 3% tối đa 100k cho bạn thân
Vé trải nghiệm: 50% tối đa 50k cho bạn mới; 10% tối đa 50k cho bạn thân
Phòng khách sạn: 15% tối đa 500k cho bạn mới; 8% tối đa 100k cho bạn thân
Ưu đãi từ hãng bay 5/5: Giảm 120k VNA; đến 8% Viettravel; đến 15% của SUN Phu Quoc Airways
Ưu đãi từ hãng bay 5/5 - 7/5: Vé bay 0đ Vietjet Air</v>
      </c>
      <c r="Q48" s="38" t="str">
        <v>46136</v>
      </c>
      <c r="R48" s="38" t="str">
        <v>46147</v>
      </c>
      <c r="S48" t="str">
        <v>5.5; sale hè; siêu sale; teaser; ecosystem; tháng 5; May sale</v>
      </c>
      <c r="T48" t="str">
        <v>3</v>
      </c>
      <c r="U48" t="str">
        <v>5</v>
      </c>
      <c r="V48" t="str">
        <v/>
      </c>
      <c r="W48" t="str">
        <v/>
      </c>
      <c r="X48" t="str">
        <v>3.8</v>
      </c>
      <c r="Y48" t="str">
        <v>Marketing/ Growth</v>
      </c>
      <c r="Z48" t="str">
        <v/>
      </c>
    </row>
    <row r="49" spans="1:26">
      <c r="A49" t="str">
        <v>408</v>
      </c>
      <c r="B49" t="str">
        <v>https://km.zalopay.vn/TSui/VALORANTZLP</v>
      </c>
      <c r="C49" t="str">
        <v>Zalopay x Valorant: Ưu đãi giảm đến 50% đặt vé Máy bay/ Vé xe khách/ Vé tàu hỏa trên Zalopay</v>
      </c>
      <c r="D49" t="str">
        <v>Zalo App</v>
      </c>
      <c r="E49" t="str">
        <v>3 - Market signal</v>
      </c>
      <c r="F49" t="str">
        <v>18</v>
      </c>
      <c r="G49" t="str">
        <v>46145</v>
      </c>
      <c r="H49" t="str">
        <v>Thẳng tiến đến chung kết VCT Pacific</v>
      </c>
      <c r="I49" t="str">
        <v>46126</v>
      </c>
      <c r="J49" t="str">
        <v>Players Movement</v>
      </c>
      <c r="K49" t="str">
        <v>Zalopay</v>
      </c>
      <c r="L49" t="str">
        <v>Marketing</v>
      </c>
      <c r="M49" t="str">
        <v>Transaction growth</v>
      </c>
      <c r="N49" t="str">
        <v>Marketing | Transaction growth</v>
      </c>
      <c r="O49" t="str">
        <v>Zalopay x Valorant: Ưu đãi giảm đến 50% đặt vé Máy bay/ Vé xe khách/ Vé tàu hỏa trên Zalopay</v>
      </c>
      <c r="P49" t="str">
        <v>Ưu đãi thúc đẩy thanh toán Đi lại trên Zalopay dành cho fan Valorant tận dụng sự kiện chung kết VCT PACIFIC Stage 01
Thời gian: 17/04 - 17/05
Phạm vi: Đặt vé đến TP.HCM
Giảm giá đến 50k khi đặt vé máy bay/ vé xe khách/vé tàu hỏa trên Zalopau</v>
      </c>
      <c r="Q49" s="38" t="str">
        <v>46129</v>
      </c>
      <c r="R49" s="38" t="str">
        <v>46159</v>
      </c>
      <c r="S49" t="str">
        <v/>
      </c>
      <c r="T49" t="str">
        <v>3</v>
      </c>
      <c r="U49" t="str">
        <v>4</v>
      </c>
      <c r="V49" t="str">
        <v/>
      </c>
      <c r="W49" t="str">
        <v/>
      </c>
      <c r="X49" t="str">
        <v>3.4</v>
      </c>
      <c r="Y49" t="str">
        <v>Marketing/ Growth</v>
      </c>
      <c r="Z49" t="str">
        <v/>
      </c>
    </row>
    <row r="50" spans="1:26">
      <c r="A50" t="str">
        <v>409</v>
      </c>
      <c r="B50" t="str">
        <v/>
      </c>
      <c r="C50" t="str">
        <v>Zalopay QR thanh toán: Nhận 304 xu khi thanh toán nhân dịp lễ 30/4</v>
      </c>
      <c r="D50" t="str">
        <v>Zalo App</v>
      </c>
      <c r="E50" t="str">
        <v>3 - Market signal</v>
      </c>
      <c r="F50" t="str">
        <v>18</v>
      </c>
      <c r="G50" t="str">
        <v>46145</v>
      </c>
      <c r="H50" t="str">
        <v>Mừng lễ lớn - Quét QR Ngân hàng</v>
      </c>
      <c r="I50" t="str">
        <v>46136</v>
      </c>
      <c r="J50" t="str">
        <v>Players Movement</v>
      </c>
      <c r="K50" t="str">
        <v>Zalopay</v>
      </c>
      <c r="L50" t="str">
        <v>Marketing</v>
      </c>
      <c r="M50" t="str">
        <v>Transaction growth</v>
      </c>
      <c r="N50" t="str">
        <v>Marketing | Transaction growth</v>
      </c>
      <c r="O50" t="str">
        <v>Zalopay QR thanh toán: Nhận 304 xu khi thanh toán nhân dịp lễ 30/4</v>
      </c>
      <c r="P50" t="str">
        <v>Quét QR nhập YEUNUOC trên ZaloPay
- Lần đầu giao dịch: nhận 30k xu thưởng
- Đã từng giao dịch: nhận 304 xu thưởng</v>
      </c>
      <c r="Q50" s="38" t="str">
        <v>46136</v>
      </c>
      <c r="R50" s="38" t="str">
        <v>46143</v>
      </c>
      <c r="S50" t="str">
        <v/>
      </c>
      <c r="T50" t="str">
        <v>3</v>
      </c>
      <c r="U50" t="str">
        <v>3.6</v>
      </c>
      <c r="V50" t="str">
        <v/>
      </c>
      <c r="W50" t="str">
        <v/>
      </c>
      <c r="X50" t="str">
        <v>3.24</v>
      </c>
      <c r="Y50" t="str">
        <v>Marketing/ Growth</v>
      </c>
      <c r="Z50" t="str">
        <v/>
      </c>
    </row>
    <row r="51" spans="1:26">
      <c r="A51" t="str">
        <v>410</v>
      </c>
      <c r="B51" t="str">
        <v>http://km.zalopay.vn/TSui/napdtiphone</v>
      </c>
      <c r="C51" t="str">
        <v>Gamification nạp điện thoại: Cơ hội trúng iPhone 17 Pro Max</v>
      </c>
      <c r="D51" t="str">
        <v>Zalo App</v>
      </c>
      <c r="E51" t="str">
        <v>3 - Market signal</v>
      </c>
      <c r="F51" t="str">
        <v>18</v>
      </c>
      <c r="G51" t="str">
        <v>46145</v>
      </c>
      <c r="H51" t="str">
        <v>Cơ hộ trúng iPjone 17 Pro Max khi nạp điện thoại</v>
      </c>
      <c r="I51" t="str">
        <v>46136</v>
      </c>
      <c r="J51" t="str">
        <v>Players Movement</v>
      </c>
      <c r="K51" t="str">
        <v>Zalopay</v>
      </c>
      <c r="L51" t="str">
        <v>Marketing</v>
      </c>
      <c r="M51" t="str">
        <v>Transaction growth</v>
      </c>
      <c r="N51" t="str">
        <v>Marketing | Transaction growth</v>
      </c>
      <c r="O51" t="str">
        <v>Gamification nạp điện thoại: Cơ hội trúng iPhone 17 Pro Max</v>
      </c>
      <c r="P51" t="str">
        <v>Cách thức: 
Nạp điện thoại trên Zalopay không giới hạn số lần hay mệnh giá nạp
Mỗi mã giao dịch tương đương một cơ hội trúng thưởng iPhone 17 ProMax
Càng nhiều mã cơ hội trúng càng cao</v>
      </c>
      <c r="Q51" s="38" t="str">
        <v>46114</v>
      </c>
      <c r="R51" s="38" t="str">
        <v>46142</v>
      </c>
      <c r="S51" t="str">
        <v/>
      </c>
      <c r="T51" t="str">
        <v>3</v>
      </c>
      <c r="U51" t="str">
        <v>3.5</v>
      </c>
      <c r="V51" t="str">
        <v/>
      </c>
      <c r="W51" t="str">
        <v/>
      </c>
      <c r="X51" t="str">
        <v>3.2</v>
      </c>
      <c r="Y51" t="str">
        <v>Marketing/ Growth</v>
      </c>
      <c r="Z51" t="str">
        <v/>
      </c>
    </row>
    <row r="52" spans="1:26">
      <c r="A52" t="str">
        <v>411</v>
      </c>
      <c r="B52" t="str">
        <v/>
      </c>
      <c r="C52" t="str">
        <v>Nạp 4G/5G Mobifone: Ưu đãi 1-2-10k khi mua data Mobifone trên Zalopay</v>
      </c>
      <c r="D52" t="str">
        <v>Zalo App</v>
      </c>
      <c r="E52" t="str">
        <v>3 - Market signal</v>
      </c>
      <c r="F52" t="str">
        <v>18</v>
      </c>
      <c r="G52" t="str">
        <v>46145</v>
      </c>
      <c r="H52" t="str">
        <v>Data Mobiphone trở lại trên Zalopay</v>
      </c>
      <c r="I52" t="str">
        <v>46136</v>
      </c>
      <c r="J52" t="str">
        <v>Players Movement</v>
      </c>
      <c r="K52" t="str">
        <v>Zalopay</v>
      </c>
      <c r="L52" t="str">
        <v>Marketing</v>
      </c>
      <c r="M52" t="str">
        <v>Transaction growth</v>
      </c>
      <c r="N52" t="str">
        <v>Marketing | Transaction growth</v>
      </c>
      <c r="O52" t="str">
        <v>Nạp 4G/5G Mobifone: Ưu đãi 1-2-10k khi mua data Mobifone trên Zalopay</v>
      </c>
      <c r="P52" t="str">
        <v>Giảm 1.000đ đơn từ 2.000đ
Giảm 2.000đ đơn từ 10.000đ
Giảm 5.000đ đơn từ 20.000d</v>
      </c>
      <c r="Q52" s="38" t="str">
        <v>46136</v>
      </c>
      <c r="R52" s="38" t="str">
        <v/>
      </c>
      <c r="S52" t="str">
        <v/>
      </c>
      <c r="T52" t="str">
        <v>3</v>
      </c>
      <c r="U52" t="str">
        <v>3.4</v>
      </c>
      <c r="V52" t="str">
        <v/>
      </c>
      <c r="W52" t="str">
        <v/>
      </c>
      <c r="X52" t="str">
        <v>3.16</v>
      </c>
      <c r="Y52" t="str">
        <v>Marketing/ Growth</v>
      </c>
      <c r="Z52" t="str">
        <v/>
      </c>
    </row>
    <row r="53" spans="1:26">
      <c r="A53" t="str">
        <v>412</v>
      </c>
      <c r="B53" t="str">
        <v/>
      </c>
      <c r="C53" t="str">
        <v>Zalopay x Mua sắm: Ưu đãi khách hàng mới thanh toán bằng Zalopay</v>
      </c>
      <c r="D53" t="str">
        <v>Zalo App</v>
      </c>
      <c r="E53" t="str">
        <v>3 - Market signal</v>
      </c>
      <c r="F53" t="str">
        <v>18</v>
      </c>
      <c r="G53" t="str">
        <v>46145</v>
      </c>
      <c r="H53" t="str">
        <v>Zalopay x Mua sắm</v>
      </c>
      <c r="I53" t="str">
        <v/>
      </c>
      <c r="J53" t="str">
        <v>Players Movement</v>
      </c>
      <c r="K53" t="str">
        <v>Zalopay</v>
      </c>
      <c r="L53" t="str">
        <v>Marketing</v>
      </c>
      <c r="M53" t="str">
        <v>User acquisition</v>
      </c>
      <c r="N53" t="str">
        <v>Marketing | User acquisition</v>
      </c>
      <c r="O53" t="str">
        <v>Zalopay x Mua sắm: Ưu đãi khách hàng mới thanh toán bằng Zalopay</v>
      </c>
      <c r="P53" t="str">
        <v>Ưu đãi: Giảm 10% tối đa 7k
Đối tượng: Khách hàng mới chưa từng thanh toán dịch vụ Mua sắm qua Zalopay
Phạm vi: 
Siêu thị: Go! Việt Nam, Aeon Mall, Diamond Plaza
Fahasa, Long Châu, Pharmacity, Trung Sơn
Cửa hàng thời trang: PNL; Biti;s, Hoàng Phúc, BonBon
Cửa hàng mẹ và bé: Con cưng, Kids Plaza, My Kingdom</v>
      </c>
      <c r="Q53" s="38" t="str">
        <v>46143</v>
      </c>
      <c r="R53" s="38" t="str">
        <v/>
      </c>
      <c r="S53" t="str">
        <v/>
      </c>
      <c r="T53" t="str">
        <v>3</v>
      </c>
      <c r="U53" t="str">
        <v>3.1</v>
      </c>
      <c r="V53" t="str">
        <v/>
      </c>
      <c r="W53" t="str">
        <v/>
      </c>
      <c r="X53" t="str">
        <v>3.04</v>
      </c>
      <c r="Y53" t="str">
        <v>Marketing/ Growth</v>
      </c>
      <c r="Z53" t="str">
        <v/>
      </c>
    </row>
    <row r="54" spans="1:26">
      <c r="A54" t="str">
        <v>413</v>
      </c>
      <c r="B54" t="str">
        <v/>
      </c>
      <c r="C54" t="str">
        <v>Tài khoản trả sau x OA Saigon Co.op: Ưu đãi giảm giá khi mua hành tại kênh Zalo OA</v>
      </c>
      <c r="D54" t="str">
        <v>Zalo App</v>
      </c>
      <c r="E54" t="str">
        <v>3 - Market signal</v>
      </c>
      <c r="F54" t="str">
        <v>18</v>
      </c>
      <c r="G54" t="str">
        <v>46145</v>
      </c>
      <c r="H54" t="str">
        <v>Zalopay x Saigon Co.op</v>
      </c>
      <c r="I54" t="str">
        <v/>
      </c>
      <c r="J54" t="str">
        <v>Players Movement</v>
      </c>
      <c r="K54" t="str">
        <v>Zalo</v>
      </c>
      <c r="L54" t="str">
        <v>Marketing</v>
      </c>
      <c r="M54" t="str">
        <v>User activation</v>
      </c>
      <c r="N54" t="str">
        <v>Marketing | User activation</v>
      </c>
      <c r="O54" t="str">
        <v>Tài khoản trả sau x OA Saigon Co.op: Ưu đãi giảm giá khi mua hành tại kênh Zalo OA</v>
      </c>
      <c r="P54" t="str">
        <v>Ưu đãi: Giảm 35k cho đơn 359k khi thanh toán Tài khoản trả sau
Điều kiện: Mua hàng tại kênh Zalo OA Saigon Co.op
Giới hạn: 1 lần/tháng</v>
      </c>
      <c r="Q54" s="38" t="str">
        <v>46143</v>
      </c>
      <c r="R54" s="38" t="str">
        <v/>
      </c>
      <c r="S54" t="str">
        <v/>
      </c>
      <c r="T54" t="str">
        <v>3</v>
      </c>
      <c r="U54" t="str">
        <v>3.1</v>
      </c>
      <c r="V54" t="str">
        <v/>
      </c>
      <c r="W54" t="str">
        <v/>
      </c>
      <c r="X54" t="str">
        <v>3.04</v>
      </c>
      <c r="Y54" t="str">
        <v>Marketing/ Growth</v>
      </c>
      <c r="Z54" t="str">
        <v/>
      </c>
    </row>
    <row r="55" spans="1:26">
      <c r="A55" t="str">
        <v>414</v>
      </c>
      <c r="B55" t="str">
        <v/>
      </c>
      <c r="C55" t="str">
        <v>Zalopay x AEON: Ưu đãi đến 100k khi thanh toán tại AEON bằng ZaloPay</v>
      </c>
      <c r="D55" t="str">
        <v>Zalo App</v>
      </c>
      <c r="E55" t="str">
        <v>3 - Market signal</v>
      </c>
      <c r="F55" t="str">
        <v>18</v>
      </c>
      <c r="G55" t="str">
        <v>46145</v>
      </c>
      <c r="H55" t="str">
        <v>Zalopay x AEON: Ưu đãi đến 100k</v>
      </c>
      <c r="I55" t="str">
        <v/>
      </c>
      <c r="J55" t="str">
        <v>Players Movement</v>
      </c>
      <c r="K55" t="str">
        <v>Zalopay</v>
      </c>
      <c r="L55" t="str">
        <v>Marketing</v>
      </c>
      <c r="M55" t="str">
        <v>User activation</v>
      </c>
      <c r="N55" t="str">
        <v>Marketing | User activation</v>
      </c>
      <c r="O55" t="str">
        <v>Zalopay x AEON: Ưu đãi đến 100k khi thanh toán tại AEON bằng ZaloPay</v>
      </c>
      <c r="P55" t="str">
        <v>Khuyễn mãi hàng tháng:
Giảm 25k đơn từ 990k
Giảm 50k đơn từ 1tr990k
Giảm 100k đơn từ 3tr990k
Khuyến mãi cho KH Tài khoản trả sau
Giảm 30k đơn từ 500k
Giới hạn: Tối đa 1 lần/tháng</v>
      </c>
      <c r="Q55" s="38" t="str">
        <v>46113</v>
      </c>
      <c r="R55" s="38" t="str">
        <v>46203</v>
      </c>
      <c r="S55" t="str">
        <v/>
      </c>
      <c r="T55" t="str">
        <v>3</v>
      </c>
      <c r="U55" t="str">
        <v>3.5</v>
      </c>
      <c r="V55" t="str">
        <v/>
      </c>
      <c r="W55" t="str">
        <v/>
      </c>
      <c r="X55" t="str">
        <v>3.2</v>
      </c>
      <c r="Y55" t="str">
        <v>Marketing/ Growth</v>
      </c>
      <c r="Z55" t="str">
        <v/>
      </c>
    </row>
    <row r="56" spans="1:26">
      <c r="A56" t="str">
        <v>415</v>
      </c>
      <c r="B56" t="str">
        <v/>
      </c>
      <c r="C56" t="str">
        <v>QR Thanh toán x Siêu thị: Ưu đãi khi thanh toán bằng QR Thanh toán</v>
      </c>
      <c r="D56" t="str">
        <v>Zalo App</v>
      </c>
      <c r="E56" t="str">
        <v>3 - Market signal</v>
      </c>
      <c r="F56" t="str">
        <v>18</v>
      </c>
      <c r="G56" t="str">
        <v>46145</v>
      </c>
      <c r="H56" t="str">
        <v>Zalopay x Siêu thị</v>
      </c>
      <c r="I56" t="str">
        <v/>
      </c>
      <c r="J56" t="str">
        <v>Players Movement</v>
      </c>
      <c r="K56" t="str">
        <v>Zalopay</v>
      </c>
      <c r="L56" t="str">
        <v>Marketing</v>
      </c>
      <c r="M56" t="str">
        <v>User activation</v>
      </c>
      <c r="N56" t="str">
        <v>Marketing | User activation</v>
      </c>
      <c r="O56" t="str">
        <v>QR Thanh toán x Siêu thị: Ưu đãi khi thanh toán bằng QR Thanh toán</v>
      </c>
      <c r="P56" t="str">
        <v>Ưu đãi: Giảm 10k cho đơn từ 600k tại hệ thống siêu thị chấp nhập thanh toán bằng Zalopay
Giới hạn: 1 lần/tháng</v>
      </c>
      <c r="Q56" s="38" t="str">
        <v>46143</v>
      </c>
      <c r="R56" s="38" t="str">
        <v/>
      </c>
      <c r="S56" t="str">
        <v/>
      </c>
      <c r="T56" t="str">
        <v>3</v>
      </c>
      <c r="U56" t="str">
        <v>3.1</v>
      </c>
      <c r="V56" t="str">
        <v/>
      </c>
      <c r="W56" t="str">
        <v/>
      </c>
      <c r="X56" t="str">
        <v>3.04</v>
      </c>
      <c r="Y56" t="str">
        <v>Marketing/ Growth</v>
      </c>
      <c r="Z56" t="str">
        <v/>
      </c>
    </row>
    <row r="57" spans="1:26">
      <c r="A57" t="str">
        <v>416</v>
      </c>
      <c r="B57" t="str">
        <v/>
      </c>
      <c r="C57" t="str">
        <v>Tài khoản trả sau x Cửa hàng ăn uống: Ưu đãi khi thanh toán</v>
      </c>
      <c r="D57" t="str">
        <v>Zalo App</v>
      </c>
      <c r="E57" t="str">
        <v>3 - Market signal</v>
      </c>
      <c r="F57" t="str">
        <v>18</v>
      </c>
      <c r="G57" t="str">
        <v>46145</v>
      </c>
      <c r="H57" t="str">
        <v>Zalopay x Ăn uống</v>
      </c>
      <c r="I57" t="str">
        <v/>
      </c>
      <c r="J57" t="str">
        <v>Players Movement</v>
      </c>
      <c r="K57" t="str">
        <v>Zalopay</v>
      </c>
      <c r="L57" t="str">
        <v>Marketing</v>
      </c>
      <c r="M57" t="str">
        <v>User activation</v>
      </c>
      <c r="N57" t="str">
        <v>Marketing | User activation</v>
      </c>
      <c r="O57" t="str">
        <v>Tài khoản trả sau x Cửa hàng ăn uống: Ưu đãi khi thanh toán</v>
      </c>
      <c r="P57" t="str">
        <v>Ưu đãi: 
Giảm 20k đơn từ 99k khi dùng Tài khoản trả sau tại các thương hiệu ăn uống (online/ tại cửa hàng) có chấp nhận thanh toán Zalopay
Giảm 10k đơn từ 59k tại Tocotoco khi mua trực tiếp
Giảm 35k đơn từ 350k tại The Pizza Company khi mua online và offline
Giảm 30k đơn từ 129k tại KFC khi mua trực tiếp hoặc online trên Zalopay
Giảm 10k đơn từ 59k tại Phúc Long khi mua trực tiếp hoặc online qua Zalopay (hoặc ZaloOA của Phúc Long)
Giới hạn: 1 lần/tháng</v>
      </c>
      <c r="Q57" s="38" t="str">
        <v>46143</v>
      </c>
      <c r="R57" s="38" t="str">
        <v/>
      </c>
      <c r="S57" t="str">
        <v/>
      </c>
      <c r="T57" t="str">
        <v>3</v>
      </c>
      <c r="U57" t="str">
        <v>3.1</v>
      </c>
      <c r="V57" t="str">
        <v/>
      </c>
      <c r="W57" t="str">
        <v/>
      </c>
      <c r="X57" t="str">
        <v>3.04</v>
      </c>
      <c r="Y57" t="str">
        <v>Marketing/ Growth</v>
      </c>
      <c r="Z57" t="str">
        <v/>
      </c>
    </row>
    <row r="58" spans="1:26">
      <c r="A58" t="str">
        <v>417</v>
      </c>
      <c r="B58" t="str">
        <v/>
      </c>
      <c r="C58" t="str">
        <v>Tài khoản trả sau x Điện máy xanh: Ưu đãi khi thanh toán tại cửa hàng</v>
      </c>
      <c r="D58" t="str">
        <v>Zalo App</v>
      </c>
      <c r="E58" t="str">
        <v>3 - Market signal</v>
      </c>
      <c r="F58" t="str">
        <v>18</v>
      </c>
      <c r="G58" t="str">
        <v>46145</v>
      </c>
      <c r="H58" t="str">
        <v>Zalpay x Điện máy xanh</v>
      </c>
      <c r="I58" t="str">
        <v/>
      </c>
      <c r="J58" t="str">
        <v>Players Movement</v>
      </c>
      <c r="K58" t="str">
        <v>Zalopay</v>
      </c>
      <c r="L58" t="str">
        <v>Marketing</v>
      </c>
      <c r="M58" t="str">
        <v>User activation</v>
      </c>
      <c r="N58" t="str">
        <v>Marketing | User activation</v>
      </c>
      <c r="O58" t="str">
        <v>Tài khoản trả sau x Điện máy xanh: Ưu đãi khi thanh toán tại cửa hàng</v>
      </c>
      <c r="P58" t="str">
        <v>Ưu đãi: Giảm 200k đơn từ 6 triệu khi dùng Tài khoản trả sau
Điều kiện: Mua hàng tại hệ thống Điện Máy Xanh
Giới hạn: 1 lần/1 tháng</v>
      </c>
      <c r="Q58" s="38" t="str">
        <v>46143</v>
      </c>
      <c r="R58" s="38" t="str">
        <v/>
      </c>
      <c r="S58" t="str">
        <v/>
      </c>
      <c r="T58" t="str">
        <v>3</v>
      </c>
      <c r="U58" t="str">
        <v>3.1</v>
      </c>
      <c r="V58" t="str">
        <v/>
      </c>
      <c r="W58" t="str">
        <v/>
      </c>
      <c r="X58" t="str">
        <v>3.04</v>
      </c>
      <c r="Y58" t="str">
        <v>Marketing/ Growth</v>
      </c>
      <c r="Z58" t="str">
        <v/>
      </c>
    </row>
    <row r="59" spans="1:26">
      <c r="A59" t="str">
        <v>418</v>
      </c>
      <c r="B59" t="str">
        <v/>
      </c>
      <c r="C59" t="str">
        <v>Zalopay x Nhà thuốc Long châu: Ưu đãi khi thanh toán online</v>
      </c>
      <c r="D59" t="str">
        <v>Zalo App</v>
      </c>
      <c r="E59" t="str">
        <v>3 - Market signal</v>
      </c>
      <c r="F59" t="str">
        <v>18</v>
      </c>
      <c r="G59" t="str">
        <v>46145</v>
      </c>
      <c r="H59" t="str">
        <v>Zalopay x Long Châu</v>
      </c>
      <c r="I59" t="str">
        <v/>
      </c>
      <c r="J59" t="str">
        <v>Players Movement</v>
      </c>
      <c r="K59" t="str">
        <v>Zalopay</v>
      </c>
      <c r="L59" t="str">
        <v>Marketing</v>
      </c>
      <c r="M59" t="str">
        <v>User activation</v>
      </c>
      <c r="N59" t="str">
        <v>Marketing | User activation</v>
      </c>
      <c r="O59" t="str">
        <v>Zalopay x Nhà thuốc Long châu: Ưu đãi khi thanh toán online</v>
      </c>
      <c r="P59" t="str">
        <v>Giảm 10k đơn từ 179k
Giảm 20k đơn từ 399k
Giảm 30k đơn từ 699k
Giảm 50k đơn từ 1tr700k
Giảm 75k đơn từ 2tr900k
Điều kiện: Áp dụng khi thanh toán online qua website/app Long Châu
Giới hạn: Mỗi tài khoản 1 lần</v>
      </c>
      <c r="Q59" s="38" t="str">
        <v>46143</v>
      </c>
      <c r="R59" s="38" t="str">
        <v/>
      </c>
      <c r="S59" t="str">
        <v/>
      </c>
      <c r="T59" t="str">
        <v>3</v>
      </c>
      <c r="U59" t="str">
        <v>3.1</v>
      </c>
      <c r="V59" t="str">
        <v/>
      </c>
      <c r="W59" t="str">
        <v/>
      </c>
      <c r="X59" t="str">
        <v>3.04</v>
      </c>
      <c r="Y59" t="str">
        <v>Marketing/ Growth</v>
      </c>
      <c r="Z59" t="str">
        <v/>
      </c>
    </row>
    <row r="60" spans="1:26">
      <c r="A60" t="str">
        <v>419</v>
      </c>
      <c r="B60" t="str">
        <v/>
      </c>
      <c r="C60" t="str">
        <v>Zalopay x Haidilao: Ưu đãi khi thanh toán tại nhà hàng</v>
      </c>
      <c r="D60" t="str">
        <v>Zalo App</v>
      </c>
      <c r="E60" t="str">
        <v>3 - Market signal</v>
      </c>
      <c r="F60" t="str">
        <v>18</v>
      </c>
      <c r="G60" t="str">
        <v>46145</v>
      </c>
      <c r="H60" t="str">
        <v>Zalopay x Haidilao</v>
      </c>
      <c r="I60" t="str">
        <v/>
      </c>
      <c r="J60" t="str">
        <v>Players Movement</v>
      </c>
      <c r="K60" t="str">
        <v>Zalopay</v>
      </c>
      <c r="L60" t="str">
        <v>Marketing</v>
      </c>
      <c r="M60" t="str">
        <v>User activation</v>
      </c>
      <c r="N60" t="str">
        <v>Marketing | User activation</v>
      </c>
      <c r="O60" t="str">
        <v>Zalopay x Haidilao: Ưu đãi khi thanh toán tại nhà hàng</v>
      </c>
      <c r="P60" t="str">
        <v>Giảm 30k đơn từ 500k khi thanh toán tại nhà hàng Haidilao
Điều kiện: Thanh toán qua Zalopay QR</v>
      </c>
      <c r="Q60" s="38" t="str">
        <v>46143</v>
      </c>
      <c r="R60" s="38" t="str">
        <v/>
      </c>
      <c r="S60" t="str">
        <v/>
      </c>
      <c r="T60" t="str">
        <v>3</v>
      </c>
      <c r="U60" t="str">
        <v>3.1</v>
      </c>
      <c r="V60" t="str">
        <v/>
      </c>
      <c r="W60" t="str">
        <v/>
      </c>
      <c r="X60" t="str">
        <v>3.04</v>
      </c>
      <c r="Y60" t="str">
        <v>Marketing/ Growth</v>
      </c>
      <c r="Z60" t="str">
        <v/>
      </c>
    </row>
    <row r="61" spans="1:26">
      <c r="A61" t="str">
        <v>420</v>
      </c>
      <c r="B61" t="str">
        <v/>
      </c>
      <c r="C61" t="str">
        <v>QR thanh toán quốc tế x Khoa lang thang: Ưu đãi bay Trung Quốc; thanh toán QR, sử dụng dịch vụ làm VISA Trung Quốc qua Zalopay</v>
      </c>
      <c r="D61" t="str">
        <v>Zalo App</v>
      </c>
      <c r="E61" t="str">
        <v>4 - Strategic shift</v>
      </c>
      <c r="F61" t="str">
        <v>18</v>
      </c>
      <c r="G61" t="str">
        <v>46145</v>
      </c>
      <c r="H61" t="str">
        <v>Nhập KHOAIZLP, Bay Trung Quốc Siêu rẻ</v>
      </c>
      <c r="I61" t="str">
        <v/>
      </c>
      <c r="J61" t="str">
        <v>Players Movement</v>
      </c>
      <c r="K61" t="str">
        <v>Zalopay</v>
      </c>
      <c r="L61" t="str">
        <v>Marketing</v>
      </c>
      <c r="M61" t="str">
        <v>User activation</v>
      </c>
      <c r="N61" t="str">
        <v>Marketing | User activation</v>
      </c>
      <c r="O61" t="str">
        <v>QR thanh toán quốc tế x Khoa lang thang: Ưu đãi bay Trung Quốc; thanh toán QR, sử dụng dịch vụ làm VISA Trung Quốc qua Zalopay</v>
      </c>
      <c r="P61" t="str">
        <v>Zalopay hợp tác KOL Khoai Lang Thang trong chiến dịch quảng báo và thu hút người dùng - đặc biệt nhóm khách hàng trẻ sử dụng Zalopay để thanh toán QR quốc tế cùng các mã giảm giá
Giảm 50% tối đa 100k khi đặt vé Máy bay đi Trung Quốc dưới 15 triệu
Giảm 2% tối đa 500k cho đơn từ 15 triệu
Giảm 5% tối đa 1tr khi sử dụng dịch vụ làm VISA Trung quốc trên Zalopay
Giảm 50% tối đa 50k khi quét QR tại Trung Quốc cho người dùng có &lt;2 lần giao dịch thanh toán quốc tế
Thưởng 50k/ lượt chia sẻ thanh toán quốc tế - tối đa 10 triệu/tháng</v>
      </c>
      <c r="Q61" s="38" t="str">
        <v>46129</v>
      </c>
      <c r="R61" s="38" t="str">
        <v>46173</v>
      </c>
      <c r="S61" t="str">
        <v/>
      </c>
      <c r="T61" t="str">
        <v>3</v>
      </c>
      <c r="U61" t="str">
        <v>4.5</v>
      </c>
      <c r="V61" t="str">
        <v/>
      </c>
      <c r="W61" t="str">
        <v/>
      </c>
      <c r="X61" t="str">
        <v>3.6</v>
      </c>
      <c r="Y61" t="str">
        <v>Marketing/ Growth</v>
      </c>
      <c r="Z61" t="str">
        <v/>
      </c>
    </row>
    <row r="62" spans="1:26">
      <c r="A62" t="str">
        <v>421</v>
      </c>
      <c r="B62" t="str">
        <v>https://onelink.zalopay.vn/zalopay-metrohcm-FB-post</v>
      </c>
      <c r="C62" t="str">
        <v xml:space="preserve">Gamification Zalopay x HCMC Metro: Tham nhiệm vụ và cơ hội quay thưởng 100% trúng quà </v>
      </c>
      <c r="D62" t="str">
        <v>Zalo App</v>
      </c>
      <c r="E62" t="str">
        <v>4 - Strategic shift</v>
      </c>
      <c r="F62" t="str">
        <v>18</v>
      </c>
      <c r="G62" t="str">
        <v>46145</v>
      </c>
      <c r="H62" t="str">
        <v>Vi vu Metro cùng Zalopay, quay là có quà</v>
      </c>
      <c r="I62" t="str">
        <v>46134</v>
      </c>
      <c r="J62" t="str">
        <v>Players Movement</v>
      </c>
      <c r="K62" t="str">
        <v>Zalopay</v>
      </c>
      <c r="L62" t="str">
        <v>Marketing</v>
      </c>
      <c r="M62" t="str">
        <v>User engagement</v>
      </c>
      <c r="N62" t="str">
        <v>Marketing | User engagement</v>
      </c>
      <c r="O62" t="str">
        <v xml:space="preserve">Gamification Zalopay x HCMC Metro: Tham nhiệm vụ và cơ hội quay thưởng 100% trúng quà </v>
      </c>
      <c r="P62" t="str">
        <v>HCMC Metro phối hợp cùng Zalopay triển khai chương trình gamification nhằm tăng tương tác người dùng trên ứng dụng Zalopay cũng như hành vi thanh toán vé Metro trên ứng dụng
Thời gian diễn ra: 15/04 - 13/06
Cơ chế: 100% trúng quà
Nhiệm vụ: Thanh toán vé Metro, Thanh toán vé Metro bằng Tài khoản trả sau, Điểm danh hàng ngày, Thanh toán vé xe búy HCM, Chơi game trong miniapp Trò chơi, Tham quan trang du lịch
Phần thưởng:
Giải đặc biệt: 3 voucher vé máy bay trị giá 5tr
1000 phần quà hiện vật: Ly thủy tinh Zalopay, Dù gấp; Kem chống nắng, Túi tote Zalopay, Nón kết
Voucher giảm đếm 100k cho nhiều SPDV</v>
      </c>
      <c r="Q62" s="38" t="str">
        <v>46127</v>
      </c>
      <c r="R62" s="38" t="str">
        <v>46203</v>
      </c>
      <c r="S62" t="str">
        <v/>
      </c>
      <c r="T62" t="str">
        <v>3.5</v>
      </c>
      <c r="U62" t="str">
        <v>4</v>
      </c>
      <c r="V62" t="str">
        <v/>
      </c>
      <c r="W62" t="str">
        <v/>
      </c>
      <c r="X62" t="str">
        <v>3.7</v>
      </c>
      <c r="Y62" t="str">
        <v>Marketing/ Growth</v>
      </c>
      <c r="Z62" t="str">
        <v/>
      </c>
    </row>
    <row r="63" spans="1:26">
      <c r="A63" t="str">
        <v>422</v>
      </c>
      <c r="B63" t="str">
        <v>https://onelink.zalopay.vn/3614243751464987</v>
      </c>
      <c r="C63" t="str">
        <v>Zalopay x FAHASA: Ưu đãi 15k-25k-50k thanh toán bằng ZaloPay trên website/ app</v>
      </c>
      <c r="D63" t="str">
        <v>Zalo App</v>
      </c>
      <c r="E63" t="str">
        <v>3 - Market signal</v>
      </c>
      <c r="F63" t="str">
        <v>18</v>
      </c>
      <c r="G63" t="str">
        <v>46145</v>
      </c>
      <c r="H63" t="str">
        <v>Zalopay mừng kỉ niệm 50 năm FAHASA</v>
      </c>
      <c r="I63" t="str">
        <v>46132</v>
      </c>
      <c r="J63" t="str">
        <v>Players Movement</v>
      </c>
      <c r="K63" t="str">
        <v>Zalopay</v>
      </c>
      <c r="L63" t="str">
        <v>Partnership</v>
      </c>
      <c r="M63" t="str">
        <v>Merchant/ Retailer</v>
      </c>
      <c r="N63" t="str">
        <v>Partnership | Merchant/ Retailer</v>
      </c>
      <c r="O63" t="str">
        <v>Zalopay x FAHASA: Ưu đãi 15k-25k-50k thanh toán bằng ZaloPay trên website/ app</v>
      </c>
      <c r="P63" t="str">
        <v>Partnership Campaign thúc đẩy hành vi thanh toán bằng ZaloPay - ví trả sau trên web/ app Fahasa - nhân dịp Fahasa kỉ niệm 50 năm
Giảm 25k đơn từ 150k thanh toán bằng Tài khoản trả sau
Giảm 15k đơn bất kì
Giảm 50k đơn từ 300k
Điều kiện: 1 lần/ tháng</v>
      </c>
      <c r="Q63" s="38" t="str">
        <v>46142</v>
      </c>
      <c r="R63" s="38" t="str">
        <v>46203</v>
      </c>
      <c r="S63" t="str">
        <v/>
      </c>
      <c r="T63" t="str">
        <v>3</v>
      </c>
      <c r="U63" t="str">
        <v>4</v>
      </c>
      <c r="V63" t="str">
        <v/>
      </c>
      <c r="W63" t="str">
        <v/>
      </c>
      <c r="X63" t="str">
        <v>3.4</v>
      </c>
      <c r="Y63" t="str">
        <v>Marketing/ Growth</v>
      </c>
      <c r="Z63" t="str">
        <v/>
      </c>
    </row>
    <row r="64" spans="1:26">
      <c r="A64" t="str">
        <v>423</v>
      </c>
      <c r="B64" t="str">
        <v>https://www.momo.vn/tin-tuc/khuyen-mai/hoan-toi-100000d-khi-qua-tram-etc-dung-momo-thanh-8683</v>
      </c>
      <c r="C64" t="str">
        <v>MoMo × ePass: Hoàn 100k khi thanh toán qua trạm ETC</v>
      </c>
      <c r="D64" t="str">
        <v>MoMo Website</v>
      </c>
      <c r="E64" t="str">
        <v>4 - Strategic shift</v>
      </c>
      <c r="F64" t="str">
        <v>18</v>
      </c>
      <c r="G64" t="str">
        <v>46145</v>
      </c>
      <c r="H64" t="str">
        <v>Hoàn tới 100.000đ khi qua trạm ETC, dùng MoMo thanh toán ePass</v>
      </c>
      <c r="I64" t="str">
        <v>46135</v>
      </c>
      <c r="J64" t="str">
        <v>Players Movement</v>
      </c>
      <c r="K64" t="str">
        <v>MoMo</v>
      </c>
      <c r="L64" t="str">
        <v>Marketing</v>
      </c>
      <c r="M64" t="str">
        <v>User acquisition</v>
      </c>
      <c r="N64" t="str">
        <v>Marketing | User acquisition</v>
      </c>
      <c r="O64" t="str">
        <v>MoMo × ePass: Hoàn 100k khi thanh toán qua trạm ETC</v>
      </c>
      <c r="P64" t="str">
        <v>MoMo triển khai ưu đãi cashback thu mới người dùng mới liên kết và thanh toán ETC mới qua MoMo.
Thời gian: 24/04 – 04/05/2026
Đối tượng: Người dùng lần đầu liên kết ePass với MoMo
Ưu đãi:
Giảm tới 3 triệu khi mua Bảo hiểm Thân vỏ Ô tô ngay + Hoàn 120k khi mua Bảo hiểm Trách nhiệm dân sự Ô tô khi liên kết xong
Hoàn thêm tới 100k cho người dùng liên kết và qua trạm sớm nhất
Hạn sử dụng ưu đãi: 3 ngày kể từ khi nhận
Giới hạn: Mỗi tài khoản được hưởng ưu đãi 1 lần duy nhất</v>
      </c>
      <c r="Q64" s="38" t="str">
        <v>46136</v>
      </c>
      <c r="R64" s="38" t="str">
        <v>46146</v>
      </c>
      <c r="S64" t="str">
        <v>ePass; ETC; cashback; hoàn tiền; 100K; user activation; phí không dừng</v>
      </c>
      <c r="T64" t="str">
        <v>3</v>
      </c>
      <c r="U64" t="str">
        <v>4.5</v>
      </c>
      <c r="V64" t="str">
        <v/>
      </c>
      <c r="W64" t="str">
        <v/>
      </c>
      <c r="X64" t="str">
        <v>3.6</v>
      </c>
      <c r="Y64" t="str">
        <v>Marketing/ Growth</v>
      </c>
      <c r="Z64" t="str">
        <v/>
      </c>
    </row>
    <row r="65" spans="1:26">
      <c r="A65" t="str">
        <v>424</v>
      </c>
      <c r="B65" t="str">
        <v>https://www.momo.vn/tin-tuc/tin-tuc-su-kien/mung-cot-moc-4-trieu-tai-khoan-mua-vietlott-nhan-8684</v>
      </c>
      <c r="C65" t="str">
        <v>MoMo x Vietlott: Nhận quà 40k khi mở tài khoản VietlottSMS</v>
      </c>
      <c r="D65" t="str">
        <v>MoMo Website</v>
      </c>
      <c r="E65" t="str">
        <v>3 - Market signal</v>
      </c>
      <c r="F65" t="str">
        <v>18</v>
      </c>
      <c r="G65" t="str">
        <v>46145</v>
      </c>
      <c r="H65" t="str">
        <v>Mừng cột mốc 4 triệu tài khoản: Mua Vietlott, nhận quà mỗi ngày</v>
      </c>
      <c r="I65" t="str">
        <v>46136</v>
      </c>
      <c r="J65" t="str">
        <v>Players Movement</v>
      </c>
      <c r="K65" t="str">
        <v>MoMo</v>
      </c>
      <c r="L65" t="str">
        <v>Marketing</v>
      </c>
      <c r="M65" t="str">
        <v>User activation</v>
      </c>
      <c r="N65" t="str">
        <v>Marketing | User activation</v>
      </c>
      <c r="O65" t="str">
        <v>MoMo x Vietlott: Nhận quà 40k khi mở tài khoản VietlottSMS</v>
      </c>
      <c r="P65" t="str">
        <v>MoMo kết hợp với Vietlott triển khai chương trình "4 Triệu người - Triệu niềm vui" nhằm kỷ niệm cột mốc 4 triệu tài khoản Vietlott SMS
Thời gian: 23/04 – 29/04
Cách thức: Mở tài khoản Vietlott SMS trên MoMo
Ưu đãi: Mã quà tặng 40.000 khi mua vé Vietlott
Đối tượng: 40 khách hàng mở thành công tài khoản và có phát sinh giao dịch sớm nhất trong ngày trên MoMo
Giới hạn: 1 mã quà tặng/ 1 khách hàng
Bên cạnh đó, MoMo cũng đã có những cập nhật tính năng mới trên Vietlott SMS bao gồm: Sản phẩm xổ số trong hôm nay, Tra cứu kết quả và tặng vé số, Tống kê xổ số, Đoán số vui theo tử vi, Trung tâm vé số</v>
      </c>
      <c r="Q65" s="38" t="str">
        <v>46135</v>
      </c>
      <c r="R65" s="38" t="str">
        <v>46141</v>
      </c>
      <c r="S65" t="str">
        <v>Vietlott SMS; 4 triệu tài khoản; milestone; quà mỗi ngày; daily streak; Ticket vertical</v>
      </c>
      <c r="T65" t="str">
        <v>3</v>
      </c>
      <c r="U65" t="str">
        <v>4</v>
      </c>
      <c r="V65" t="str">
        <v/>
      </c>
      <c r="W65" t="str">
        <v/>
      </c>
      <c r="X65" t="str">
        <v>3.4</v>
      </c>
      <c r="Y65" t="str">
        <v>Marketing/ Growth</v>
      </c>
      <c r="Z65" t="str">
        <v/>
      </c>
    </row>
    <row r="66" spans="1:26">
      <c r="A66" t="str">
        <v>425</v>
      </c>
      <c r="B66" t="str">
        <v>https://www.facebook.com/share/p/18m91UGuDV/?mibextid=wwXIfr</v>
      </c>
      <c r="C66" t="str">
        <v>GrabFood: Ngày đôi 5.5 - Ưu đãi 50%, Mua 1 tặng 1, Mua 2 tặng 1 20+ thương hiệu</v>
      </c>
      <c r="D66" t="str">
        <v>Grab Fanpage</v>
      </c>
      <c r="E66" t="str">
        <v>4 - Strategic shift</v>
      </c>
      <c r="F66" t="str">
        <v>18</v>
      </c>
      <c r="G66" t="str">
        <v>46145</v>
      </c>
      <c r="H66" t="str">
        <v>Grab tung deal ngày đôi 5.5</v>
      </c>
      <c r="I66" t="str">
        <v>46145</v>
      </c>
      <c r="J66" t="str">
        <v>Players Movement</v>
      </c>
      <c r="K66" t="str">
        <v>Grab</v>
      </c>
      <c r="L66" t="str">
        <v>Marketing</v>
      </c>
      <c r="M66" t="str">
        <v>Transaction growth</v>
      </c>
      <c r="N66" t="str">
        <v>Marketing | Transaction growth</v>
      </c>
      <c r="O66" t="str">
        <v>GrabFood: Ngày đôi 5.5 - Ưu đãi 50%, Mua 1 tặng 1, Mua 2 tặng 1 20+ thương hiệu</v>
      </c>
      <c r="P66" t="str">
        <v>20+ thương hiệu với ưu đãi trực tiếp đến 50% + voucher giảm thêm đến 50k
Starbucks: Mua 1 tặng 1 Dolce Espresso
Katinat: Mua 2 tặng 1
Phê la: Tặng món size Phê khi mua 2 size La
Highlands Coffee: Mua 1 tặng 1
The Pizza Company: Mua 1 tặng 1 pizza
McDonald's: Mua 1 tặng 1 chỉ 149k
Phúc Long: Combe 2 ly Best Sellers chỉ 79k
Mì Cay Sasin: Combo Mì kim chi + 1 lon Cocacola giảm đến 40%
Cà phê Muối Chú Long: Combo Cà phê giảm 50% + Cà phê muối Size L đồng giá 5k
Bún bò Huế An Cựu: Tô thường không móng giảm đến 50%
Bún đậu Homemade: Combo bún đậu + trà chanh giảm đến 50%
Popeyes: Gà giòn Signature giảm đến 35%
Cơm thố Bách Khoa: Giảm 40% cơm thố gà
Bún chả HN 1982: Giảm 50%
Tocotoc: Best seller giảm 50%
Jolibee: 2 gà giòn + 2 mỳ ý vừa + 1 khoa tây chiên vừa + 2 nước ngọt vừa giảm 180k xuống 145k
KFC: 2 gà + 1 burger tôm + 1 pepsi 136k còn 99k
Trà sữa Đô Đô: Mua 2 tặng 1 chỉ 85k + Giảm thêm 30k đơn từ 60k
Cơm thố An Nguyễn: Giảm 30% cho cơm xá xíu + Giảm thêm 40k đơn từ 80k
Trà sữa Winggo: Đồng giá 29k trà sữa nướng, trân châu đường đen + Giảm thêm 25k đơn từ 50k
Mokchang: Giảm 50% kimbap truyền thống, cơm trộn + Giảm thêm 45k đơn 100k</v>
      </c>
      <c r="Q66" s="38" t="str">
        <v>46146</v>
      </c>
      <c r="R66" s="38" t="str">
        <v>46152</v>
      </c>
      <c r="S66" t="str">
        <v/>
      </c>
      <c r="T66" t="str">
        <v>4</v>
      </c>
      <c r="U66" t="str">
        <v>4</v>
      </c>
      <c r="V66" t="str">
        <v/>
      </c>
      <c r="W66" t="str">
        <v/>
      </c>
      <c r="X66" t="str">
        <v>4</v>
      </c>
      <c r="Y66" t="str">
        <v>Marketing/ Growth</v>
      </c>
      <c r="Z66" t="str">
        <v/>
      </c>
    </row>
    <row r="67" spans="1:26">
      <c r="A67" t="str">
        <v>426</v>
      </c>
      <c r="B67" t="str">
        <v>https://www.momo.vn/tin-tuc/tin-tuc-su-kien/don-dai-le-mo-tai-khoan-vietlott-sms-nhan-qua-8691</v>
      </c>
      <c r="C67" t="str">
        <v>MoMo x Vietlott: Nhận quà 50k khi mở tài khoản VietlottSMS</v>
      </c>
      <c r="D67" t="str">
        <v>MoMo Website</v>
      </c>
      <c r="E67" t="str">
        <v>3 - Market signal</v>
      </c>
      <c r="F67" t="str">
        <v>18</v>
      </c>
      <c r="G67" t="str">
        <v>46145</v>
      </c>
      <c r="H67" t="str">
        <v>Đón đại lễ: Mở tài khoản Vietlott SMS, nhận quà 50.000đ</v>
      </c>
      <c r="I67" t="str">
        <v>46141</v>
      </c>
      <c r="J67" t="str">
        <v>Players Movement</v>
      </c>
      <c r="K67" t="str">
        <v>MoMo</v>
      </c>
      <c r="L67" t="str">
        <v>Marketing</v>
      </c>
      <c r="M67" t="str">
        <v>User activation</v>
      </c>
      <c r="N67" t="str">
        <v>Marketing | User activation</v>
      </c>
      <c r="O67" t="str">
        <v>MoMo x Vietlott: Nhận quà 50k khi mở tài khoản VietlottSMS</v>
      </c>
      <c r="P67" t="str">
        <v>MoMo triển khai ưu đãi thu hút người dùng mới đăng ký Vietlott SMS nhân dịp Đại Lễ 30/4.
Thời gian: 28/04 – 10/05
Cách thức: Mở mới tài khoản Vietlott SMS trên MoMo
Ưu đãi: Mã quà tặng 50.000 khi mua vé Vietlott
Hạn sử dụng mã quà: 7 ngày kể từ khi nhận
Đối tượng: 20 khách hàng mở thành công tài khoản và có phát sinh giao dịch sớm nhất trong ngày trên MoMo
Giới hạn: 1 mã quà tặng/ 1 khách hàng</v>
      </c>
      <c r="Q67" s="38" t="str">
        <v>46140</v>
      </c>
      <c r="R67" s="38" t="str">
        <v>46152</v>
      </c>
      <c r="S67" t="str">
        <v>Vietlott SMS; Đại Lễ 30/4; user acquisition; mở tài khoản; 50K; lottery; Ticket vertical</v>
      </c>
      <c r="T67" t="str">
        <v>3</v>
      </c>
      <c r="U67" t="str">
        <v>4</v>
      </c>
      <c r="V67" t="str">
        <v/>
      </c>
      <c r="W67" t="str">
        <v/>
      </c>
      <c r="X67" t="str">
        <v>3.4</v>
      </c>
      <c r="Y67" t="str">
        <v>Marketing/ Growth</v>
      </c>
      <c r="Z67" t="str">
        <v/>
      </c>
    </row>
    <row r="68" spans="1:26">
      <c r="A68" t="str">
        <v>427</v>
      </c>
      <c r="B68" t="str">
        <v/>
      </c>
      <c r="C68" t="str">
        <v>Zalopay x Grab/GSM: Ưu đãi thanh toán bằng Zalopay</v>
      </c>
      <c r="D68" t="str">
        <v>Zalo App</v>
      </c>
      <c r="E68" t="str">
        <v>3 - Market signal</v>
      </c>
      <c r="F68" t="str">
        <v>18</v>
      </c>
      <c r="G68" t="str">
        <v>46145</v>
      </c>
      <c r="H68" t="str">
        <v>Chơi lễ tiệc linh đình - Lên xe đi cho khỏe</v>
      </c>
      <c r="I68" t="str">
        <v>46136</v>
      </c>
      <c r="J68" t="str">
        <v>Players Movement</v>
      </c>
      <c r="K68" t="str">
        <v>Zalopay</v>
      </c>
      <c r="L68" t="str">
        <v>Partnership</v>
      </c>
      <c r="M68" t="str">
        <v>Transport/ Mobility</v>
      </c>
      <c r="N68" t="str">
        <v>Partnership | Transport/ Mobility</v>
      </c>
      <c r="O68" t="str">
        <v>Zalopay x Grab/GSM: Ưu đãi thanh toán bằng Zalopay</v>
      </c>
      <c r="P68" t="str">
        <v>Nhập mã ZLPDAILE giảm 30% tối đa 40k cho mọi chuyến xe khi thanh toán bằng Zalopay trên Grab, GreenSM</v>
      </c>
      <c r="Q68" s="38" t="str">
        <v>46136</v>
      </c>
      <c r="R68" s="38" t="str">
        <v>46142</v>
      </c>
      <c r="S68" t="str">
        <v/>
      </c>
      <c r="T68" t="str">
        <v>3</v>
      </c>
      <c r="U68" t="str">
        <v>3.6</v>
      </c>
      <c r="V68" t="str">
        <v/>
      </c>
      <c r="W68" t="str">
        <v/>
      </c>
      <c r="X68" t="str">
        <v>3.24</v>
      </c>
      <c r="Y68" t="str">
        <v>Marketing/ Growth</v>
      </c>
      <c r="Z68" t="str">
        <v/>
      </c>
    </row>
    <row r="69" spans="1:26">
      <c r="A69" t="str">
        <v>428</v>
      </c>
      <c r="B69" t="str">
        <v>https://www.momo.vn/tin-tuc/khuyen-mai/gui-tien-tu-nuoc-ngoai-qua-taptap-send-nhan-them-8692</v>
      </c>
      <c r="C69" t="str">
        <v>MoMo × Taptap Send: Gửi kiều hối từ nước ngoài nhận quà đến 900k</v>
      </c>
      <c r="D69" t="str">
        <v>MoMo Website</v>
      </c>
      <c r="E69" t="str">
        <v>4 - Strategic shift</v>
      </c>
      <c r="F69" t="str">
        <v>18</v>
      </c>
      <c r="G69" t="str">
        <v>46145</v>
      </c>
      <c r="H69" t="str">
        <v>Gửi tiền từ nước ngoài qua Taptap Send: Nhận thêm quà lên đến 900K!</v>
      </c>
      <c r="I69" t="str">
        <v>46141</v>
      </c>
      <c r="J69" t="str">
        <v>Players Movement</v>
      </c>
      <c r="K69" t="str">
        <v>MoMo</v>
      </c>
      <c r="L69" t="str">
        <v>Marketing</v>
      </c>
      <c r="M69" t="str">
        <v>User activation</v>
      </c>
      <c r="N69" t="str">
        <v>Marketing | User activation</v>
      </c>
      <c r="O69" t="str">
        <v>MoMo × Taptap Send: Gửi kiều hối từ nước ngoài nhận quà đến 900k</v>
      </c>
      <c r="P69" t="str">
        <v>MoMo hợp tác Taptap Send triển khai ưu đãi thúc đẩy người gửi kiều hối từ nước ngoài về Việt Nam qua MoMo.
Thời gian: 06/05 - 31/05
Đối tượng: Người gửi ở nước ngoài chuyển tiền lần đầu qua website/ứng dụng Taptap Send về Ví MoMo
Ưu đãi: Người gửi nhận quà trị giá đến 900.000đ; cộng trực tiếp vào số tiền gửi
Phạm vi: Các quốc gia trong mạng lưới Taptap Send (Mỹ, Anh, Canada, Úc, châu Âu...)</v>
      </c>
      <c r="Q69" s="38" t="str">
        <v>46148</v>
      </c>
      <c r="R69" s="38" t="str">
        <v>46173</v>
      </c>
      <c r="S69" t="str">
        <v>Taptap Send; kiều hối; remittance; 900K; overseas; user acquisition; cross-border</v>
      </c>
      <c r="T69" t="str">
        <v>4</v>
      </c>
      <c r="U69" t="str">
        <v>4</v>
      </c>
      <c r="V69" t="str">
        <v/>
      </c>
      <c r="W69" t="str">
        <v/>
      </c>
      <c r="X69" t="str">
        <v>4</v>
      </c>
      <c r="Y69" t="str">
        <v>Fintech/ Đầu tư</v>
      </c>
      <c r="Z69" t="str">
        <v/>
      </c>
    </row>
    <row r="70" spans="1:26">
      <c r="A70" t="str">
        <v>429</v>
      </c>
      <c r="B70" t="str">
        <v>https://www.momo.vn/tin-tuc/khuyen-mai/tap-hoa-tuoi-tho-tim-lai-ky-uc-xua-rinh-qua-may-8681</v>
      </c>
      <c r="C70" t="str">
        <v>Gamification: Tạp Hoá Tuổi Thơ – Tham gia nhiệm vụ và nhận quà với tổng thưởng đến 1 tỷ đồng</v>
      </c>
      <c r="D70" t="str">
        <v>MoMo Website</v>
      </c>
      <c r="E70" t="str">
        <v>3 - Market signal</v>
      </c>
      <c r="F70" t="str">
        <v>18</v>
      </c>
      <c r="G70" t="str">
        <v>46145</v>
      </c>
      <c r="H70" t="str">
        <v>Tạp Hóa Tuổi Thơ: Tìm lại ký ức xưa, rinh quà may mắn với tổng thưởng đến 1 tỷ đồng!</v>
      </c>
      <c r="I70" t="str">
        <v>46135</v>
      </c>
      <c r="J70" t="str">
        <v>Players Movement</v>
      </c>
      <c r="K70" t="str">
        <v>MoMo</v>
      </c>
      <c r="L70" t="str">
        <v>Marketing</v>
      </c>
      <c r="M70" t="str">
        <v>User engagement</v>
      </c>
      <c r="N70" t="str">
        <v>Marketing | User engagement</v>
      </c>
      <c r="O70" t="str">
        <v>Gamification: Tạp Hoá Tuổi Thơ – Tham gia nhiệm vụ và nhận quà với tổng thưởng đến 1 tỷ đồng</v>
      </c>
      <c r="P70" t="str">
        <v>MoMo triển khai chương trình "Tạp Hóa Tuổi Thơ: Tìm lại ký ức xưa, rinh quà may mắn" khai thác cảm xúc ký ức để tăng engagement, đẩy mạnh tương tác với SPDV của MoMo.
Thời gian: 22/04 – 31/05/2026
Tổng thưởng: 1 tỷ đồng
Nhiệm vụ: Mời bạn bè dùng MoMo, Liên kết ngân hàng với MoMo, Tạo tài khoản ngân hàng trên MoMo, Nạp tiền vào Túi Thần Tài, Chuyển 111đ tới tài khoản MoMo khác, Chuyển tiền tới ngân hàng, Thanh toán dịch vụ, Kiểm tra CIC...
Phần thưởng cho mỗi lần đánh giá uy tín: Bao lì xì tiền mặt 99đ - 50k, Thẻ quà tặng giảm giá 2k-3k-5k khi thanh toán nhiều SPDV
Cách thức tham gia: Hoàn thành nhiệm vụ → nhận điểm uy tín → dùng như 1 lượt lắc nhận quà</v>
      </c>
      <c r="Q70" s="38" t="str">
        <v>46134</v>
      </c>
      <c r="R70" s="38" t="str">
        <v>46173</v>
      </c>
      <c r="S70" t="str">
        <v>Tạp Hóa Tuổi Thơ; gamification; 1 tỷ; nhiệm vụ; lắc quà; CIC; Túi Thần Tài</v>
      </c>
      <c r="T70" t="str">
        <v>3</v>
      </c>
      <c r="U70" t="str">
        <v>4</v>
      </c>
      <c r="V70" t="str">
        <v/>
      </c>
      <c r="W70" t="str">
        <v/>
      </c>
      <c r="X70" t="str">
        <v>3.4</v>
      </c>
      <c r="Y70" t="str">
        <v>Marketing/ Growth</v>
      </c>
      <c r="Z70" t="str">
        <v/>
      </c>
    </row>
    <row r="71" spans="1:26">
      <c r="A71" t="str">
        <v>430</v>
      </c>
      <c r="B71" t="str">
        <v>https://www.momo.vn/tin-tuc/khuyen-mai/san-sap-sai-gon-rinh-loat-qua-momo-dip-dai-le-tai-8679</v>
      </c>
      <c r="C71" t="str">
        <v>Gamification MoMo Movies: Chơi “Săn Sập Sài Gòn” vừa xem phim hay vừa rinh pin cài, túi tote, Mô Ngọ</v>
      </c>
      <c r="D71" t="str">
        <v>MoMo Website</v>
      </c>
      <c r="E71" t="str">
        <v>4 - Strategic shift</v>
      </c>
      <c r="F71" t="str">
        <v>18</v>
      </c>
      <c r="G71" t="str">
        <v>46145</v>
      </c>
      <c r="H71" t="str">
        <v>Săn Sập Sài Gòn: Rinh loạt quà MoMo dịp đại lễ tại cực dễ!</v>
      </c>
      <c r="I71" t="str">
        <v>46134</v>
      </c>
      <c r="J71" t="str">
        <v>Players Movement</v>
      </c>
      <c r="K71" t="str">
        <v>MoMo</v>
      </c>
      <c r="L71" t="str">
        <v>Marketing</v>
      </c>
      <c r="M71" t="str">
        <v>User engagement</v>
      </c>
      <c r="N71" t="str">
        <v>Marketing | User engagement</v>
      </c>
      <c r="O71" t="str">
        <v>Gamification MoMo Movies: Chơi “Săn Sập Sài Gòn” vừa xem phim hay vừa rinh pin cài, túi tote, Mô Ngọ</v>
      </c>
      <c r="P71" t="str">
        <v>MoMo triển khai chiến dịch riêng nhằm thúc đẩy tương tác và giao dịch trên MoMo Movies thông qua Gamifications "Săn sập Sài Gòn"
Thời gian diễn ra: 24/04 - 05/05
Cách thức tham gia: Làm nhiệm vụ và tích lũy tem theo từng chặng, tích đủ tem để nhận quà
Nhiệm vụ: Mua vé xem phim, Review phim, Sử dụng Ví trả sau thanh toán vé xem phim/ bắp nước, Tham gia Cộng đồng Ghiền Xem Phim, Theo dõi trang MoMo Movies
Phần thưởng: pin cài, túi tote, lịch để bàn, mô hình Mô Ngọ</v>
      </c>
      <c r="Q71" s="38" t="str">
        <v>46136</v>
      </c>
      <c r="R71" s="38" t="str">
        <v>46147</v>
      </c>
      <c r="S71" t="str">
        <v>Đại lễ 30/4; Sài Gòn; campaign tổng hợp; merchant; ưu đãi; 1/5</v>
      </c>
      <c r="T71" t="str">
        <v>3</v>
      </c>
      <c r="U71" t="str">
        <v>5</v>
      </c>
      <c r="V71" t="str">
        <v/>
      </c>
      <c r="W71" t="str">
        <v/>
      </c>
      <c r="X71" t="str">
        <v>3.8</v>
      </c>
      <c r="Y71" t="str">
        <v>Marketing/ Growth</v>
      </c>
      <c r="Z71" t="str">
        <v/>
      </c>
    </row>
    <row r="72" spans="1:26">
      <c r="A72" t="str">
        <v>431</v>
      </c>
      <c r="B72" t="str">
        <v>https://www.momo.vn/tin-tuc/khuyen-mai/dat-ve-may-bay-tau-xe-khach-san-tren-momo-travel-8688</v>
      </c>
      <c r="C72" t="str">
        <v>MoMo Du lịch đi lại × Green SM: Đặt dịch vụ du lịch nhận giảm 20% max 50k đi xe Green SM</v>
      </c>
      <c r="D72" t="str">
        <v>MoMo Website</v>
      </c>
      <c r="E72" t="str">
        <v>4 - Strategic shift</v>
      </c>
      <c r="F72" t="str">
        <v>18</v>
      </c>
      <c r="G72" t="str">
        <v>46145</v>
      </c>
      <c r="H72" t="str">
        <v>Đặt vé máy bay/tàu/xe/khách sạn trên MoMo Travel - Nhận ưu đãi Green SM giảm đến 50.000Đ</v>
      </c>
      <c r="I72" t="str">
        <v>46136</v>
      </c>
      <c r="J72" t="str">
        <v>Players Movement</v>
      </c>
      <c r="K72" t="str">
        <v>MoMo</v>
      </c>
      <c r="L72" t="str">
        <v>Partnership</v>
      </c>
      <c r="M72" t="str">
        <v>Transport/ Mobility</v>
      </c>
      <c r="N72" t="str">
        <v>Partnership | Transport/ Mobility</v>
      </c>
      <c r="O72" t="str">
        <v>MoMo Du lịch đi lại × Green SM: Đặt dịch vụ du lịch nhận giảm 20% max 50k đi xe Green SM</v>
      </c>
      <c r="P72" t="str">
        <v>MoMo Travel hợp tác với Green SM cung cấp ưu đãi cross-service: Đặt vé máy bay/tàu/xe/khách sạn được kèm voucher giảm 50.000đ đi xe Green SM.
Thời gian: từ ngày 24/04
Ưu đãi: Voucher giảm 20% tối đa 50.000đ cho chuyến đi Green SM bằng xe máy/ xe hơi
Áp dụng: Người dùng đặt bất kỳ dịch vụ nào trên MoMo Travel trong thời gian chương trình
Giới hạn: Tối đa 1 lần/1 khách hàng</v>
      </c>
      <c r="Q72" s="38" t="str">
        <v>46136</v>
      </c>
      <c r="R72" s="38" t="str">
        <v/>
      </c>
      <c r="S72" t="str">
        <v>MoMo Travel; Green SM; xe điện; VinGroup; travel bundle; vé máy bay; khách sạn</v>
      </c>
      <c r="T72" t="str">
        <v>3</v>
      </c>
      <c r="U72" t="str">
        <v>5</v>
      </c>
      <c r="V72" t="str">
        <v/>
      </c>
      <c r="W72" t="str">
        <v/>
      </c>
      <c r="X72" t="str">
        <v>3.8</v>
      </c>
      <c r="Y72" t="str">
        <v>Marketing/ Growth</v>
      </c>
      <c r="Z72" t="str">
        <v/>
      </c>
    </row>
    <row r="73" spans="1:26">
      <c r="A73" t="str">
        <v>432</v>
      </c>
      <c r="B73" t="str">
        <v>https://www.facebook.com/share/p/1ENdrdicSp/?mibextid=wwXIfr</v>
      </c>
      <c r="C73" t="str">
        <v>GrabFood: Thưởng 304 GrabXu cho 3004 đơn hàng đầu tiên mỗi ngày</v>
      </c>
      <c r="D73" t="str">
        <v>Grab Fanpage</v>
      </c>
      <c r="E73" t="str">
        <v>4 - Strategic shift</v>
      </c>
      <c r="F73" t="str">
        <v>18</v>
      </c>
      <c r="G73" t="str">
        <v>46145</v>
      </c>
      <c r="H73" t="str">
        <v>Mở tiệc đón lễ - GrabFood tặng 304 GrabXu</v>
      </c>
      <c r="I73" t="str">
        <v>46139</v>
      </c>
      <c r="J73" t="str">
        <v>Players Movement</v>
      </c>
      <c r="K73" t="str">
        <v>Grab</v>
      </c>
      <c r="L73" t="str">
        <v>Marketing</v>
      </c>
      <c r="M73" t="str">
        <v>Transaction growth</v>
      </c>
      <c r="N73" t="str">
        <v>Marketing | Transaction growth</v>
      </c>
      <c r="O73" t="str">
        <v>GrabFood: Thưởng 304 GrabXu cho 3004 đơn hàng đầu tiên mỗi ngày</v>
      </c>
      <c r="P73" t="str">
        <v>- Thời gian: 27/04 - 01/05
- Ưu đãi: Thưởng 304 GrabXu cho 30004 người dùng đầu tiên đặt đơn hàng GrabFood bất kỳ giá trị nào</v>
      </c>
      <c r="Q73" s="38" t="str">
        <v>46139</v>
      </c>
      <c r="R73" s="38" t="str">
        <v>46143</v>
      </c>
      <c r="S73" t="str">
        <v/>
      </c>
      <c r="T73" t="str">
        <v>3</v>
      </c>
      <c r="U73" t="str">
        <v>4.2</v>
      </c>
      <c r="V73" t="str">
        <v/>
      </c>
      <c r="W73" t="str">
        <v/>
      </c>
      <c r="X73" t="str">
        <v>3.48</v>
      </c>
      <c r="Y73" t="str">
        <v>Marketing/ Growth</v>
      </c>
      <c r="Z73" t="str">
        <v/>
      </c>
    </row>
    <row r="74" spans="1:26">
      <c r="A74" t="str">
        <v>433</v>
      </c>
      <c r="B74" t="str">
        <v>https://www.facebook.com/share/p/17nwMHMf6b/?mibextid=wwXIfr</v>
      </c>
      <c r="C74" t="str">
        <v>GrabFood: Giảm 34% tối đa 34k tại 34 tỉnh thành</v>
      </c>
      <c r="D74" t="str">
        <v>Grab Fanpage</v>
      </c>
      <c r="E74" t="str">
        <v>4 - Strategic shift</v>
      </c>
      <c r="F74" t="str">
        <v>18</v>
      </c>
      <c r="G74" t="str">
        <v>46145</v>
      </c>
      <c r="H74" t="str">
        <v>du hí 34 tỉnh thành - Món ngon tỉnh nào Grab cũng mời</v>
      </c>
      <c r="I74" t="str">
        <v>46137</v>
      </c>
      <c r="J74" t="str">
        <v>Players Movement</v>
      </c>
      <c r="K74" t="str">
        <v>Grab</v>
      </c>
      <c r="L74" t="str">
        <v>Marketing</v>
      </c>
      <c r="M74" t="str">
        <v>Transaction growth</v>
      </c>
      <c r="N74" t="str">
        <v>Marketing | Transaction growth</v>
      </c>
      <c r="O74" t="str">
        <v>GrabFood: Giảm 34% tối đa 34k tại 34 tỉnh thành</v>
      </c>
      <c r="P74" t="str">
        <v>Nhập đã khi du lịch tại tỉnh thành để giảm 34% tối đa 34k cho tất cả các tỉnh thành</v>
      </c>
      <c r="Q74" s="38" t="str">
        <v>46137</v>
      </c>
      <c r="R74" s="38" t="str">
        <v>46145</v>
      </c>
      <c r="S74" t="str">
        <v/>
      </c>
      <c r="T74" t="str">
        <v>3</v>
      </c>
      <c r="U74" t="str">
        <v>4.2</v>
      </c>
      <c r="V74" t="str">
        <v/>
      </c>
      <c r="W74" t="str">
        <v/>
      </c>
      <c r="X74" t="str">
        <v>3.48</v>
      </c>
      <c r="Y74" t="str">
        <v>Marketing/ Growth</v>
      </c>
      <c r="Z74" t="str">
        <v/>
      </c>
    </row>
    <row r="75" spans="1:26">
      <c r="A75" t="str">
        <v>434</v>
      </c>
      <c r="B75" t="str">
        <v>https://www.facebook.com/share/p/18dhQGoDTA/?mibextid=wwXIfr</v>
      </c>
      <c r="C75" t="str">
        <v>GrabXu Flashsale: Giảm sâu đến 89% cho mọi ưu đãi dịch vụ Grab được đổi trên GrabXu</v>
      </c>
      <c r="D75" t="str">
        <v>Grab Fanpage</v>
      </c>
      <c r="E75" t="str">
        <v>4 - Strategic shift</v>
      </c>
      <c r="F75" t="str">
        <v>18</v>
      </c>
      <c r="G75" t="str">
        <v>46145</v>
      </c>
      <c r="H75" t="str">
        <v>Lễ lớn rộn ràng - GrabXu Flash Sales</v>
      </c>
      <c r="I75" t="str">
        <v>46137</v>
      </c>
      <c r="J75" t="str">
        <v>Players Movement</v>
      </c>
      <c r="K75" t="str">
        <v>Grab</v>
      </c>
      <c r="L75" t="str">
        <v>Marketing</v>
      </c>
      <c r="M75" t="str">
        <v>Transaction growth</v>
      </c>
      <c r="N75" t="str">
        <v>Marketing | Transaction growth</v>
      </c>
      <c r="O75" t="str">
        <v>GrabXu Flashsale: Giảm sâu đến 89% cho mọi ưu đãi dịch vụ Grab được đổi trên GrabXu</v>
      </c>
      <c r="P75" t="str">
        <v>Grab tung Flash Sales mừng đại lễ cho phép người dùng đổi dịch vụ Grab bằng GrabXu với ưu đãi
- Đổi voucher giảm 10k GrabBike/GrabFood = 100 xu (thay vì 303 xu)
- Đổi voucher giảm 30k Grab Car Premium = 100 xu (thay vì 909 xu)
- Đổi voucher giảm GrabBike/ GrabCar/GrabFood với ưu đãi giảm 10% xu
- Đổi voucher giảm GrabBike/ GrabCar/GrabFood với ưu đãi giảm 15% xu
- Đổi voucher giảm đến 300k cho các thương hiệu = 100 xu: A Mà, KFC, Ông Bầu, Vexere, Ngọc Dung, BepBo, Somtam</v>
      </c>
      <c r="Q75" s="38" t="str">
        <v>46138</v>
      </c>
      <c r="R75" s="38" t="str">
        <v>46142</v>
      </c>
      <c r="S75" t="str">
        <v/>
      </c>
      <c r="T75" t="str">
        <v>3</v>
      </c>
      <c r="U75" t="str">
        <v>4.1</v>
      </c>
      <c r="V75" t="str">
        <v/>
      </c>
      <c r="W75" t="str">
        <v/>
      </c>
      <c r="X75" t="str">
        <v>3.44</v>
      </c>
      <c r="Y75" t="str">
        <v>Marketing/ Growth</v>
      </c>
      <c r="Z75" t="str">
        <v/>
      </c>
    </row>
    <row r="76" spans="1:26">
      <c r="A76" t="str">
        <v>435</v>
      </c>
      <c r="B76" t="str">
        <v/>
      </c>
      <c r="C76" t="str">
        <v>GrabCar Thú cưng: Thưởng 30% GrabXu</v>
      </c>
      <c r="D76" t="str">
        <v>Grab App</v>
      </c>
      <c r="E76" t="str">
        <v>4 - Strategic shift</v>
      </c>
      <c r="F76" t="str">
        <v>18</v>
      </c>
      <c r="G76" t="str">
        <v>46145</v>
      </c>
      <c r="H76" t="str">
        <v>Grab Car Thú cưng - Thưởng 30% GrabXu</v>
      </c>
      <c r="I76" t="str">
        <v>46134</v>
      </c>
      <c r="J76" t="str">
        <v>Players Movement</v>
      </c>
      <c r="K76" t="str">
        <v>Grab</v>
      </c>
      <c r="L76" t="str">
        <v>Marketing</v>
      </c>
      <c r="M76" t="str">
        <v>User acquisition</v>
      </c>
      <c r="N76" t="str">
        <v>Marketing | User acquisition</v>
      </c>
      <c r="O76" t="str">
        <v>GrabCar Thú cưng: Thưởng 30% GrabXu</v>
      </c>
      <c r="P76" t="str">
        <v>Ưu đãi: Thưởng 30% tối đa 1500 GrabXu cho chuyến GrabCar Thú cưng đầu tiên
Giới hạn: 2 lần/ người dùng</v>
      </c>
      <c r="Q76" s="38" t="str">
        <v>46134</v>
      </c>
      <c r="R76" s="38" t="str">
        <v>46234</v>
      </c>
      <c r="S76" t="str">
        <v/>
      </c>
      <c r="T76" t="str">
        <v>3</v>
      </c>
      <c r="U76" t="str">
        <v>4.1</v>
      </c>
      <c r="V76" t="str">
        <v/>
      </c>
      <c r="W76" t="str">
        <v/>
      </c>
      <c r="X76" t="str">
        <v>3.44</v>
      </c>
      <c r="Y76" t="str">
        <v>Marketing/ Growth</v>
      </c>
      <c r="Z76" t="str">
        <v/>
      </c>
    </row>
    <row r="77" spans="1:26">
      <c r="A77" t="str">
        <v>436</v>
      </c>
      <c r="B77" t="str">
        <v/>
      </c>
      <c r="C77" t="str">
        <v xml:space="preserve">GrabCar Thú cưng: Giảm 80k cho chuyến GrabCar thú cưng đầu tiên ---- đến 31/7									</v>
      </c>
      <c r="D77" t="str">
        <v>Grab App</v>
      </c>
      <c r="E77" t="str">
        <v>4 - Strategic shift</v>
      </c>
      <c r="F77" t="str">
        <v>18</v>
      </c>
      <c r="G77" t="str">
        <v>46145</v>
      </c>
      <c r="H77" t="str">
        <v>Grab Car Thú cưng - Giảm 80k</v>
      </c>
      <c r="I77" t="str">
        <v>46134</v>
      </c>
      <c r="J77" t="str">
        <v>Players Movement</v>
      </c>
      <c r="K77" t="str">
        <v>Grab</v>
      </c>
      <c r="L77" t="str">
        <v>Marketing</v>
      </c>
      <c r="M77" t="str">
        <v>User acquisition</v>
      </c>
      <c r="N77" t="str">
        <v>Marketing | User acquisition</v>
      </c>
      <c r="O77" t="str">
        <v xml:space="preserve">GrabCar Thú cưng: Giảm 80k cho chuyến GrabCar thú cưng đầu tiên ---- đến 31/7									</v>
      </c>
      <c r="P77" t="str">
        <v>Giảm 80k cho chuyến GrabCar Thú cưng đầu tiên
Giới hạn: Tối đa 1 lần/ 1 người dùng</v>
      </c>
      <c r="Q77" s="38" t="str">
        <v>46134</v>
      </c>
      <c r="R77" s="38" t="str">
        <v>46265</v>
      </c>
      <c r="S77" t="str">
        <v/>
      </c>
      <c r="T77" t="str">
        <v>3</v>
      </c>
      <c r="U77" t="str">
        <v>4.1</v>
      </c>
      <c r="V77" t="str">
        <v/>
      </c>
      <c r="W77" t="str">
        <v/>
      </c>
      <c r="X77" t="str">
        <v>3.44</v>
      </c>
      <c r="Y77" t="str">
        <v>Marketing/ Growth</v>
      </c>
      <c r="Z77" t="str">
        <v/>
      </c>
    </row>
    <row r="78" spans="1:26">
      <c r="A78" t="str">
        <v>437</v>
      </c>
      <c r="B78" t="str">
        <v>https:// km.zalopay.vn/TSui/ZLPVTVGO</v>
      </c>
      <c r="C78" t="str">
        <v>Zalopay x VTVGo: Thanh toán gói cước VTVgo Plus bằng Zalopay</v>
      </c>
      <c r="D78" t="str">
        <v>Zalo App</v>
      </c>
      <c r="E78" t="str">
        <v>3 - Market signal</v>
      </c>
      <c r="F78" t="str">
        <v>18</v>
      </c>
      <c r="G78" t="str">
        <v>46145</v>
      </c>
      <c r="H78" t="str">
        <v>Chính thức thanh toán VTVGo bằng Zalopay</v>
      </c>
      <c r="I78" t="str">
        <v>46135</v>
      </c>
      <c r="J78" t="str">
        <v>Players Movement</v>
      </c>
      <c r="K78" t="str">
        <v>Zalopay</v>
      </c>
      <c r="L78" t="str">
        <v>Partnership</v>
      </c>
      <c r="M78" t="str">
        <v>Ultity</v>
      </c>
      <c r="N78" t="str">
        <v>Partnership | Ultity</v>
      </c>
      <c r="O78" t="str">
        <v>Zalopay x VTVGo: Thanh toán gói cước VTVgo Plus bằng Zalopay</v>
      </c>
      <c r="P78" t="str">
        <v>Zalopay chính thức trở thành đối tác thanh toán cho hệ thống VTVGp; cho phép người dùng thanh toán gói cước VTVgo Plus bằng Zalopay
Ưu đãi cho người dùng lần đầu thanh toán: Giảm 50% tối đa 5.000đ</v>
      </c>
      <c r="Q78" s="38" t="str">
        <v>46132</v>
      </c>
      <c r="R78" s="38" t="str">
        <v>46173</v>
      </c>
      <c r="S78" t="str">
        <v/>
      </c>
      <c r="T78" t="str">
        <v>3.2</v>
      </c>
      <c r="U78" t="str">
        <v>3.3</v>
      </c>
      <c r="V78" t="str">
        <v/>
      </c>
      <c r="W78" t="str">
        <v/>
      </c>
      <c r="X78" t="str">
        <v>3.24</v>
      </c>
      <c r="Y78" t="str">
        <v>Marketing/ Growth</v>
      </c>
      <c r="Z78" t="str">
        <v/>
      </c>
    </row>
    <row r="79" spans="1:26">
      <c r="A79" t="str">
        <v>438</v>
      </c>
      <c r="B79" t="str">
        <v>https://techcrunch.com/2026/04/30/googles-gemini-ai-assistant-is-hitting-the-road-in-millions-of-vehicles/</v>
      </c>
      <c r="C79" t="str">
        <v>Google đưa Gemini trở thành trợ lý AI mặc định trên xe hơi</v>
      </c>
      <c r="D79" t="str">
        <v>TechCrunch</v>
      </c>
      <c r="E79" t="str">
        <v>3 - Market signal</v>
      </c>
      <c r="F79" t="str">
        <v>18</v>
      </c>
      <c r="G79" t="str">
        <v>46145</v>
      </c>
      <c r="H79" t="str">
        <v>Google's Gemini AI assistant is hitting the road in millions of vehicles</v>
      </c>
      <c r="I79" t="str">
        <v>46142</v>
      </c>
      <c r="J79" t="str">
        <v>Market Pulse</v>
      </c>
      <c r="K79" t="str">
        <v>Quốc tế</v>
      </c>
      <c r="L79" t="str">
        <v>Technology</v>
      </c>
      <c r="M79" t="str">
        <v>AI/ Gen AI</v>
      </c>
      <c r="N79" t="str">
        <v>Technology | AI/ Gen AI</v>
      </c>
      <c r="O79" t="str">
        <v>Google đưa Gemini trở thành trợ lý AI mặc định trên xe hơi</v>
      </c>
      <c r="P79" t="str">
        <v>Google đang triển khai trợ lý AI Gemini lên hàng triệu xe hơi, tích hợp trực tiếp vào hệ thống infotainment dùng Android Automotive.
Gemini có thể hiểu ngữ cảnh, hội thoại tự nhiên và hỗ trợ lái xe bằng giọng nói, từ điều hướng, nhắn tin đến tìm địa điểm và thông tin trên đường.
Việc triển khai diễn ra thông qua hợp tác với các hãng xe, đưa AI từ điện thoại và desktop sang không gian di chuyển hàng ngày.</v>
      </c>
      <c r="Q79" s="38" t="str">
        <v/>
      </c>
      <c r="R79" s="38" t="str">
        <v/>
      </c>
      <c r="S79" t="str">
        <v/>
      </c>
      <c r="T79" t="str">
        <v>3.1</v>
      </c>
      <c r="U79" t="str">
        <v>3</v>
      </c>
      <c r="V79" t="str">
        <v/>
      </c>
      <c r="W79" t="str">
        <v/>
      </c>
      <c r="X79" t="str">
        <v>3.06</v>
      </c>
      <c r="Y79" t="str">
        <v>AI</v>
      </c>
      <c r="Z79" t="str">
        <v/>
      </c>
    </row>
    <row r="80" spans="1:26">
      <c r="A80" t="str">
        <v>472</v>
      </c>
      <c r="B80" t="str">
        <v>https://banhang.shopee.vn/edu/article/27451</v>
      </c>
      <c r="C80" t="str">
        <v>Shopee: Cập nhật phí cố định cho người bán Shopee Non-Mall hiệu lực từ 01/05</v>
      </c>
      <c r="D80" t="str">
        <v>Shopee Website</v>
      </c>
      <c r="E80" t="str">
        <v>5 - Industry disruption</v>
      </c>
      <c r="F80" t="str">
        <v>18</v>
      </c>
      <c r="G80" t="str">
        <v>46145</v>
      </c>
      <c r="H80" t="str">
        <v>[QUAN TRỌNG] CẬP NHẬT VỀ PHÍ DÀNH CHO NGƯỜI BÁN KHÔNG THUỘC SHOPEE MALL TỪ NGÀY 01/05/2026</v>
      </c>
      <c r="I80" t="str">
        <v>46136</v>
      </c>
      <c r="J80" t="str">
        <v>Players Movement</v>
      </c>
      <c r="K80" t="str">
        <v>Shopee</v>
      </c>
      <c r="L80" t="str">
        <v>Product</v>
      </c>
      <c r="M80" t="str">
        <v>Pricing change</v>
      </c>
      <c r="N80" t="str">
        <v>Product | Pricing change</v>
      </c>
      <c r="O80" t="str">
        <v>Shopee: Cập nhật phí cố định cho người bán Shopee Non-Mall hiệu lực từ 01/05</v>
      </c>
      <c r="P80" t="str">
        <v>Shopee đã thông báo điều chỉnh hạ phí cố định cho một số ngành hàng, có hiệu lực từ ngày 01/05/2026
Ngành hàng tiêu dùng nhanh: 11% xuống 10%
Ngành hàng nhà cửa &amp; đời sống - Dụng cụ chăm sóc nhà cửa: 11.5% xuống 10.5%
Ngành hàng còn lại: Không điều chỉnh</v>
      </c>
      <c r="Q80" s="38" t="str">
        <v>46143</v>
      </c>
      <c r="R80" s="38" t="str">
        <v/>
      </c>
      <c r="S80" t="str">
        <v/>
      </c>
      <c r="T80" t="str">
        <v>5</v>
      </c>
      <c r="U80" t="str">
        <v>4.7</v>
      </c>
      <c r="V80" t="str">
        <v/>
      </c>
      <c r="W80" t="str">
        <v/>
      </c>
      <c r="X80" t="str">
        <v>4.88</v>
      </c>
      <c r="Y80" t="str">
        <v>TMĐT</v>
      </c>
      <c r="Z80" t="str">
        <v/>
      </c>
    </row>
    <row r="81" spans="1:26">
      <c r="A81" t="str">
        <v>473</v>
      </c>
      <c r="B81" t="str">
        <v>https://banhang.shopee.vn/edu/article/27452</v>
      </c>
      <c r="C81" t="str">
        <v>ShopeeMall: Cập nhật phí cố định cho người bán Shopee Mall hiệu lực từ 08/05</v>
      </c>
      <c r="D81" t="str">
        <v>Shopee Website</v>
      </c>
      <c r="E81" t="str">
        <v>5 - Industry disruption</v>
      </c>
      <c r="F81" t="str">
        <v>18</v>
      </c>
      <c r="G81" t="str">
        <v>46145</v>
      </c>
      <c r="H81" t="str">
        <v>[QUAN TRỌNG] CẬP NHẬT VỀ PHÍ DÀNH CHO NGƯỜI BÁN THUỘC SHOPEE MALL TỪ NGÀY 08/05/2026</v>
      </c>
      <c r="I81" t="str">
        <v>46136</v>
      </c>
      <c r="J81" t="str">
        <v>Players Movement</v>
      </c>
      <c r="K81" t="str">
        <v>Shopee</v>
      </c>
      <c r="L81" t="str">
        <v>Product</v>
      </c>
      <c r="M81" t="str">
        <v>Pricing change</v>
      </c>
      <c r="N81" t="str">
        <v>Product | Pricing change</v>
      </c>
      <c r="O81" t="str">
        <v>ShopeeMall: Cập nhật phí cố định cho người bán Shopee Mall hiệu lực từ 08/05</v>
      </c>
      <c r="P81" t="str">
        <v>Shopee đã thông báo điều chỉnh hạ phí cố định cho một số ngành hàng trên Shopee Mall, có hiệu lực từ ngày 01/05/2026
Ngành hàng tiêu dùng nhanh: giảm 1%
Ngành hàng nhà cửa &amp; đời sống: giảm 1%
Ngành hàng còn lại: Không điều chỉnh</v>
      </c>
      <c r="Q81" s="38" t="str">
        <v>46150</v>
      </c>
      <c r="R81" s="38" t="str">
        <v/>
      </c>
      <c r="S81" t="str">
        <v/>
      </c>
      <c r="T81" t="str">
        <v>5</v>
      </c>
      <c r="U81" t="str">
        <v>4.7</v>
      </c>
      <c r="V81" t="str">
        <v/>
      </c>
      <c r="W81" t="str">
        <v/>
      </c>
      <c r="X81" t="str">
        <v>4.88</v>
      </c>
      <c r="Y81" t="str">
        <v>TMĐT</v>
      </c>
      <c r="Z81" t="str">
        <v/>
      </c>
    </row>
    <row r="82" spans="1:26">
      <c r="A82" t="str">
        <v>474</v>
      </c>
      <c r="B82" t="str">
        <v>https://seller-vn.tiktok.com/university/essay?knowledge_id=8858869405370113&amp;lang=vi-VN</v>
      </c>
      <c r="C82" t="str">
        <v>TiktokShop: Cập nhật xử lý giao dịch và phí cố định hiệu lực từ 09/05</v>
      </c>
      <c r="D82" t="str">
        <v>Tiktok Website</v>
      </c>
      <c r="E82" t="str">
        <v>5 - Industry disruption</v>
      </c>
      <c r="F82" t="str">
        <v>18</v>
      </c>
      <c r="G82" t="str">
        <v>46145</v>
      </c>
      <c r="H82" t="str">
        <v>Tiktok Cập nhật Phí bán hàng</v>
      </c>
      <c r="I82" t="str">
        <v>46141</v>
      </c>
      <c r="J82" t="str">
        <v>Players Movement</v>
      </c>
      <c r="K82" t="str">
        <v>TiktokShop</v>
      </c>
      <c r="L82" t="str">
        <v>Product</v>
      </c>
      <c r="M82" t="str">
        <v>Pricing change</v>
      </c>
      <c r="N82" t="str">
        <v>Product | Pricing change</v>
      </c>
      <c r="O82" t="str">
        <v>TiktokShop: Cập nhật xử lý giao dịch và phí cố định hiệu lực từ 09/05</v>
      </c>
      <c r="P82" t="str">
        <v>Tương tự Shopee, phí xử lý giao dịch trên Tiktokshop đã được điều chỉnh lên mức 6% kể từ ngày 09/05
Trái ngược với Shopee, Tiktokshop tăng phí cố định (phí hoa hồng nền tảng) lên 0.5-2.2%. Mức phí sau khi tăng đã tương đương với Mức phí sàn Shopee</v>
      </c>
      <c r="Q82" s="38" t="str">
        <v>46151</v>
      </c>
      <c r="R82" s="38" t="str">
        <v/>
      </c>
      <c r="S82" t="str">
        <v/>
      </c>
      <c r="T82" t="str">
        <v>5</v>
      </c>
      <c r="U82" t="str">
        <v>4.7</v>
      </c>
      <c r="V82" t="str">
        <v/>
      </c>
      <c r="W82" t="str">
        <v/>
      </c>
      <c r="X82" t="str">
        <v>4.88</v>
      </c>
      <c r="Y82" t="str">
        <v>TMĐT</v>
      </c>
      <c r="Z82" t="str">
        <v/>
      </c>
    </row>
    <row r="83" spans="1:26">
      <c r="A83" t="str">
        <v>475</v>
      </c>
      <c r="B83" t="str">
        <v>https://www.grab.com/vn/blog/thong-tin-tu-grab/</v>
      </c>
      <c r="C83" t="str">
        <v>Grab: Cập nhật Phí nền tảng và Phí Dịch vụ hiệu lực từ 28/04</v>
      </c>
      <c r="D83" t="str">
        <v>Grab Website</v>
      </c>
      <c r="E83" t="str">
        <v>5 - Industry disruption</v>
      </c>
      <c r="F83" t="str">
        <v>18</v>
      </c>
      <c r="G83" t="str">
        <v>46145</v>
      </c>
      <c r="H83" t="str">
        <v>Grab cập nhật phí nền tảng</v>
      </c>
      <c r="I83" t="str">
        <v>46135</v>
      </c>
      <c r="J83" t="str">
        <v>Players Movement</v>
      </c>
      <c r="K83" t="str">
        <v>Grab</v>
      </c>
      <c r="L83" t="str">
        <v>Product</v>
      </c>
      <c r="M83" t="str">
        <v>Pricing change</v>
      </c>
      <c r="N83" t="str">
        <v>Product | Pricing change</v>
      </c>
      <c r="O83" t="str">
        <v>Grab: Cập nhật Phí nền tảng và Phí Dịch vụ hiệu lực từ 28/04</v>
      </c>
      <c r="P83" t="str">
        <v>Grab thực hiện điều chỉnh Phí nền tảng và Phí dịch vụ của 1 số dịch vụ Grab:
- Phí nền tảng: 3.000 cho GrabBike, 5.000 - 19.000 cho Grab 4 bánh (trừ Taxi) tùy khu vực điểm đón và quãng đường di chuyển
- Phí dịch vụ cộng thêm: 4.000 - 11.000 cho GrabExpress tùy loại dịch dịch vụ
- Phí dịch vụ: 4.000 - 6.000 cho GrabFood và GrabMart tùy vào mô hình hợp tác của Đối tác thương nhân</v>
      </c>
      <c r="Q83" s="38" t="str">
        <v>46140</v>
      </c>
      <c r="R83" s="38" t="str">
        <v/>
      </c>
      <c r="S83" t="str">
        <v/>
      </c>
      <c r="T83" t="str">
        <v>5</v>
      </c>
      <c r="U83" t="str">
        <v>4.7</v>
      </c>
      <c r="V83" t="str">
        <v/>
      </c>
      <c r="W83" t="str">
        <v/>
      </c>
      <c r="X83" t="str">
        <v>4.88</v>
      </c>
      <c r="Y83" t="str">
        <v>Ride-hailing / Delivery</v>
      </c>
      <c r="Z83" t="str">
        <v/>
      </c>
    </row>
    <row r="84" spans="1:26">
      <c r="A84" t="str">
        <v>476</v>
      </c>
      <c r="B84" t="str">
        <v>https://banhang.shopee.vn/edu/article/25329</v>
      </c>
      <c r="C84" t="str">
        <v>Shopee: Cập nhật phí xử lý giao dịch hiệu lực từ 01/05</v>
      </c>
      <c r="D84" t="str">
        <v>Shopee Website</v>
      </c>
      <c r="E84" t="str">
        <v>5 - Industry disruption</v>
      </c>
      <c r="F84" t="str">
        <v>18</v>
      </c>
      <c r="G84" t="str">
        <v>46145</v>
      </c>
      <c r="H84" t="str">
        <v>Cập nhật mức thuế suất GTGT áp dụng trên các loại phí của Shopee Việt Nam từ tháng 05/2025 đến hết tháng 12/2026</v>
      </c>
      <c r="I84" t="str">
        <v>46136</v>
      </c>
      <c r="J84" t="str">
        <v>Players Movement</v>
      </c>
      <c r="K84" t="str">
        <v>Shopee</v>
      </c>
      <c r="L84" t="str">
        <v>Product</v>
      </c>
      <c r="M84" t="str">
        <v>Pricing change</v>
      </c>
      <c r="N84" t="str">
        <v>Product | Pricing change</v>
      </c>
      <c r="O84" t="str">
        <v>Shopee: Cập nhật phí xử lý giao dịch hiệu lực từ 01/05</v>
      </c>
      <c r="P84" t="str">
        <v>Phí xử lý giao dịch:
Trước tháng 5/26: 4.91%
Sau tháng 5/26: 6%</v>
      </c>
      <c r="Q84" s="38" t="str">
        <v>46143</v>
      </c>
      <c r="R84" s="38" t="str">
        <v/>
      </c>
      <c r="S84" t="str">
        <v/>
      </c>
      <c r="T84" t="str">
        <v>5</v>
      </c>
      <c r="U84" t="str">
        <v>4.5</v>
      </c>
      <c r="V84" t="str">
        <v/>
      </c>
      <c r="W84" t="str">
        <v/>
      </c>
      <c r="X84" t="str">
        <v>4.8</v>
      </c>
      <c r="Y84" t="str">
        <v>TMĐT</v>
      </c>
      <c r="Z84" t="str">
        <v/>
      </c>
    </row>
    <row r="85" spans="1:26">
      <c r="A85" t="str">
        <v>477</v>
      </c>
      <c r="B85" t="str">
        <v>https://www.momo.vn/tin-tuc/khuyen-mai/thong-bao-momo-dung-ho-tro-dich-vu-chung-chi-quy-8695</v>
      </c>
      <c r="C85" t="str">
        <v>Chứng chỉ Quỹ: MoMo dừng Chứng Chỉ Quỹ cũ từ 01/07/2026 – Ra mắt mô hình Chứng Chỉ Quỹ CVS</v>
      </c>
      <c r="D85" t="str">
        <v>MoMo Website</v>
      </c>
      <c r="E85" t="str">
        <v>4 - Strategic shift</v>
      </c>
      <c r="F85" t="str">
        <v>18</v>
      </c>
      <c r="G85" t="str">
        <v>46145</v>
      </c>
      <c r="H85" t="str">
        <v>Thông báo: MoMo dừng hỗ trợ Dịch vụ Chứng Chỉ Quỹ từ 01/07/2026 và ra mắt mô hình mới Chứng Chỉ Quỹ CVS</v>
      </c>
      <c r="I85" t="str">
        <v>46141</v>
      </c>
      <c r="J85" t="str">
        <v>Players Movement</v>
      </c>
      <c r="K85" t="str">
        <v>MoMo</v>
      </c>
      <c r="L85" t="str">
        <v>Product</v>
      </c>
      <c r="M85" t="str">
        <v>Off product</v>
      </c>
      <c r="N85" t="str">
        <v>Product | Off product</v>
      </c>
      <c r="O85" t="str">
        <v>Chứng chỉ Quỹ: MoMo dừng Chứng Chỉ Quỹ cũ từ 01/07/2026 – Ra mắt mô hình Chứng Chỉ Quỹ CVS</v>
      </c>
      <c r="P85" t="str">
        <v xml:space="preserve">MoMo thông báo tái cơ cấu danh mục sản phẩm đầu tư: Dừng Dịch vụ Chứng Chỉ Quỹ hiện tại, chuyển sang cung cấp Chứng Chỉ Quỹ CVS của CTCP Chứng khoán CV.
Đến hết 30/6: dừng hỗ trợ tính năng mở mới tài khoản, giao dịch mua CCQ. Có thể giao dịch bán
Từ 01/07/26: dừng hỗ trợ toàn bộ giao dịch,  các khoản đầu tư tại dịch vụ Chứng chỉ Quỹ hiện tại sẽ không chuyển đổi sang mô hình Chứng chỉ Quỹ CVS
Bên cạnh đó, MoMo cũng dự kiến cho ra mắt Chứng Chỉ Quỹ CVS – sản phẩm do Công ty CP Chứng khoán CV cung cấp - cho phép khách hàng dễ dàng quản lý và giao dịch chứng chỉ quỹ với nhiều Công ty Quản lý quỹ chỉ với 01 tài khoản duy nhất
</v>
      </c>
      <c r="Q85" s="38" t="str">
        <v>46204</v>
      </c>
      <c r="R85" s="38" t="str">
        <v/>
      </c>
      <c r="S85" t="str">
        <v>Chứng Chỉ Quỹ; CVS; đầu tư; quỹ; dừng dịch vụ; product update; 01/07/2026</v>
      </c>
      <c r="T85" t="str">
        <v>4</v>
      </c>
      <c r="U85" t="str">
        <v>4</v>
      </c>
      <c r="V85" t="str">
        <v/>
      </c>
      <c r="W85" t="str">
        <v/>
      </c>
      <c r="X85" t="str">
        <v>4</v>
      </c>
      <c r="Y85" t="str">
        <v>Fintech/ Đầu tư</v>
      </c>
      <c r="Z85" t="str">
        <v/>
      </c>
    </row>
    <row r="86" spans="1:26">
      <c r="A86" t="str">
        <v>478</v>
      </c>
      <c r="B86" t="str">
        <v>https://www.momo.vn/tin-tuc/khuyen-mai/sap-ra-mat-goi-thanh-vien-vi-tra-sau-de-moi-lan-8680</v>
      </c>
      <c r="C86" t="str">
        <v>MoMo Ví Trả Sau: Ra mắt Gói Thành Viên</v>
      </c>
      <c r="D86" t="str">
        <v>MoMo Website</v>
      </c>
      <c r="E86" t="str">
        <v>5 - Industry disruption</v>
      </c>
      <c r="F86" t="str">
        <v>18</v>
      </c>
      <c r="G86" t="str">
        <v>46145</v>
      </c>
      <c r="H86" t="str">
        <v>Sắp ra mắt: Gói Thành Viên Ví Trả Sau - Để mỗi lần dùng đều có lợi hơn!</v>
      </c>
      <c r="I86" t="str">
        <v>46134</v>
      </c>
      <c r="J86" t="str">
        <v>Players Movement</v>
      </c>
      <c r="K86" t="str">
        <v>MoMo</v>
      </c>
      <c r="L86" t="str">
        <v>Product</v>
      </c>
      <c r="M86" t="str">
        <v>Product launch</v>
      </c>
      <c r="N86" t="str">
        <v>Product | Product launch</v>
      </c>
      <c r="O86" t="str">
        <v>MoMo Ví Trả Sau: Ra mắt Gói Thành Viên</v>
      </c>
      <c r="P86" t="str">
        <v xml:space="preserve">Từ 05/05/2026, người dùng Ví Trả Sau có thể dùng Xu mua Gói Thành Viên Ví Trả Sau. 
Đối tượng: Người dùng Ví Trả Sau hiện tại
Giá ưu đãi: 1 xu cho người dùng tham gia mua gói sớm
Quyền lợi: 
Thẻ quà hàng tháng cho nhiều SPDV ăn uống, mua sắm, di chuyển,... với giá trị lên đến 100k
4+ thẻ quà từ Ví trả sau
Ưu đãi riêng cho sinh nhật
Mỗi thẻ quà có điều kiện sử dụng riêng (giá trị đơn hàng, ngành hàng, phương thức thanh toán,...)
Thời hạn:
30 ngày kể từ khi kích hoạt gói
</v>
      </c>
      <c r="Q86" s="38" t="str">
        <v>46147</v>
      </c>
      <c r="R86" s="38" t="str">
        <v/>
      </c>
      <c r="S86" t="str">
        <v>Ví Trả Sau; BNPL; thành viên; membership; product launch; TPBank; MBV</v>
      </c>
      <c r="T86" t="str">
        <v>5</v>
      </c>
      <c r="U86" t="str">
        <v>4</v>
      </c>
      <c r="V86" t="str">
        <v/>
      </c>
      <c r="W86" t="str">
        <v/>
      </c>
      <c r="X86" t="str">
        <v>4.6</v>
      </c>
      <c r="Y86" t="str">
        <v>Fintech/ Đầu tư</v>
      </c>
      <c r="Z86" t="str">
        <v/>
      </c>
    </row>
    <row r="87" spans="1:26">
      <c r="A87" t="str">
        <v>479</v>
      </c>
      <c r="B87" t="str">
        <v>https://www.momo.vn/tin-tuc/khuyen-mai/khong-can-nap-epass-nua-qua-tram-etc-truc-tiep-8682</v>
      </c>
      <c r="C87" t="str">
        <v>MoMo × ePass: Tự động sử dùng tiền trong MoMo thanh toán khi qua trạm ETC</v>
      </c>
      <c r="D87" t="str">
        <v>MoMo Website</v>
      </c>
      <c r="E87" t="str">
        <v>4 - Strategic shift</v>
      </c>
      <c r="F87" t="str">
        <v>18</v>
      </c>
      <c r="G87" t="str">
        <v>46145</v>
      </c>
      <c r="H87" t="str">
        <v>Không cần nạp ePass nữa, qua trạm ETC trực tiếp bằng tiền trong MoMo</v>
      </c>
      <c r="I87" t="str">
        <v>46135</v>
      </c>
      <c r="J87" t="str">
        <v>Players Movement</v>
      </c>
      <c r="K87" t="str">
        <v>MoMo</v>
      </c>
      <c r="L87" t="str">
        <v>Product</v>
      </c>
      <c r="M87" t="str">
        <v>Product launch</v>
      </c>
      <c r="N87" t="str">
        <v>Product | Product launch</v>
      </c>
      <c r="O87" t="str">
        <v>MoMo × ePass: Tự động sử dùng tiền trong MoMo thanh toán khi qua trạm ETC</v>
      </c>
      <c r="P87" t="str">
        <v>MoMo thúc đẩy hành vi người dùng sử dụng MoMo khi một PTTT chính trong đời sống hàng ngày cũng như tăng hành vi Duy trì số dư trong ví khi bổ sung thêm tính năng Thanh toán Tài khoản Giao thông ePass
Cách thức: Liên kết ePass với MoMo, hệ thống tự trừ phí ETC từ số dư ví MoMo hoặc ngân hàng liên kết. Người dùng qua trạm thu phí ETC mà không cần nạp tiền vào thẻ ePass
Phạm vi áp dụng: Tất cả trạm ETC toàn quốc trong mạng lưới ePass
Phí: 1% tối thiểu 1.000đ (chưa VAT)</v>
      </c>
      <c r="Q87" s="38" t="str">
        <v>46135</v>
      </c>
      <c r="R87" s="38" t="str">
        <v/>
      </c>
      <c r="S87" t="str">
        <v>ePass; ETC; thu phí không dừng; VDTC; tính năng mới; mobility; tự động trừ tiền</v>
      </c>
      <c r="T87" t="str">
        <v>4</v>
      </c>
      <c r="U87" t="str">
        <v>4</v>
      </c>
      <c r="V87" t="str">
        <v/>
      </c>
      <c r="W87" t="str">
        <v/>
      </c>
      <c r="X87" t="str">
        <v>4</v>
      </c>
      <c r="Y87" t="str">
        <v>Fintech/ Đầu tư</v>
      </c>
      <c r="Z87" t="str">
        <v/>
      </c>
    </row>
  </sheetData>
  <autoFilter ref="A3:Z91" xr:uid="{6AD9B8CF-0024-44DB-B163-30F2DC4E79FF}"/>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CD74A-2FA6-447F-99B2-1C276825110E}">
  <dimension ref="A9:N66"/>
  <sheetViews>
    <sheetView zoomScale="25" zoomScaleNormal="25" workbookViewId="0">
      <selection activeCell="M48" sqref="M48"/>
    </sheetView>
  </sheetViews>
  <sheetFormatPr defaultColWidth="8.7109375" defaultRowHeight="21.95"/>
  <cols>
    <col min="1" max="1" width="55.5703125" style="183" customWidth="1"/>
    <col min="2" max="2" width="6.42578125" style="183" customWidth="1"/>
    <col min="3" max="3" width="54.28515625" style="183" customWidth="1"/>
    <col min="4" max="4" width="6.42578125" style="183" customWidth="1"/>
    <col min="5" max="5" width="58.140625" style="183" customWidth="1"/>
    <col min="6" max="6" width="6.42578125" style="183" customWidth="1"/>
    <col min="7" max="7" width="54.28515625" style="183" customWidth="1"/>
    <col min="8" max="8" width="6.42578125" style="183" customWidth="1"/>
    <col min="9" max="9" width="54.28515625" style="183" customWidth="1"/>
    <col min="10" max="10" width="26.5703125" style="184" customWidth="1"/>
    <col min="11" max="11" width="77" style="184" customWidth="1"/>
    <col min="12" max="12" width="73.42578125" style="184" customWidth="1"/>
    <col min="13" max="13" width="88.42578125" style="184" customWidth="1"/>
    <col min="14" max="14" width="64.7109375" style="184" customWidth="1"/>
    <col min="15" max="16384" width="8.7109375" style="184"/>
  </cols>
  <sheetData>
    <row r="9" spans="1:14">
      <c r="A9" s="183" t="s">
        <v>2846</v>
      </c>
      <c r="K9" s="184" t="s">
        <v>2533</v>
      </c>
    </row>
    <row r="10" spans="1:14">
      <c r="M10" s="184" t="s">
        <v>434</v>
      </c>
      <c r="N10" s="184" t="s">
        <v>187</v>
      </c>
    </row>
    <row r="11" spans="1:14" ht="31.5" customHeight="1">
      <c r="A11" s="189" t="s">
        <v>2362</v>
      </c>
      <c r="B11" s="190"/>
      <c r="C11" s="191" t="s">
        <v>228</v>
      </c>
      <c r="D11" s="190"/>
      <c r="E11" s="192" t="s">
        <v>2371</v>
      </c>
      <c r="F11" s="190"/>
      <c r="G11" s="193" t="s">
        <v>2406</v>
      </c>
      <c r="H11" s="190"/>
      <c r="I11" s="194" t="s">
        <v>86</v>
      </c>
      <c r="K11" s="189" t="s">
        <v>2847</v>
      </c>
      <c r="L11" s="191" t="s">
        <v>438</v>
      </c>
      <c r="M11" s="192" t="s">
        <v>433</v>
      </c>
      <c r="N11" s="193" t="s">
        <v>185</v>
      </c>
    </row>
    <row r="12" spans="1:14" ht="85.5">
      <c r="A12" s="195" t="str" cm="1">
        <f t="array" ref="A12:A17">_xlfn._xlws.FILTER(Database[title_normalized],(Database[week]=18)*(Database[related _vertical]=Groupping!A11),"")</f>
        <v>Indonesia Prabowo ký sắc lệnh cắt hoa hồng ride-hailing xuống 8% – Tác động trực tiếp Grab và GoTo</v>
      </c>
      <c r="B12" s="190"/>
      <c r="C12" s="195" t="str" cm="1">
        <f t="array" ref="C12:C19">_xlfn._xlws.FILTER(Database[title_normalized],(Database[week]=18)*(Database[related _vertical]=Groupping!C11),"")</f>
        <v>Người Việt chốt 126 triệu sản phẩm/ngày trên TMĐT – Số liệu thực tế quy mô thị trường</v>
      </c>
      <c r="D12" s="190"/>
      <c r="E12" s="195" t="str" cm="1">
        <f t="array" ref="E12:E24">_xlfn._xlws.FILTER(Database[title_normalized],(Database[week]=18)*(Database[related _vertical]=Groupping!E11),"")</f>
        <v>Stripe Link ra mắt: ví điện tử cho AI agent tự động thanh toán thay user</v>
      </c>
      <c r="F12" s="190"/>
      <c r="G12" s="195" t="str" cm="1">
        <f t="array" ref="G12:G21">_xlfn._xlws.FILTER(Database[title_normalized],(Database[week]=18)*(Database[related _vertical]=Groupping!G11),"")</f>
        <v>TikTok mở rộng đối tượng Sinh viên với tính năng Campus Hub</v>
      </c>
      <c r="H12" s="190"/>
      <c r="I12" s="195" t="str" cm="1">
        <f t="array" ref="I12:I21">_xlfn._xlws.FILTER(Database[title_normalized],(Database[week]=18)*(Database[related _vertical]=Groupping!I11),"")</f>
        <v>OpenClaw ra phiên bản cloud cho người Việt – AI agent trên nền tảng đám mây</v>
      </c>
      <c r="K12" s="195" t="str" cm="1">
        <f t="array" ref="K12:K25">_xlfn._xlws.FILTER(Database[title_normalized],(Database[week]=18)*(Database[sub_topic_group]=K11),"")</f>
        <v>MoMo x Taptap Send: Hướng dẫn nhận kiều hối quốc tế qua MoMo – Đối tác Taptap Send</v>
      </c>
      <c r="L12" s="195" t="str" cm="1">
        <f t="array" ref="L12:L23">_xlfn._xlws.FILTER(Database[title_normalized],(Database[week]=18)*(Database[sub_topic_group]=L11),"")</f>
        <v>Grab Đi ăn nhà hàng: Thứ 6 10% tối đa 300k + Thưởng 200 GrabXu</v>
      </c>
      <c r="M12" s="195" t="str" cm="1">
        <f t="array" ref="M12:M29">_xlfn._xlws.FILTER(Database[title_normalized],(Database[week]=18)*((Database[sub_topic_group]=M11)+(Database[sub_topic_group]=M10)),"")</f>
        <v>Zalo bổ sung tính năng Chặn quay/ chụp màn hình ảnh đại diện</v>
      </c>
      <c r="N12" s="195" t="str" cm="1">
        <f t="array" ref="N12:N15">_xlfn._xlws.FILTER(Database[title_normalized],(Database[week]=18)*((Database[sub_topic_group]=N11)+(Database[sub_topic_group]=N10)),"")</f>
        <v>Shopee: Cập nhật phí cố định cho người bán Shopee Non-Mall hiệu lực từ 01/05</v>
      </c>
    </row>
    <row r="13" spans="1:14" ht="85.5">
      <c r="A13" s="196" t="str">
        <v>Trung Quốc ban hành chính sách bảo vệ tài xế gig economy</v>
      </c>
      <c r="B13" s="190"/>
      <c r="C13" s="196" t="str">
        <v>TikTok ra dịch vụ gợi ý nhà hàng tại Indonesia – Mở rộng sang local services, cạnh tranh Grab</v>
      </c>
      <c r="D13" s="190"/>
      <c r="E13" s="196" t="str">
        <v>WeChat Pay mở rộng QR payments sang 5 nước châu Á – Cạnh tranh trực tiếp với Alipay+ và QR nội địa</v>
      </c>
      <c r="F13" s="190"/>
      <c r="G13" s="196" t="str">
        <v>Snapchat đưa quảng cáo hội thoại bằng AI vào trải nghiệm người dùng</v>
      </c>
      <c r="H13" s="190"/>
      <c r="I13" s="196" t="str">
        <v>Doanh nghiệp công nghệ Trung Quốc đẩy nhanh thương mại hóa AI để tạo lợi nhuận</v>
      </c>
      <c r="K13" s="196" t="str">
        <v>MoMo x GmoneyTrans: Hướng dẫn nhận kiều hối từ Hàn Quốc qua MoMo – Đối tác GmoneyTrans</v>
      </c>
      <c r="L13" s="196" t="str">
        <v>Grab Đi ăn nhà hàng: Ưu đãi đến 25%</v>
      </c>
      <c r="M13" s="196" t="str">
        <v>Zalopay x Valorant: Ưu đãi giảm đến 50% đặt vé Máy bay/ Vé xe khách/ Vé tàu hỏa trên Zalopay</v>
      </c>
      <c r="N13" s="196" t="str">
        <v>ShopeeMall: Cập nhật phí cố định cho người bán Shopee Mall hiệu lực từ 08/05</v>
      </c>
    </row>
    <row r="14" spans="1:14" ht="114">
      <c r="A14" s="196" t="str">
        <v>Uber tích hợp đặt khách sạn qua Expedia – Super-app ride+food+travel đang hình thành tại Mỹ</v>
      </c>
      <c r="B14" s="190"/>
      <c r="C14" s="196" t="str">
        <v>Thương mại điện tử Ấn Độ chuyển sang mô hình storefront dùng AI age</v>
      </c>
      <c r="D14" s="190"/>
      <c r="E14" s="196" t="str">
        <v>Ant International ra mắt AMP – Giao thức agentic payment đầu tiên cho mobile</v>
      </c>
      <c r="F14" s="190"/>
      <c r="G14" s="196" t="str">
        <v>WhatsApp mở rộng nạp tiền di động để thúc đẩy mảng thanh toán tại Ấn Độ</v>
      </c>
      <c r="H14" s="190"/>
      <c r="I14" s="196" t="str">
        <v>Apple trả Google $1B/năm tích hợp Gemini vào Siri – AI partnership lớn nhất trong lịch sử mobile</v>
      </c>
      <c r="K14" s="196" t="str">
        <v>MoMo × Xe buýt TP.HCM: Thanh toán với QR MoMo</v>
      </c>
      <c r="L14" s="196" t="str">
        <v>Grab Đi ăn nhà hàng: Đi ăn ngày thứ 3 Giảm 30% max 70k + Thưởng 200 GrabXu</v>
      </c>
      <c r="M14" s="196" t="str">
        <v>Zalopay QR thanh toán: Nhận 304 xu khi thanh toán nhân dịp lễ 30/4</v>
      </c>
      <c r="N14" s="196" t="str">
        <v>TiktokShop: Cập nhật xử lý giao dịch và phí cố định hiệu lực từ 09/05</v>
      </c>
    </row>
    <row r="15" spans="1:14" ht="85.5">
      <c r="A15" s="196" t="str">
        <v>Giao Hàng Nhanh tái định vị để chiếm lợi thế trong cuộc đua TMĐT</v>
      </c>
      <c r="B15" s="190"/>
      <c r="C15" s="196" t="str">
        <v>Amazon đưa AI hỏi–đáp bằng giọng nói lên trang sản phẩm</v>
      </c>
      <c r="D15" s="190"/>
      <c r="E15" s="196" t="str">
        <v>Airwallex chính thức mở rộng hoạt động sang Indonesia và Việt Nam</v>
      </c>
      <c r="F15" s="190"/>
      <c r="G15" s="196" t="str">
        <v>Threads bổ sung live chat để tăng tương tác theo thời gian thực</v>
      </c>
      <c r="H15" s="190"/>
      <c r="I15" s="196" t="str">
        <v>Nhóm thu nhập cao dẫn đầu xu hướng ứng dụng AI trong công việc</v>
      </c>
      <c r="K15" s="196" t="str">
        <v>MoMo Du lịch đi lại: Sale 5.5 khi thanh toán vé máy bay/xe khách/tàu hỏa/trải nghiệm và phòng khách sạn</v>
      </c>
      <c r="L15" s="196" t="str">
        <v>GrabFood: Countdown nghỉ lễ - Giảm giá 48k - 72k - 120k trong ngày</v>
      </c>
      <c r="M15" s="196" t="str">
        <v>Gamification nạp điện thoại: Cơ hội trúng iPhone 17 Pro Max</v>
      </c>
      <c r="N15" s="196" t="str">
        <v>Shopee: Cập nhật phí xử lý giao dịch hiệu lực từ 01/05</v>
      </c>
    </row>
    <row r="16" spans="1:14" ht="114">
      <c r="A16" s="196" t="str">
        <v>Yelp nâng cấp AI assistant thành “trợ lý hành động” cho ăn uống và dịch vụ</v>
      </c>
      <c r="B16" s="190"/>
      <c r="C16" s="196" t="str">
        <v>Shopee: Cập nhật phí cố định cho người bán Shopee Non-Mall hiệu lực từ 01/05</v>
      </c>
      <c r="D16" s="190"/>
      <c r="E16" s="196" t="str">
        <v>BIDV mở rộng thanh toán QR xuyên biên giới Việt – Hàn</v>
      </c>
      <c r="F16" s="190"/>
      <c r="G16" s="196" t="str">
        <v>Meta tái cấu trúc hệ thống quản lý tài khoản xuyên ứng dụng</v>
      </c>
      <c r="H16" s="190"/>
      <c r="I16" s="196" t="str">
        <v>Anthropic định giá $1 nghìn tỷ trên thị trường thứ cấp – Vượt OpenAI, AI vendor cung cấp cho super-app tăng giá trị</v>
      </c>
      <c r="K16" s="196" t="str">
        <v>MoMo × ePass: Hoàn 100k khi thanh toán qua trạm ETC</v>
      </c>
      <c r="L16" s="196" t="str">
        <v>GrabBike/GrabCar: Giảm 100k cho lộ trình từ Ga Metro đến Nghĩa trang Liệt sĩ TP.HCM</v>
      </c>
      <c r="M16" s="196" t="str">
        <v>Nạp 4G/5G Mobifone: Ưu đãi 1-2-10k khi mua data Mobifone trên Zalopay</v>
      </c>
      <c r="N16" s="196"/>
    </row>
    <row r="17" spans="1:14" ht="85.5">
      <c r="A17" s="197" t="str">
        <v>Grab: Cập nhật Phí nền tảng và Phí Dịch vụ hiệu lực từ 28/04</v>
      </c>
      <c r="B17" s="190"/>
      <c r="C17" s="198" t="str">
        <v>ShopeeMall: Cập nhật phí cố định cho người bán Shopee Mall hiệu lực từ 08/05</v>
      </c>
      <c r="D17" s="190"/>
      <c r="E17" s="198" t="str">
        <v>Ant International tăng cường công nghệ bảo mật để mở rộng Alipay toàn cầu</v>
      </c>
      <c r="F17" s="190"/>
      <c r="G17" s="198" t="str">
        <v>Meta cho phép phụ huynh theo dõi chủ đề con trao đổi với Meta A</v>
      </c>
      <c r="H17" s="190"/>
      <c r="I17" s="198" t="str">
        <v>ChatGPT Images 2.0 ra mắt – Tạo ảnh với khả năng suy luận: manga, bản đồ lịch sử từ 1 câu lệnh</v>
      </c>
      <c r="K17" s="196" t="str">
        <v>MoMo x Vietlott: Nhận quà 40k khi mở tài khoản VietlottSMS</v>
      </c>
      <c r="L17" s="196" t="str">
        <v>GrabFood: Ngày đôi 5.5 - Ưu đãi 50%, Mua 1 tặng 1, Mua 2 tặng 1 20+ thương hiệu</v>
      </c>
      <c r="M17" s="196" t="str">
        <v>Zalopay x Mua sắm: Ưu đãi khách hàng mới thanh toán bằng Zalopay</v>
      </c>
      <c r="N17" s="208"/>
    </row>
    <row r="18" spans="1:14" ht="85.5">
      <c r="A18" s="199"/>
      <c r="B18" s="190"/>
      <c r="C18" s="195" t="str">
        <v>TiktokShop: Cập nhật xử lý giao dịch và phí cố định hiệu lực từ 09/05</v>
      </c>
      <c r="D18" s="190"/>
      <c r="E18" s="195" t="str">
        <v>Nhiều ngân hàng VN dừng chuyển tiền nhanh &gt;500 triệu đồng – Siết quy định thanh toán tức thì lớn</v>
      </c>
      <c r="F18" s="190"/>
      <c r="G18" s="195" t="str">
        <v>X tái xây dựng nền tảng quảng cáo, đặt AI làm lõi vận hành</v>
      </c>
      <c r="H18" s="190"/>
      <c r="I18" s="195" t="str">
        <v>DeepSeek V4 ra mắt: context 1M token, giá thấp hơn 6x GPT-5.5, ra mắt cùng ngày GPT-5.5</v>
      </c>
      <c r="K18" s="196" t="str">
        <v>MoMo x Vietlott: Nhận quà 50k khi mở tài khoản VietlottSMS</v>
      </c>
      <c r="L18" s="196" t="str">
        <v>GrabFood: Thưởng 304 GrabXu cho 3004 đơn hàng đầu tiên mỗi ngày</v>
      </c>
      <c r="M18" s="196" t="str">
        <v>Tài khoản trả sau x OA Saigon Co.op: Ưu đãi giảm giá khi mua hành tại kênh Zalo OA</v>
      </c>
      <c r="N18" s="208"/>
    </row>
    <row r="19" spans="1:14" ht="57">
      <c r="A19" s="199"/>
      <c r="B19" s="190"/>
      <c r="C19" s="197" t="str">
        <v>Shopee: Cập nhật phí xử lý giao dịch hiệu lực từ 01/05</v>
      </c>
      <c r="D19" s="190"/>
      <c r="E19" s="196" t="str">
        <v>Fintech Malaysia đưa Pay Later vào thanh toán thẻ để mở rộng chi tiêu</v>
      </c>
      <c r="F19" s="190"/>
      <c r="G19" s="196" t="str">
        <v>X đóng cửa tính năng Communities do ít người dùng và spam lan tràn</v>
      </c>
      <c r="H19" s="190"/>
      <c r="I19" s="196" t="str">
        <v>GPT-5.5 ra mắt cạnh tranh Claude Opus 4.7</v>
      </c>
      <c r="K19" s="196" t="str">
        <v>MoMo × Taptap Send: Gửi kiều hối từ nước ngoài nhận quà đến 900k</v>
      </c>
      <c r="L19" s="196" t="str">
        <v>GrabFood: Giảm 34% tối đa 34k tại 34 tỉnh thành</v>
      </c>
      <c r="M19" s="196" t="str">
        <v>Zalopay x AEON: Ưu đãi đến 100k khi thanh toán tại AEON bằng ZaloPay</v>
      </c>
      <c r="N19" s="208"/>
    </row>
    <row r="20" spans="1:14" ht="85.5">
      <c r="A20" s="199"/>
      <c r="B20" s="199"/>
      <c r="C20" s="200"/>
      <c r="D20" s="190"/>
      <c r="E20" s="195" t="str">
        <v>MoMo × Xe buýt TP.HCM: Thanh toán với QR MoMo</v>
      </c>
      <c r="F20" s="190"/>
      <c r="G20" s="195" t="str">
        <v>Netflix thử nghiệm feed video dọc kiểu TikTok để tăng khám phá nội dung</v>
      </c>
      <c r="H20" s="190"/>
      <c r="I20" s="195" t="str">
        <v>Anthropic Project Deal: 186 giao dịch agent-to-agent, $4.000 giá trị – Kỷ nguyên AI commerce đang đến</v>
      </c>
      <c r="K20" s="196" t="str">
        <v>Gamification: Tạp Hoá Tuổi Thơ – Tham gia nhiệm vụ và nhận quà với tổng thưởng đến 1 tỷ đồng</v>
      </c>
      <c r="L20" s="196" t="str">
        <v>GrabXu Flashsale: Giảm sâu đến 89% cho mọi ưu đãi dịch vụ Grab được đổi trên GrabXu</v>
      </c>
      <c r="M20" s="196" t="str">
        <v>QR Thanh toán x Siêu thị: Ưu đãi khi thanh toán bằng QR Thanh toán</v>
      </c>
      <c r="N20" s="208"/>
    </row>
    <row r="21" spans="1:14" ht="57">
      <c r="A21" s="199"/>
      <c r="B21" s="199"/>
      <c r="C21" s="200"/>
      <c r="D21" s="190"/>
      <c r="E21" s="196" t="str">
        <v>MoMo × Taptap Send: Gửi kiều hối từ nước ngoài nhận quà đến 900k</v>
      </c>
      <c r="F21" s="190"/>
      <c r="G21" s="196" t="str">
        <v>YouTube thử nghiệm tìm kiếm AI trả lời có hướng dẫn</v>
      </c>
      <c r="H21" s="190"/>
      <c r="I21" s="197" t="str">
        <v>Google đưa Gemini trở thành trợ lý AI mặc định trên xe hơi</v>
      </c>
      <c r="K21" s="196" t="str">
        <v>Gamification MoMo Movies: Chơi “Săn Sập Sài Gòn” vừa xem phim hay vừa rinh pin cài, túi tote, Mô Ngọ</v>
      </c>
      <c r="L21" s="196" t="str">
        <v>GrabCar Thú cưng: Thưởng 30% GrabXu</v>
      </c>
      <c r="M21" s="196" t="str">
        <v>Tài khoản trả sau x Cửa hàng ăn uống: Ưu đãi khi thanh toán</v>
      </c>
      <c r="N21" s="208"/>
    </row>
    <row r="22" spans="1:14" ht="85.5">
      <c r="A22" s="199"/>
      <c r="B22" s="199"/>
      <c r="C22" s="200"/>
      <c r="D22" s="190"/>
      <c r="E22" s="196" t="str">
        <v>Chứng chỉ Quỹ: MoMo dừng Chứng Chỉ Quỹ cũ từ 01/07/2026 – Ra mắt mô hình Chứng Chỉ Quỹ CVS</v>
      </c>
      <c r="F22" s="190"/>
      <c r="G22" s="197"/>
      <c r="H22" s="190"/>
      <c r="I22" s="190"/>
      <c r="K22" s="196" t="str">
        <v>MoMo Du lịch đi lại × Green SM: Đặt dịch vụ du lịch nhận giảm 20% max 50k đi xe Green SM</v>
      </c>
      <c r="L22" s="196" t="str">
        <v xml:space="preserve">GrabCar Thú cưng: Giảm 80k cho chuyến GrabCar thú cưng đầu tiên ---- đến 31/7									</v>
      </c>
      <c r="M22" s="196" t="str">
        <v>Tài khoản trả sau x Điện máy xanh: Ưu đãi khi thanh toán tại cửa hàng</v>
      </c>
      <c r="N22" s="208"/>
    </row>
    <row r="23" spans="1:14" ht="57">
      <c r="A23" s="199"/>
      <c r="B23" s="199"/>
      <c r="C23" s="200"/>
      <c r="D23" s="190"/>
      <c r="E23" s="196" t="str">
        <v>MoMo Ví Trả Sau: Ra mắt Gói Thành Viên</v>
      </c>
      <c r="F23" s="190"/>
      <c r="G23" s="190"/>
      <c r="H23" s="190"/>
      <c r="I23" s="190"/>
      <c r="K23" s="196" t="str">
        <v>Chứng chỉ Quỹ: MoMo dừng Chứng Chỉ Quỹ cũ từ 01/07/2026 – Ra mắt mô hình Chứng Chỉ Quỹ CVS</v>
      </c>
      <c r="L23" s="196" t="str">
        <v>Grab: Cập nhật Phí nền tảng và Phí Dịch vụ hiệu lực từ 28/04</v>
      </c>
      <c r="M23" s="196" t="str">
        <v>Zalopay x Nhà thuốc Long châu: Ưu đãi khi thanh toán online</v>
      </c>
      <c r="N23" s="208"/>
    </row>
    <row r="24" spans="1:14" ht="85.5">
      <c r="A24" s="199"/>
      <c r="B24" s="199"/>
      <c r="C24" s="200"/>
      <c r="D24" s="201"/>
      <c r="E24" s="202" t="str">
        <v>MoMo × ePass: Tự động sử dùng tiền trong MoMo thanh toán khi qua trạm ETC</v>
      </c>
      <c r="F24" s="190"/>
      <c r="G24" s="190"/>
      <c r="H24" s="190"/>
      <c r="I24" s="190"/>
      <c r="K24" s="196" t="str">
        <v>MoMo Ví Trả Sau: Ra mắt Gói Thành Viên</v>
      </c>
      <c r="L24" s="208"/>
      <c r="M24" s="196" t="str">
        <v>Zalopay x Haidilao: Ưu đãi khi thanh toán tại nhà hàng</v>
      </c>
      <c r="N24" s="208"/>
    </row>
    <row r="25" spans="1:14" ht="85.5">
      <c r="A25" s="187"/>
      <c r="B25" s="187"/>
      <c r="C25" s="188"/>
      <c r="D25" s="188"/>
      <c r="E25" s="188"/>
      <c r="F25" s="186"/>
      <c r="G25" s="186"/>
      <c r="H25" s="186"/>
      <c r="I25" s="186"/>
      <c r="K25" s="196" t="str">
        <v>MoMo × ePass: Tự động sử dùng tiền trong MoMo thanh toán khi qua trạm ETC</v>
      </c>
      <c r="L25" s="208"/>
      <c r="M25" s="196" t="str">
        <v>QR thanh toán quốc tế x Khoa lang thang: Ưu đãi bay Trung Quốc; thanh toán QR, sử dụng dịch vụ làm VISA Trung Quốc qua Zalopay</v>
      </c>
      <c r="N25" s="208"/>
    </row>
    <row r="26" spans="1:14" ht="57">
      <c r="A26" s="187"/>
      <c r="B26" s="187"/>
      <c r="C26" s="188"/>
      <c r="D26" s="188"/>
      <c r="E26" s="188"/>
      <c r="F26" s="186"/>
      <c r="G26" s="186"/>
      <c r="H26" s="186"/>
      <c r="I26" s="186"/>
      <c r="K26" s="208"/>
      <c r="L26" s="208"/>
      <c r="M26" s="196" t="str">
        <v xml:space="preserve">Gamification Zalopay x HCMC Metro: Tham nhiệm vụ và cơ hội quay thưởng 100% trúng quà </v>
      </c>
      <c r="N26" s="208"/>
    </row>
    <row r="27" spans="1:14" ht="57">
      <c r="K27" s="208"/>
      <c r="L27" s="208"/>
      <c r="M27" s="196" t="str">
        <v>Zalopay x FAHASA: Ưu đãi 15k-25k-50k thanh toán bằng ZaloPay trên website/ app</v>
      </c>
      <c r="N27" s="208"/>
    </row>
    <row r="28" spans="1:14" ht="28.5">
      <c r="K28" s="208"/>
      <c r="L28" s="208"/>
      <c r="M28" s="196" t="str">
        <v>Zalopay x Grab/GSM: Ưu đãi thanh toán bằng Zalopay</v>
      </c>
      <c r="N28" s="208"/>
    </row>
    <row r="29" spans="1:14" ht="57">
      <c r="K29" s="208"/>
      <c r="L29" s="208"/>
      <c r="M29" s="196" t="str">
        <v>Zalopay x VTVGo: Thanh toán gói cước VTVgo Plus bằng Zalopay</v>
      </c>
      <c r="N29" s="208"/>
    </row>
    <row r="30" spans="1:14" ht="28.5">
      <c r="A30" s="183" t="s">
        <v>2362</v>
      </c>
      <c r="C30" s="183" t="s">
        <v>228</v>
      </c>
      <c r="E30" s="183" t="s">
        <v>2371</v>
      </c>
      <c r="G30" s="183" t="s">
        <v>2406</v>
      </c>
      <c r="I30" s="183" t="s">
        <v>86</v>
      </c>
      <c r="K30" s="208"/>
      <c r="L30" s="208"/>
      <c r="M30" s="196"/>
      <c r="N30" s="208"/>
    </row>
    <row r="31" spans="1:14" ht="66">
      <c r="A31" s="183" t="str" cm="1">
        <f t="array" ref="A31:A36">_xlfn._xlws.FILTER(Database[url],(Database[week]=18)*(Database[related _vertical]=Groupping!A30),"")</f>
        <v>https://www.techinasia.com/news/goto-review-comply-prabowos-8-platform-fee-cap</v>
      </c>
      <c r="C31" s="183" t="str" cm="1">
        <f t="array" ref="C31:C38">_xlfn._xlws.FILTER(Database[url],(Database[week]=18)*(Database[related _vertical]=Groupping!C30),"")</f>
        <v>https://genk.vn/nguoi-viet-mua-gi-ma-moi-ngay-chot-toi-126-trieu-san-pham-tren-san-tmdt-165260429075817689.chn</v>
      </c>
      <c r="E31" s="183" t="str" cm="1">
        <f t="array" ref="E31:E43">_xlfn._xlws.FILTER(Database[url],(Database[week]=18)*(Database[related _vertical]=Groupping!E30),"")</f>
        <v>https://techcrunch.com/2026/04/30/stripe-link-digital-wallet-ai-agents-shopping/</v>
      </c>
      <c r="G31" s="183" t="str" cm="1">
        <f t="array" ref="G31:G40">_xlfn._xlws.FILTER(Database[url],(Database[week]=18)*(Database[related _vertical]=Groupping!G30),"")</f>
        <v>https://techcrunch.com/2026/04/30/tiktoks-new-campus-hub-features-college-group-chats-and-feeds/</v>
      </c>
      <c r="I31" s="183" t="str" cm="1">
        <f t="array" ref="I31:I40">_xlfn._xlws.FILTER(Database[url],(Database[week]=18)*(Database[related _vertical]=Groupping!I30),"")</f>
        <v>https://genk.vn/openclaw-moi-phien-ban-cloud-an-toan-tien-dung-cho-nguoi-viet-165260421151000535.chn</v>
      </c>
      <c r="K31" s="208"/>
      <c r="L31" s="208"/>
      <c r="M31" s="196"/>
      <c r="N31" s="208"/>
    </row>
    <row r="32" spans="1:14" ht="66">
      <c r="A32" s="183" t="str">
        <v>https://vneconomy.vn/techconnect/trung-quoc-ra-chinh-sach-bao-ve-tai-xe-cong-nghe-nhan-vien-giao-hang.htm</v>
      </c>
      <c r="C32" s="183" t="str">
        <v>https://www.techinasia.com/news/tiktok-launches-restaurant-recommendation-service-indonesia</v>
      </c>
      <c r="E32" s="183" t="str">
        <v>https://www.techinasia.com/news/wechat-pay-expands-qr-payments-5-asian-countries</v>
      </c>
      <c r="G32" s="183" t="str">
        <v>https://techcrunch.com/2026/04/28/snapchat-brings-ai-powered-conversational-advertising-to-its-app/</v>
      </c>
      <c r="I32" s="183" t="str">
        <v>https://vnexpress.net/cach-cong-ty-cong-nghe-trung-quoc-chuyen-hoa-ai-thanh-loi-nhuan-5061856.html</v>
      </c>
    </row>
    <row r="33" spans="1:9" ht="66">
      <c r="A33" s="183" t="str">
        <v>https://www.bloomberg.com/news/articles/2026-04-29/uber-adds-hotel-bookings-to-its-app-through-new-expedia-partnership</v>
      </c>
      <c r="C33" s="183" t="str">
        <v>https://www.techinasia.com/news/indian-ecommerce-firms-build-agentic-ai-storefronts</v>
      </c>
      <c r="E33" s="183" t="str">
        <v>https://www.techsignin.com/040526-ant-international-ket-noi-2-ty-nguoi-dung/</v>
      </c>
      <c r="G33" s="183" t="str">
        <v>https://techcrunch.com/2026/04/23/whatsapp-adds-prepaid-phone-recharges-in-india-as-its-payments-usage-still-lags/</v>
      </c>
      <c r="I33" s="183" t="str">
        <v>https://genk.vn/apple-tra-google-1-ty-usd-moi-nam-de-tich-hop-gemini-vao-siri-165262304152849967.chn</v>
      </c>
    </row>
    <row r="34" spans="1:9" ht="66">
      <c r="A34" s="183" t="str">
        <v>https://baotintuc.vn/thi-truong-tien-te/giao-hang-nhanh-dinh-hinh-lai-cuoc-dua-thuong-mai-dien-tu-20260416172320540.htm</v>
      </c>
      <c r="C34" s="183" t="str">
        <v>https://techcrunch.com/2026/04/28/amazon-launches-an-ai-powered-audio-qa-experience-on-product-pages/</v>
      </c>
      <c r="E34" s="183" t="str">
        <v>https://www.techinasia.com/airwallex-launch-indonesia-vietnam-southeast-asia-push</v>
      </c>
      <c r="G34" s="183" t="str">
        <v>https://techcrunch.com/2026/04/22/threads-is-adding-live-chats-to-boost-real-time-engagement/</v>
      </c>
      <c r="I34" s="183" t="str">
        <v>https://vneconomy.vn/techconnect/nguoi-thu-nhap-cao-ung-dung-ai-hang-ngay-trong-cong-viec.htm</v>
      </c>
    </row>
    <row r="35" spans="1:9" ht="87.95">
      <c r="A35" s="183" t="str">
        <v>https://techcrunch.com/2026/04/21/yelps-updated-ai-assistant-can-answer-questions-and-book-a-restaurant-or-service-in-one-conversation/</v>
      </c>
      <c r="C35" s="183" t="str">
        <v>https://banhang.shopee.vn/edu/article/27451</v>
      </c>
      <c r="E35" s="183" t="str">
        <v>https://vnexpress.net/bidv-cung-cac-doi-tac-trien-khai-dich-vu-thanh-toan-qr-viet-han-5066506.html</v>
      </c>
      <c r="G35" s="183" t="str">
        <v>https://techcrunch.com/2026/04/23/meta-is-revamping-its-cross-app-management-system/</v>
      </c>
      <c r="I35" s="183" t="str">
        <v>https://vneconomy.vn/techconnect/con-sot-anthropic-dinh-gia-cham-moc-nghin-ty-usd-tren-thi-truong-thu-cap-vuot-openai.htm</v>
      </c>
    </row>
    <row r="36" spans="1:9" ht="44.1">
      <c r="A36" s="183" t="str">
        <v>https://www.grab.com/vn/blog/thong-tin-tu-grab/</v>
      </c>
      <c r="C36" s="183" t="str">
        <v>https://banhang.shopee.vn/edu/article/27452</v>
      </c>
      <c r="E36" s="183" t="str">
        <v>https://www.techinasia.com/news/ant-international-upgrades-alipay-with-privacy-tech</v>
      </c>
      <c r="G36" s="183" t="str">
        <v>https://techcrunch.com/2026/04/23/meta-will-now-allow-parents-to-see-the-topics-their-child-discussed-with-meta-ai/</v>
      </c>
      <c r="I36" s="183" t="str">
        <v>https://genk.vn/chatgpt-images-20-ra-mat-cong-cu-tao-anh-biet-suy-nghi-truoc-khi-ve-lam-duoc-ban-do-lich-su-manga-hoan-chinh-chi-trong-mot-cau-lenh-165260422142412177.chn</v>
      </c>
    </row>
    <row r="37" spans="1:9">
      <c r="C37" s="183" t="str">
        <v>https://seller-vn.tiktok.com/university/essay?knowledge_id=8858869405370113&amp;lang=vi-VN</v>
      </c>
      <c r="E37" s="183" t="str">
        <v>https://vnexpress.net/nhieu-ngan-hang-dung-chuyen-tien-nhanh-tren-500-trieu-dong-5063913.html</v>
      </c>
      <c r="G37" s="183" t="str">
        <v>https://techcrunch.com/2026/04/30/x-announces-a-rebuilt-ad-platform-powered-by-ai/</v>
      </c>
      <c r="I37" s="183" t="str">
        <v>https://vnexpress.net/deepseek-ra-mo-hinh-v4-5066619.html</v>
      </c>
    </row>
    <row r="38" spans="1:9">
      <c r="C38" s="183" t="str">
        <v>https://banhang.shopee.vn/edu/article/25329</v>
      </c>
      <c r="E38" s="183" t="str">
        <v>https://www.techinasia.com/news/malaysian-fintech-ryt-bank-adds-pay-later-to-card-payments</v>
      </c>
      <c r="G38" s="183" t="str">
        <v>https://techcrunch.com/2026/04/23/x-is-shutting-down-communities-because-of-low-usage-and-lots-of-spam/</v>
      </c>
      <c r="I38" s="183" t="str">
        <v>https://genk.vn/ra-mat-gpt-55-mo-hinh-ai-thong-minh-nhat-cua-openai-canh-tranh-voi-opus-47-165260424104450811.chn</v>
      </c>
    </row>
    <row r="39" spans="1:9">
      <c r="E39" s="183" t="str">
        <v>https://www.momo.vn/tin-tuc/tin-tuc-su-kien/tu-30-4-di-xe-buyt-tphcm-mien-phi-ve-huong-dan-8686</v>
      </c>
      <c r="G39" s="183" t="str">
        <v>https://techcrunch.com/2026/04/30/netflix-wants-you-to-watch-clips-its-tiktok-like-vertical-video-feed/</v>
      </c>
      <c r="I39" s="183" t="str">
        <v>https://techcrunch.com/2026/04/25/anthropic-created-a-test-marketplace-for-agent-on-agent-commerce/</v>
      </c>
    </row>
    <row r="40" spans="1:9">
      <c r="E40" s="183" t="str">
        <v>https://www.momo.vn/tin-tuc/khuyen-mai/gui-tien-tu-nuoc-ngoai-qua-taptap-send-nhan-them-8692</v>
      </c>
      <c r="G40" s="183" t="str">
        <v>https://techcrunch.com/2026/04/28/youtube-is-testing-an-ai-powered-search-feature-that-shows-guided-answers/</v>
      </c>
      <c r="I40" s="183" t="str">
        <v>https://techcrunch.com/2026/04/30/googles-gemini-ai-assistant-is-hitting-the-road-in-millions-of-vehicles/</v>
      </c>
    </row>
    <row r="41" spans="1:9">
      <c r="E41" s="183" t="str">
        <v>https://www.momo.vn/tin-tuc/khuyen-mai/thong-bao-momo-dung-ho-tro-dich-vu-chung-chi-quy-8695</v>
      </c>
    </row>
    <row r="42" spans="1:9">
      <c r="E42" s="183" t="str">
        <v>https://www.momo.vn/tin-tuc/khuyen-mai/sap-ra-mat-goi-thanh-vien-vi-tra-sau-de-moi-lan-8680</v>
      </c>
    </row>
    <row r="43" spans="1:9">
      <c r="E43" s="183" t="str">
        <v>https://www.momo.vn/tin-tuc/khuyen-mai/khong-can-nap-epass-nua-qua-tram-etc-truc-tiep-8682</v>
      </c>
    </row>
    <row r="51" spans="1:9">
      <c r="A51" s="185"/>
      <c r="B51" s="185"/>
    </row>
    <row r="53" spans="1:9" ht="28.5">
      <c r="A53" s="189" t="s">
        <v>2362</v>
      </c>
      <c r="B53" s="190"/>
      <c r="C53" s="191" t="s">
        <v>228</v>
      </c>
      <c r="D53" s="190"/>
      <c r="E53" s="192" t="s">
        <v>2371</v>
      </c>
      <c r="F53" s="190"/>
      <c r="G53" s="193" t="s">
        <v>2406</v>
      </c>
      <c r="H53" s="190"/>
      <c r="I53" s="194" t="s">
        <v>86</v>
      </c>
    </row>
    <row r="54" spans="1:9" ht="78">
      <c r="A54" s="207" t="str">
        <f>HYPERLINK(A31,A12)</f>
        <v>Indonesia Prabowo ký sắc lệnh cắt hoa hồng ride-hailing xuống 8% – Tác động trực tiếp Grab và GoTo</v>
      </c>
      <c r="B54" s="203"/>
      <c r="C54" s="207" t="str">
        <f>HYPERLINK(C31,C12)</f>
        <v>Người Việt chốt 126 triệu sản phẩm/ngày trên TMĐT – Số liệu thực tế quy mô thị trường</v>
      </c>
      <c r="D54" s="203"/>
      <c r="E54" s="207" t="str">
        <f>HYPERLINK(E31,E12)</f>
        <v>Stripe Link ra mắt: ví điện tử cho AI agent tự động thanh toán thay user</v>
      </c>
      <c r="F54" s="203"/>
      <c r="G54" s="207" t="str">
        <f>HYPERLINK(G31,G12)</f>
        <v>TikTok mở rộng đối tượng Sinh viên với tính năng Campus Hub</v>
      </c>
      <c r="H54" s="203"/>
      <c r="I54" s="207" t="str">
        <f>HYPERLINK(I31,I12)</f>
        <v>OpenClaw ra phiên bản cloud cho người Việt – AI agent trên nền tảng đám mây</v>
      </c>
    </row>
    <row r="55" spans="1:9" ht="78">
      <c r="A55" s="207" t="str">
        <f t="shared" ref="A55:A59" si="0">HYPERLINK(A32,A13)</f>
        <v>Trung Quốc ban hành chính sách bảo vệ tài xế gig economy</v>
      </c>
      <c r="B55" s="203"/>
      <c r="C55" s="207" t="str">
        <f t="shared" ref="C55:C61" si="1">HYPERLINK(C32,C13)</f>
        <v>TikTok ra dịch vụ gợi ý nhà hàng tại Indonesia – Mở rộng sang local services, cạnh tranh Grab</v>
      </c>
      <c r="D55" s="203"/>
      <c r="E55" s="207" t="str">
        <f t="shared" ref="E55:E66" si="2">HYPERLINK(E32,E13)</f>
        <v>WeChat Pay mở rộng QR payments sang 5 nước châu Á – Cạnh tranh trực tiếp với Alipay+ và QR nội địa</v>
      </c>
      <c r="F55" s="203"/>
      <c r="G55" s="207" t="str">
        <f t="shared" ref="G55:G64" si="3">HYPERLINK(G32,G13)</f>
        <v>Snapchat đưa quảng cáo hội thoại bằng AI vào trải nghiệm người dùng</v>
      </c>
      <c r="H55" s="203"/>
      <c r="I55" s="207" t="str">
        <f t="shared" ref="I55:I63" si="4">HYPERLINK(I32,I13)</f>
        <v>Doanh nghiệp công nghệ Trung Quốc đẩy nhanh thương mại hóa AI để tạo lợi nhuận</v>
      </c>
    </row>
    <row r="56" spans="1:9" ht="78">
      <c r="A56" s="207" t="str">
        <f t="shared" si="0"/>
        <v>Uber tích hợp đặt khách sạn qua Expedia – Super-app ride+food+travel đang hình thành tại Mỹ</v>
      </c>
      <c r="B56" s="203"/>
      <c r="C56" s="207" t="str">
        <f t="shared" si="1"/>
        <v>Thương mại điện tử Ấn Độ chuyển sang mô hình storefront dùng AI age</v>
      </c>
      <c r="D56" s="203"/>
      <c r="E56" s="207" t="str">
        <f t="shared" si="2"/>
        <v>Ant International ra mắt AMP – Giao thức agentic payment đầu tiên cho mobile</v>
      </c>
      <c r="F56" s="203"/>
      <c r="G56" s="207" t="str">
        <f t="shared" si="3"/>
        <v>WhatsApp mở rộng nạp tiền di động để thúc đẩy mảng thanh toán tại Ấn Độ</v>
      </c>
      <c r="H56" s="203"/>
      <c r="I56" s="207" t="str">
        <f t="shared" si="4"/>
        <v>Apple trả Google $1B/năm tích hợp Gemini vào Siri – AI partnership lớn nhất trong lịch sử mobile</v>
      </c>
    </row>
    <row r="57" spans="1:9" ht="51.95">
      <c r="A57" s="207" t="str">
        <f t="shared" si="0"/>
        <v>Giao Hàng Nhanh tái định vị để chiếm lợi thế trong cuộc đua TMĐT</v>
      </c>
      <c r="B57" s="203"/>
      <c r="C57" s="207" t="str">
        <f t="shared" si="1"/>
        <v>Amazon đưa AI hỏi–đáp bằng giọng nói lên trang sản phẩm</v>
      </c>
      <c r="D57" s="203"/>
      <c r="E57" s="207" t="str">
        <f t="shared" si="2"/>
        <v>Airwallex chính thức mở rộng hoạt động sang Indonesia và Việt Nam</v>
      </c>
      <c r="F57" s="203"/>
      <c r="G57" s="207" t="str">
        <f t="shared" si="3"/>
        <v>Threads bổ sung live chat để tăng tương tác theo thời gian thực</v>
      </c>
      <c r="H57" s="203"/>
      <c r="I57" s="207" t="str">
        <f t="shared" si="4"/>
        <v>Nhóm thu nhập cao dẫn đầu xu hướng ứng dụng AI trong công việc</v>
      </c>
    </row>
    <row r="58" spans="1:9" ht="78">
      <c r="A58" s="207" t="str">
        <f t="shared" si="0"/>
        <v>Yelp nâng cấp AI assistant thành “trợ lý hành động” cho ăn uống và dịch vụ</v>
      </c>
      <c r="B58" s="203"/>
      <c r="C58" s="207" t="str">
        <f t="shared" si="1"/>
        <v>Shopee: Cập nhật phí cố định cho người bán Shopee Non-Mall hiệu lực từ 01/05</v>
      </c>
      <c r="D58" s="203"/>
      <c r="E58" s="207" t="str">
        <f t="shared" si="2"/>
        <v>BIDV mở rộng thanh toán QR xuyên biên giới Việt – Hàn</v>
      </c>
      <c r="F58" s="203"/>
      <c r="G58" s="207" t="str">
        <f t="shared" si="3"/>
        <v>Meta tái cấu trúc hệ thống quản lý tài khoản xuyên ứng dụng</v>
      </c>
      <c r="H58" s="203"/>
      <c r="I58" s="207" t="str">
        <f t="shared" si="4"/>
        <v>Anthropic định giá $1 nghìn tỷ trên thị trường thứ cấp – Vượt OpenAI, AI vendor cung cấp cho super-app tăng giá trị</v>
      </c>
    </row>
    <row r="59" spans="1:9" ht="78">
      <c r="A59" s="207" t="str">
        <f t="shared" si="0"/>
        <v>Grab: Cập nhật Phí nền tảng và Phí Dịch vụ hiệu lực từ 28/04</v>
      </c>
      <c r="B59" s="203"/>
      <c r="C59" s="207" t="str">
        <f t="shared" si="1"/>
        <v>ShopeeMall: Cập nhật phí cố định cho người bán Shopee Mall hiệu lực từ 08/05</v>
      </c>
      <c r="D59" s="203"/>
      <c r="E59" s="207" t="str">
        <f t="shared" si="2"/>
        <v>Ant International tăng cường công nghệ bảo mật để mở rộng Alipay toàn cầu</v>
      </c>
      <c r="F59" s="203"/>
      <c r="G59" s="207" t="str">
        <f t="shared" si="3"/>
        <v>Meta cho phép phụ huynh theo dõi chủ đề con trao đổi với Meta A</v>
      </c>
      <c r="H59" s="203"/>
      <c r="I59" s="207" t="str">
        <f t="shared" si="4"/>
        <v>ChatGPT Images 2.0 ra mắt – Tạo ảnh với khả năng suy luận: manga, bản đồ lịch sử từ 1 câu lệnh</v>
      </c>
    </row>
    <row r="60" spans="1:9" ht="78">
      <c r="A60" s="204"/>
      <c r="B60" s="203"/>
      <c r="C60" s="207" t="str">
        <f t="shared" si="1"/>
        <v>TiktokShop: Cập nhật xử lý giao dịch và phí cố định hiệu lực từ 09/05</v>
      </c>
      <c r="D60" s="203"/>
      <c r="E60" s="207" t="str">
        <f t="shared" si="2"/>
        <v>Nhiều ngân hàng VN dừng chuyển tiền nhanh &gt;500 triệu đồng – Siết quy định thanh toán tức thì lớn</v>
      </c>
      <c r="F60" s="203"/>
      <c r="G60" s="207" t="str">
        <f t="shared" si="3"/>
        <v>X tái xây dựng nền tảng quảng cáo, đặt AI làm lõi vận hành</v>
      </c>
      <c r="H60" s="203"/>
      <c r="I60" s="207" t="str">
        <f t="shared" si="4"/>
        <v>DeepSeek V4 ra mắt: context 1M token, giá thấp hơn 6x GPT-5.5, ra mắt cùng ngày GPT-5.5</v>
      </c>
    </row>
    <row r="61" spans="1:9" ht="51.95">
      <c r="A61" s="204"/>
      <c r="B61" s="203"/>
      <c r="C61" s="207" t="str">
        <f t="shared" si="1"/>
        <v>Shopee: Cập nhật phí xử lý giao dịch hiệu lực từ 01/05</v>
      </c>
      <c r="D61" s="203"/>
      <c r="E61" s="207" t="str">
        <f t="shared" si="2"/>
        <v>Fintech Malaysia đưa Pay Later vào thanh toán thẻ để mở rộng chi tiêu</v>
      </c>
      <c r="F61" s="203"/>
      <c r="G61" s="207" t="str">
        <f t="shared" si="3"/>
        <v>X đóng cửa tính năng Communities do ít người dùng và spam lan tràn</v>
      </c>
      <c r="H61" s="203"/>
      <c r="I61" s="207" t="str">
        <f t="shared" si="4"/>
        <v>GPT-5.5 ra mắt cạnh tranh Claude Opus 4.7</v>
      </c>
    </row>
    <row r="62" spans="1:9" ht="78">
      <c r="A62" s="204"/>
      <c r="B62" s="204"/>
      <c r="C62" s="205"/>
      <c r="D62" s="203"/>
      <c r="E62" s="207" t="str">
        <f t="shared" si="2"/>
        <v>MoMo × Xe buýt TP.HCM: Thanh toán với QR MoMo</v>
      </c>
      <c r="F62" s="203"/>
      <c r="G62" s="207" t="str">
        <f t="shared" si="3"/>
        <v>Netflix thử nghiệm feed video dọc kiểu TikTok để tăng khám phá nội dung</v>
      </c>
      <c r="H62" s="203"/>
      <c r="I62" s="207" t="str">
        <f t="shared" si="4"/>
        <v>Anthropic Project Deal: 186 giao dịch agent-to-agent, $4.000 giá trị – Kỷ nguyên AI commerce đang đến</v>
      </c>
    </row>
    <row r="63" spans="1:9" ht="51.95">
      <c r="A63" s="204"/>
      <c r="B63" s="204"/>
      <c r="C63" s="205"/>
      <c r="D63" s="203"/>
      <c r="E63" s="207" t="str">
        <f t="shared" si="2"/>
        <v>MoMo × Taptap Send: Gửi kiều hối từ nước ngoài nhận quà đến 900k</v>
      </c>
      <c r="F63" s="203"/>
      <c r="G63" s="207" t="str">
        <f t="shared" si="3"/>
        <v>YouTube thử nghiệm tìm kiếm AI trả lời có hướng dẫn</v>
      </c>
      <c r="H63" s="203"/>
      <c r="I63" s="207" t="str">
        <f t="shared" si="4"/>
        <v>Google đưa Gemini trở thành trợ lý AI mặc định trên xe hơi</v>
      </c>
    </row>
    <row r="64" spans="1:9" ht="78">
      <c r="A64" s="204"/>
      <c r="B64" s="204"/>
      <c r="C64" s="205"/>
      <c r="D64" s="203"/>
      <c r="E64" s="207" t="str">
        <f t="shared" si="2"/>
        <v>Chứng chỉ Quỹ: MoMo dừng Chứng Chỉ Quỹ cũ từ 01/07/2026 – Ra mắt mô hình Chứng Chỉ Quỹ CVS</v>
      </c>
      <c r="F64" s="203"/>
      <c r="G64" s="207">
        <f t="shared" si="3"/>
        <v>0</v>
      </c>
      <c r="H64" s="203"/>
      <c r="I64" s="203"/>
    </row>
    <row r="65" spans="1:9" ht="26.1">
      <c r="A65" s="204"/>
      <c r="B65" s="204"/>
      <c r="C65" s="205"/>
      <c r="D65" s="203"/>
      <c r="E65" s="207" t="str">
        <f t="shared" si="2"/>
        <v>MoMo Ví Trả Sau: Ra mắt Gói Thành Viên</v>
      </c>
      <c r="F65" s="203"/>
      <c r="G65" s="203"/>
      <c r="H65" s="203"/>
      <c r="I65" s="203"/>
    </row>
    <row r="66" spans="1:9" ht="51.95">
      <c r="A66" s="204"/>
      <c r="B66" s="204"/>
      <c r="C66" s="205"/>
      <c r="D66" s="206"/>
      <c r="E66" s="207" t="str">
        <f t="shared" si="2"/>
        <v>MoMo × ePass: Tự động sử dùng tiền trong MoMo thanh toán khi qua trạm ETC</v>
      </c>
      <c r="F66" s="203"/>
      <c r="G66" s="203"/>
      <c r="H66" s="203"/>
      <c r="I66" s="203"/>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F7489-233C-4D85-B10B-AB29B57C6923}">
  <sheetPr codeName="Sheet1"/>
  <dimension ref="B1:M42"/>
  <sheetViews>
    <sheetView topLeftCell="A4" zoomScale="70" zoomScaleNormal="70" workbookViewId="0">
      <selection activeCell="I6" sqref="I6"/>
    </sheetView>
  </sheetViews>
  <sheetFormatPr defaultColWidth="8.7109375" defaultRowHeight="14.45"/>
  <cols>
    <col min="1" max="1" width="2.85546875" style="1" customWidth="1"/>
    <col min="2" max="2" width="9.85546875" style="1" customWidth="1"/>
    <col min="3" max="3" width="17.140625" style="1" customWidth="1"/>
    <col min="4" max="4" width="50.7109375" style="4" customWidth="1"/>
    <col min="5" max="5" width="12.5703125" style="4" hidden="1" customWidth="1"/>
    <col min="6" max="6" width="13.5703125" style="4" hidden="1" customWidth="1"/>
    <col min="7" max="8" width="12.28515625" style="1" bestFit="1" customWidth="1"/>
    <col min="9" max="9" width="57.5703125" style="1" customWidth="1"/>
    <col min="10" max="10" width="35.5703125" style="1" customWidth="1"/>
    <col min="11" max="11" width="13.140625" style="13" customWidth="1"/>
    <col min="12" max="12" width="11.85546875" style="1" customWidth="1"/>
    <col min="13" max="13" width="12.85546875" style="1" customWidth="1"/>
    <col min="14" max="16384" width="8.7109375" style="1"/>
  </cols>
  <sheetData>
    <row r="1" spans="2:13" ht="15" thickBot="1"/>
    <row r="2" spans="2:13" ht="18.600000000000001">
      <c r="B2" s="316" t="s">
        <v>2848</v>
      </c>
      <c r="C2" s="317"/>
      <c r="D2" s="317"/>
      <c r="E2" s="317"/>
      <c r="F2" s="317"/>
      <c r="G2" s="317"/>
      <c r="H2" s="317"/>
      <c r="I2" s="317"/>
      <c r="J2" s="317"/>
      <c r="K2" s="317"/>
      <c r="L2" s="317"/>
      <c r="M2" s="318"/>
    </row>
    <row r="3" spans="2:13">
      <c r="B3" s="319" t="s">
        <v>71</v>
      </c>
      <c r="C3" s="321" t="s">
        <v>2849</v>
      </c>
      <c r="D3" s="307" t="s">
        <v>2850</v>
      </c>
      <c r="E3" s="308"/>
      <c r="F3" s="308"/>
      <c r="G3" s="308"/>
      <c r="H3" s="309"/>
      <c r="I3" s="323" t="s">
        <v>2851</v>
      </c>
      <c r="J3" s="324"/>
      <c r="K3" s="324"/>
      <c r="L3" s="325"/>
      <c r="M3" s="326" t="s">
        <v>2852</v>
      </c>
    </row>
    <row r="4" spans="2:13" ht="29.1" customHeight="1">
      <c r="B4" s="320"/>
      <c r="C4" s="322"/>
      <c r="D4" s="31" t="s">
        <v>2853</v>
      </c>
      <c r="E4" s="18" t="s">
        <v>2854</v>
      </c>
      <c r="F4" s="18" t="s">
        <v>2855</v>
      </c>
      <c r="G4" s="18" t="s">
        <v>2856</v>
      </c>
      <c r="H4" s="18" t="s">
        <v>2857</v>
      </c>
      <c r="I4" s="19" t="s">
        <v>2858</v>
      </c>
      <c r="J4" s="19" t="s">
        <v>2859</v>
      </c>
      <c r="K4" s="20" t="s">
        <v>2856</v>
      </c>
      <c r="L4" s="20" t="s">
        <v>2857</v>
      </c>
      <c r="M4" s="327"/>
    </row>
    <row r="5" spans="2:13" ht="72.599999999999994">
      <c r="B5" s="30">
        <v>1</v>
      </c>
      <c r="C5" s="15" t="s">
        <v>2860</v>
      </c>
      <c r="D5" s="21" t="s">
        <v>2861</v>
      </c>
      <c r="E5" s="311">
        <v>2</v>
      </c>
      <c r="F5" s="311">
        <v>15</v>
      </c>
      <c r="G5" s="312">
        <v>60</v>
      </c>
      <c r="H5" s="313">
        <f>G5/60</f>
        <v>1</v>
      </c>
      <c r="I5" s="16" t="s">
        <v>2862</v>
      </c>
      <c r="J5" s="328" t="s">
        <v>2863</v>
      </c>
      <c r="K5" s="313">
        <v>5</v>
      </c>
      <c r="L5" s="305">
        <f>K5/60</f>
        <v>8.3333333333333329E-2</v>
      </c>
      <c r="M5" s="314">
        <f>(H5-L5)/H5</f>
        <v>0.91666666666666663</v>
      </c>
    </row>
    <row r="6" spans="2:13" ht="72.599999999999994">
      <c r="B6" s="30">
        <v>2</v>
      </c>
      <c r="C6" s="15" t="s">
        <v>2864</v>
      </c>
      <c r="D6" s="16" t="s">
        <v>2865</v>
      </c>
      <c r="E6" s="311"/>
      <c r="F6" s="311"/>
      <c r="G6" s="312"/>
      <c r="H6" s="313"/>
      <c r="I6" s="21" t="s">
        <v>2866</v>
      </c>
      <c r="J6" s="328"/>
      <c r="K6" s="313"/>
      <c r="L6" s="306"/>
      <c r="M6" s="315"/>
    </row>
    <row r="7" spans="2:13" ht="82.5" customHeight="1">
      <c r="B7" s="30">
        <v>3</v>
      </c>
      <c r="C7" s="15" t="s">
        <v>2867</v>
      </c>
      <c r="D7" s="16" t="s">
        <v>2868</v>
      </c>
      <c r="E7" s="311">
        <v>5</v>
      </c>
      <c r="F7" s="311">
        <v>15</v>
      </c>
      <c r="G7" s="312">
        <f>E7*F7</f>
        <v>75</v>
      </c>
      <c r="H7" s="313">
        <f>G7/60</f>
        <v>1.25</v>
      </c>
      <c r="I7" s="16" t="s">
        <v>2869</v>
      </c>
      <c r="J7" s="21" t="s">
        <v>2870</v>
      </c>
      <c r="K7" s="313">
        <v>5</v>
      </c>
      <c r="L7" s="305">
        <f>K7/60</f>
        <v>8.3333333333333329E-2</v>
      </c>
      <c r="M7" s="314">
        <f>(H7-L7)/H7</f>
        <v>0.93333333333333335</v>
      </c>
    </row>
    <row r="8" spans="2:13" ht="144.94999999999999">
      <c r="B8" s="30">
        <v>4</v>
      </c>
      <c r="C8" s="15" t="s">
        <v>2871</v>
      </c>
      <c r="D8" s="16" t="s">
        <v>2872</v>
      </c>
      <c r="E8" s="311"/>
      <c r="F8" s="311"/>
      <c r="G8" s="312"/>
      <c r="H8" s="313"/>
      <c r="I8" s="16" t="s">
        <v>2873</v>
      </c>
      <c r="J8" s="21" t="s">
        <v>2874</v>
      </c>
      <c r="K8" s="313"/>
      <c r="L8" s="306"/>
      <c r="M8" s="315"/>
    </row>
    <row r="9" spans="2:13" ht="116.1">
      <c r="B9" s="30">
        <v>5</v>
      </c>
      <c r="C9" s="15" t="s">
        <v>2875</v>
      </c>
      <c r="D9" s="16" t="s">
        <v>2876</v>
      </c>
      <c r="E9" s="22">
        <v>3</v>
      </c>
      <c r="F9" s="22">
        <v>15</v>
      </c>
      <c r="G9" s="17">
        <v>60</v>
      </c>
      <c r="H9" s="17">
        <f>G9/60</f>
        <v>1</v>
      </c>
      <c r="I9" s="16" t="s">
        <v>2877</v>
      </c>
      <c r="J9" s="328" t="s">
        <v>2878</v>
      </c>
      <c r="K9" s="313">
        <v>15</v>
      </c>
      <c r="L9" s="305">
        <f>K9/60</f>
        <v>0.25</v>
      </c>
      <c r="M9" s="314">
        <f>(H9-L9)/H9</f>
        <v>0.75</v>
      </c>
    </row>
    <row r="10" spans="2:13" ht="72.599999999999994">
      <c r="B10" s="30">
        <v>6</v>
      </c>
      <c r="C10" s="15" t="s">
        <v>2879</v>
      </c>
      <c r="D10" s="16" t="s">
        <v>2880</v>
      </c>
      <c r="E10" s="22">
        <v>2</v>
      </c>
      <c r="F10" s="22">
        <f>F9</f>
        <v>15</v>
      </c>
      <c r="G10" s="17">
        <f>E10*F10</f>
        <v>30</v>
      </c>
      <c r="H10" s="17">
        <f>G10/60</f>
        <v>0.5</v>
      </c>
      <c r="I10" s="16" t="s">
        <v>2881</v>
      </c>
      <c r="J10" s="328"/>
      <c r="K10" s="313"/>
      <c r="L10" s="306"/>
      <c r="M10" s="315"/>
    </row>
    <row r="11" spans="2:13" ht="57.95">
      <c r="B11" s="30">
        <v>7</v>
      </c>
      <c r="C11" s="15" t="s">
        <v>2882</v>
      </c>
      <c r="D11" s="21" t="s">
        <v>2883</v>
      </c>
      <c r="E11" s="23">
        <v>30</v>
      </c>
      <c r="F11" s="23">
        <v>1</v>
      </c>
      <c r="G11" s="17">
        <f>E11*F11</f>
        <v>30</v>
      </c>
      <c r="H11" s="17">
        <f>G11/60</f>
        <v>0.5</v>
      </c>
      <c r="I11" s="21" t="s">
        <v>2884</v>
      </c>
      <c r="J11" s="21" t="s">
        <v>2885</v>
      </c>
      <c r="K11" s="17">
        <v>10</v>
      </c>
      <c r="L11" s="32">
        <f>K11/60</f>
        <v>0.16666666666666666</v>
      </c>
      <c r="M11" s="33">
        <f>(H11-L11)/H11</f>
        <v>0.66666666666666674</v>
      </c>
    </row>
    <row r="12" spans="2:13" ht="43.5">
      <c r="B12" s="30">
        <v>8</v>
      </c>
      <c r="C12" s="15" t="s">
        <v>2886</v>
      </c>
      <c r="D12" s="16" t="s">
        <v>2887</v>
      </c>
      <c r="E12" s="22">
        <v>10</v>
      </c>
      <c r="F12" s="22">
        <v>1</v>
      </c>
      <c r="G12" s="17">
        <v>20</v>
      </c>
      <c r="H12" s="24">
        <f>G12/60</f>
        <v>0.33333333333333331</v>
      </c>
      <c r="I12" s="25" t="s">
        <v>2888</v>
      </c>
      <c r="J12" s="21" t="s">
        <v>2889</v>
      </c>
      <c r="K12" s="17">
        <v>5</v>
      </c>
      <c r="L12" s="32">
        <f>K12/60</f>
        <v>8.3333333333333329E-2</v>
      </c>
      <c r="M12" s="33">
        <f>(H12-L12)/H12</f>
        <v>0.75</v>
      </c>
    </row>
    <row r="13" spans="2:13" ht="72.599999999999994">
      <c r="B13" s="30">
        <v>9</v>
      </c>
      <c r="C13" s="15" t="s">
        <v>2890</v>
      </c>
      <c r="D13" s="21" t="s">
        <v>2891</v>
      </c>
      <c r="E13" s="23">
        <v>60</v>
      </c>
      <c r="F13" s="23">
        <v>1</v>
      </c>
      <c r="G13" s="17">
        <v>120</v>
      </c>
      <c r="H13" s="24">
        <f>G13/60</f>
        <v>2</v>
      </c>
      <c r="I13" s="21" t="s">
        <v>2892</v>
      </c>
      <c r="J13" s="21" t="s">
        <v>2893</v>
      </c>
      <c r="K13" s="17">
        <v>30</v>
      </c>
      <c r="L13" s="32">
        <f>K13/60</f>
        <v>0.5</v>
      </c>
      <c r="M13" s="33">
        <f>(H13-L13)/H13</f>
        <v>0.75</v>
      </c>
    </row>
    <row r="14" spans="2:13" ht="15" thickBot="1">
      <c r="B14" s="302"/>
      <c r="C14" s="303"/>
      <c r="D14" s="304"/>
      <c r="E14" s="310" t="s">
        <v>2894</v>
      </c>
      <c r="F14" s="310"/>
      <c r="G14" s="26">
        <f>SUM(G5:G13)</f>
        <v>395</v>
      </c>
      <c r="H14" s="26">
        <f>ROUNDUP(G14/60,0)</f>
        <v>7</v>
      </c>
      <c r="I14" s="27" t="s">
        <v>2895</v>
      </c>
      <c r="J14" s="27"/>
      <c r="K14" s="28">
        <f>SUM(K5:K13)</f>
        <v>70</v>
      </c>
      <c r="L14" s="26">
        <f>ROUNDUP(K14/60,0)</f>
        <v>2</v>
      </c>
      <c r="M14" s="29">
        <f>(H14-L14)/H14</f>
        <v>0.7142857142857143</v>
      </c>
    </row>
    <row r="17" spans="2:2">
      <c r="B17" s="65" t="s">
        <v>532</v>
      </c>
    </row>
    <row r="18" spans="2:2">
      <c r="B18" s="65" t="s">
        <v>29</v>
      </c>
    </row>
    <row r="19" spans="2:2">
      <c r="B19" s="65" t="s">
        <v>533</v>
      </c>
    </row>
    <row r="20" spans="2:2">
      <c r="B20" s="65" t="s">
        <v>37</v>
      </c>
    </row>
    <row r="21" spans="2:2">
      <c r="B21" s="65" t="s">
        <v>534</v>
      </c>
    </row>
    <row r="22" spans="2:2">
      <c r="B22" s="65" t="s">
        <v>41</v>
      </c>
    </row>
    <row r="23" spans="2:2">
      <c r="B23" s="66" t="s">
        <v>61</v>
      </c>
    </row>
    <row r="24" spans="2:2">
      <c r="B24" s="65" t="s">
        <v>63</v>
      </c>
    </row>
    <row r="25" spans="2:2">
      <c r="B25" s="66" t="s">
        <v>43</v>
      </c>
    </row>
    <row r="26" spans="2:2">
      <c r="B26" s="65" t="s">
        <v>44</v>
      </c>
    </row>
    <row r="27" spans="2:2">
      <c r="B27" s="66" t="s">
        <v>46</v>
      </c>
    </row>
    <row r="28" spans="2:2">
      <c r="B28" s="65" t="s">
        <v>47</v>
      </c>
    </row>
    <row r="29" spans="2:2">
      <c r="B29" s="65" t="s">
        <v>49</v>
      </c>
    </row>
    <row r="30" spans="2:2">
      <c r="B30" s="65" t="s">
        <v>535</v>
      </c>
    </row>
    <row r="31" spans="2:2">
      <c r="B31" s="65" t="s">
        <v>2896</v>
      </c>
    </row>
    <row r="32" spans="2:2">
      <c r="B32" s="65" t="s">
        <v>544</v>
      </c>
    </row>
    <row r="33" spans="2:2">
      <c r="B33" s="108" t="s">
        <v>53</v>
      </c>
    </row>
    <row r="34" spans="2:2">
      <c r="B34" s="108" t="s">
        <v>55</v>
      </c>
    </row>
    <row r="35" spans="2:2">
      <c r="B35" s="67" t="s">
        <v>536</v>
      </c>
    </row>
    <row r="36" spans="2:2">
      <c r="B36" s="67" t="s">
        <v>537</v>
      </c>
    </row>
    <row r="37" spans="2:2">
      <c r="B37" s="65" t="s">
        <v>538</v>
      </c>
    </row>
    <row r="38" spans="2:2">
      <c r="B38" t="s">
        <v>2897</v>
      </c>
    </row>
    <row r="39" spans="2:2">
      <c r="B39" t="s">
        <v>2898</v>
      </c>
    </row>
    <row r="40" spans="2:2">
      <c r="B40" t="s">
        <v>2899</v>
      </c>
    </row>
    <row r="41" spans="2:2">
      <c r="B41" t="s">
        <v>2900</v>
      </c>
    </row>
    <row r="42" spans="2:2">
      <c r="B42" s="65" t="s">
        <v>543</v>
      </c>
    </row>
  </sheetData>
  <mergeCells count="27">
    <mergeCell ref="M5:M6"/>
    <mergeCell ref="M7:M8"/>
    <mergeCell ref="M9:M10"/>
    <mergeCell ref="B2:M2"/>
    <mergeCell ref="B3:B4"/>
    <mergeCell ref="C3:C4"/>
    <mergeCell ref="I3:L3"/>
    <mergeCell ref="M3:M4"/>
    <mergeCell ref="H7:H8"/>
    <mergeCell ref="K5:K6"/>
    <mergeCell ref="K7:K8"/>
    <mergeCell ref="K9:K10"/>
    <mergeCell ref="J5:J6"/>
    <mergeCell ref="J9:J10"/>
    <mergeCell ref="E5:E6"/>
    <mergeCell ref="F5:F6"/>
    <mergeCell ref="B14:D14"/>
    <mergeCell ref="L5:L6"/>
    <mergeCell ref="L7:L8"/>
    <mergeCell ref="L9:L10"/>
    <mergeCell ref="D3:H3"/>
    <mergeCell ref="E14:F14"/>
    <mergeCell ref="E7:E8"/>
    <mergeCell ref="F7:F8"/>
    <mergeCell ref="G5:G6"/>
    <mergeCell ref="G7:G8"/>
    <mergeCell ref="H5:H6"/>
  </mergeCells>
  <conditionalFormatting sqref="B27">
    <cfRule type="containsText" dxfId="3" priority="1" operator="containsText" text="Grab">
      <formula>NOT(ISERROR(SEARCH("Grab",B27)))</formula>
    </cfRule>
    <cfRule type="containsText" dxfId="2" priority="2" operator="containsText" text="Zalo">
      <formula>NOT(ISERROR(SEARCH("Zalo",B27)))</formula>
    </cfRule>
    <cfRule type="containsText" dxfId="1" priority="3" operator="containsText" text="MoMo">
      <formula>NOT(ISERROR(SEARCH("MoMo",B27)))</formula>
    </cfRule>
  </conditionalFormatting>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7CA2F-8B2E-433E-BD0F-D399D90B3C51}">
  <sheetPr codeName="Sheet8"/>
  <dimension ref="A1:N61"/>
  <sheetViews>
    <sheetView topLeftCell="A43" zoomScale="85" zoomScaleNormal="85" workbookViewId="0">
      <selection activeCell="A16" sqref="A16:XFD61"/>
    </sheetView>
  </sheetViews>
  <sheetFormatPr defaultColWidth="8.7109375" defaultRowHeight="14.45"/>
  <cols>
    <col min="1" max="1" width="8.140625" style="42" customWidth="1"/>
    <col min="2" max="2" width="26.42578125" style="42" bestFit="1" customWidth="1"/>
    <col min="3" max="3" width="4.5703125" style="42" customWidth="1"/>
    <col min="4" max="4" width="5" style="42" bestFit="1" customWidth="1"/>
    <col min="5" max="5" width="27.140625" style="42" bestFit="1" customWidth="1"/>
    <col min="6" max="6" width="4.5703125" style="42" customWidth="1"/>
    <col min="7" max="7" width="5" style="42" bestFit="1" customWidth="1"/>
    <col min="8" max="8" width="21.28515625" style="42" bestFit="1" customWidth="1"/>
    <col min="9" max="9" width="4.5703125" style="42" customWidth="1"/>
    <col min="10" max="10" width="5" style="42" bestFit="1" customWidth="1"/>
    <col min="11" max="11" width="30.42578125" style="42" customWidth="1"/>
    <col min="12" max="12" width="4.5703125" style="42" customWidth="1"/>
    <col min="13" max="13" width="5" style="42" bestFit="1" customWidth="1"/>
    <col min="14" max="14" width="24" style="42" customWidth="1"/>
    <col min="15" max="16384" width="8.7109375" style="42"/>
  </cols>
  <sheetData>
    <row r="1" spans="1:8">
      <c r="A1" s="63" t="s">
        <v>408</v>
      </c>
      <c r="B1" s="64"/>
    </row>
    <row r="2" spans="1:8">
      <c r="A2" s="59"/>
    </row>
    <row r="3" spans="1:8">
      <c r="A3" s="42" t="s">
        <v>418</v>
      </c>
      <c r="B3" s="42" t="s">
        <v>37</v>
      </c>
    </row>
    <row r="4" spans="1:8">
      <c r="A4" s="42">
        <v>1</v>
      </c>
      <c r="B4" s="42" t="str">
        <f>Coding!B4</f>
        <v>GenK</v>
      </c>
    </row>
    <row r="5" spans="1:8">
      <c r="A5" s="42">
        <v>2</v>
      </c>
      <c r="B5" s="42" t="str">
        <f>Coding!B5</f>
        <v>Báo tin tức</v>
      </c>
    </row>
    <row r="6" spans="1:8">
      <c r="A6" s="42">
        <v>3</v>
      </c>
      <c r="B6" s="42" t="str">
        <f>Coding!B6</f>
        <v>VNEconomy</v>
      </c>
    </row>
    <row r="7" spans="1:8">
      <c r="A7" s="42">
        <v>4</v>
      </c>
      <c r="B7" s="42" t="str">
        <f>Coding!B7</f>
        <v>Dân Trí</v>
      </c>
    </row>
    <row r="8" spans="1:8">
      <c r="A8" s="42">
        <v>5</v>
      </c>
      <c r="B8" s="42" t="str">
        <f>Coding!B8</f>
        <v>VNExpress</v>
      </c>
    </row>
    <row r="9" spans="1:8">
      <c r="A9" s="42">
        <v>6</v>
      </c>
      <c r="B9" s="42" t="str">
        <f>Coding!B9</f>
        <v>Thư viện pháp luật</v>
      </c>
    </row>
    <row r="10" spans="1:8">
      <c r="A10" s="42">
        <v>7</v>
      </c>
      <c r="B10" s="42" t="str">
        <f>Coding!B10</f>
        <v>Luật Việt Nam</v>
      </c>
    </row>
    <row r="11" spans="1:8">
      <c r="A11" s="42">
        <v>8</v>
      </c>
      <c r="B11" s="42" t="str">
        <f>Coding!B11</f>
        <v>ZaloPay website</v>
      </c>
    </row>
    <row r="12" spans="1:8">
      <c r="A12" s="42">
        <v>9</v>
      </c>
      <c r="B12" s="42" t="str">
        <f>Coding!B12</f>
        <v>ZaloPay fanpage</v>
      </c>
    </row>
    <row r="13" spans="1:8">
      <c r="A13" s="42">
        <v>10</v>
      </c>
      <c r="B13" s="42" t="str">
        <f>Coding!B13</f>
        <v>MoMo wesbite</v>
      </c>
    </row>
    <row r="14" spans="1:8">
      <c r="A14" s="42">
        <v>11</v>
      </c>
      <c r="B14" s="42" t="str">
        <f>Coding!B14</f>
        <v>MoMo fanpage</v>
      </c>
    </row>
    <row r="16" spans="1:8">
      <c r="A16" s="63" t="s">
        <v>2901</v>
      </c>
      <c r="B16" s="64"/>
      <c r="C16" s="64"/>
      <c r="D16" s="64"/>
      <c r="E16" s="64"/>
      <c r="F16" s="64"/>
      <c r="G16" s="64"/>
      <c r="H16" s="64"/>
    </row>
    <row r="18" spans="1:8" s="62" customFormat="1">
      <c r="A18" s="62" t="s">
        <v>418</v>
      </c>
      <c r="B18" s="62" t="s">
        <v>44</v>
      </c>
      <c r="D18" s="85" t="s">
        <v>418</v>
      </c>
      <c r="E18" s="85" t="s">
        <v>284</v>
      </c>
      <c r="G18" s="86" t="s">
        <v>418</v>
      </c>
      <c r="H18" s="86" t="s">
        <v>170</v>
      </c>
    </row>
    <row r="19" spans="1:8" s="52" customFormat="1" ht="21.95" customHeight="1">
      <c r="A19" s="83">
        <v>1</v>
      </c>
      <c r="B19" s="84" t="s">
        <v>284</v>
      </c>
      <c r="D19" s="61">
        <v>1</v>
      </c>
      <c r="E19" s="160" t="str" cm="1">
        <f t="array" ref="E19:E22">_xlfn._xlws.FILTER(topic_group_code[sub_topic_group],topic_group_code[topic_group]=Drop_down_coding!E18)</f>
        <v>Quốc tế</v>
      </c>
      <c r="G19" s="61">
        <v>1</v>
      </c>
      <c r="H19" s="160" t="str" cm="1">
        <f t="array" ref="H19:H27">_xlfn._xlws.FILTER(topic_group_code[sub_topic_group],topic_group_code[topic_group]=Drop_down_coding!H18)</f>
        <v>MoMo</v>
      </c>
    </row>
    <row r="20" spans="1:8" s="52" customFormat="1" ht="21.95" customHeight="1">
      <c r="A20" s="81">
        <v>2</v>
      </c>
      <c r="B20" s="82" t="s">
        <v>170</v>
      </c>
      <c r="D20" s="61">
        <v>2</v>
      </c>
      <c r="E20" s="160" t="str">
        <v>Trung quốc</v>
      </c>
      <c r="G20" s="61">
        <v>2</v>
      </c>
      <c r="H20" s="160" t="str">
        <v>Zalo</v>
      </c>
    </row>
    <row r="21" spans="1:8" s="52" customFormat="1" ht="21.95" customHeight="1">
      <c r="D21" s="61">
        <v>3</v>
      </c>
      <c r="E21" s="160" t="str">
        <v>SEA</v>
      </c>
      <c r="G21" s="61">
        <v>3</v>
      </c>
      <c r="H21" s="160" t="str">
        <v>Zalopay</v>
      </c>
    </row>
    <row r="22" spans="1:8" s="52" customFormat="1" ht="21.95" customHeight="1">
      <c r="D22" s="61">
        <v>4</v>
      </c>
      <c r="E22" s="160" t="str">
        <v>Trong nước</v>
      </c>
      <c r="G22" s="61">
        <v>4</v>
      </c>
      <c r="H22" s="160" t="str">
        <v>Traveloka</v>
      </c>
    </row>
    <row r="23" spans="1:8" s="52" customFormat="1" ht="21.95" customHeight="1">
      <c r="D23" s="61">
        <v>5</v>
      </c>
      <c r="E23" s="160"/>
      <c r="G23" s="61">
        <v>5</v>
      </c>
      <c r="H23" s="160" t="str">
        <v>WhatsApp</v>
      </c>
    </row>
    <row r="24" spans="1:8" s="52" customFormat="1" ht="21.95" customHeight="1">
      <c r="D24" s="61">
        <v>6</v>
      </c>
      <c r="E24" s="160"/>
      <c r="G24" s="61">
        <v>6</v>
      </c>
      <c r="H24" s="160" t="str">
        <v>Telegram</v>
      </c>
    </row>
    <row r="25" spans="1:8" s="52" customFormat="1" ht="21.95" customHeight="1">
      <c r="D25" s="61">
        <v>7</v>
      </c>
      <c r="E25" s="160"/>
      <c r="G25" s="61">
        <v>7</v>
      </c>
      <c r="H25" s="160" t="str">
        <v>Shopee</v>
      </c>
    </row>
    <row r="26" spans="1:8" s="52" customFormat="1" ht="21.95" customHeight="1">
      <c r="D26" s="61">
        <v>8</v>
      </c>
      <c r="E26" s="160"/>
      <c r="G26" s="61">
        <v>8</v>
      </c>
      <c r="H26" s="160" t="str">
        <v>TiktokShop</v>
      </c>
    </row>
    <row r="27" spans="1:8" s="52" customFormat="1" ht="21.95" customHeight="1">
      <c r="D27" s="61">
        <v>9</v>
      </c>
      <c r="E27" s="160"/>
      <c r="G27" s="61">
        <v>9</v>
      </c>
      <c r="H27" s="160" t="str">
        <v>Grab</v>
      </c>
    </row>
    <row r="28" spans="1:8" s="52" customFormat="1" ht="21.95" customHeight="1">
      <c r="D28" s="61">
        <v>10</v>
      </c>
      <c r="E28" s="160"/>
      <c r="G28" s="61">
        <v>10</v>
      </c>
      <c r="H28" s="160"/>
    </row>
    <row r="30" spans="1:8">
      <c r="A30" s="63" t="s">
        <v>2902</v>
      </c>
      <c r="B30" s="64"/>
      <c r="C30" s="64"/>
      <c r="D30" s="64"/>
      <c r="E30" s="64"/>
    </row>
    <row r="32" spans="1:8" s="62" customFormat="1">
      <c r="A32" s="85" t="s">
        <v>418</v>
      </c>
      <c r="B32" s="85" t="s">
        <v>284</v>
      </c>
      <c r="D32" s="86" t="s">
        <v>418</v>
      </c>
      <c r="E32" s="86" t="s">
        <v>170</v>
      </c>
    </row>
    <row r="33" spans="1:14" s="52" customFormat="1" ht="21.6" customHeight="1">
      <c r="A33" s="162">
        <v>1</v>
      </c>
      <c r="B33" s="161" t="str" cm="1">
        <f t="array" ref="B33:B37">_xlfn._xlws.FILTER(category_group_code[category_group],category_group_code[topic_group]=Drop_down_coding!B32)</f>
        <v>Political</v>
      </c>
      <c r="D33" s="162">
        <v>1</v>
      </c>
      <c r="E33" s="161" t="str" cm="1">
        <f t="array" ref="E33:E38">_xlfn._xlws.FILTER(category_group_code[category_group],category_group_code[topic_group]=Drop_down_coding!E32)</f>
        <v>Product</v>
      </c>
      <c r="H33" s="163"/>
      <c r="I33" s="163"/>
    </row>
    <row r="34" spans="1:14" s="52" customFormat="1" ht="21.6" customHeight="1">
      <c r="A34" s="162">
        <v>2</v>
      </c>
      <c r="B34" s="161" t="str">
        <v>Economic</v>
      </c>
      <c r="D34" s="162">
        <v>2</v>
      </c>
      <c r="E34" s="161" t="str">
        <v>Feature</v>
      </c>
      <c r="H34" s="163"/>
      <c r="I34" s="163"/>
      <c r="K34" s="43"/>
    </row>
    <row r="35" spans="1:14" s="52" customFormat="1" ht="21.6" customHeight="1">
      <c r="A35" s="162">
        <v>3</v>
      </c>
      <c r="B35" s="161" t="str">
        <v>Social</v>
      </c>
      <c r="D35" s="162">
        <v>3</v>
      </c>
      <c r="E35" s="161" t="str">
        <v>Marketing</v>
      </c>
      <c r="H35" s="163"/>
      <c r="I35" s="163"/>
    </row>
    <row r="36" spans="1:14" s="52" customFormat="1" ht="21.6" customHeight="1">
      <c r="A36" s="162">
        <v>4</v>
      </c>
      <c r="B36" s="161" t="str">
        <v>Technology</v>
      </c>
      <c r="D36" s="162">
        <v>4</v>
      </c>
      <c r="E36" s="161" t="str">
        <v>Partnership</v>
      </c>
      <c r="H36" s="163"/>
      <c r="I36" s="163"/>
    </row>
    <row r="37" spans="1:14" s="52" customFormat="1" ht="21.6" customHeight="1">
      <c r="A37" s="162">
        <v>5</v>
      </c>
      <c r="B37" s="161" t="str">
        <v>Legal</v>
      </c>
      <c r="D37" s="162">
        <v>5</v>
      </c>
      <c r="E37" s="161" t="str">
        <v>CSR/ Community</v>
      </c>
      <c r="H37" s="163"/>
      <c r="I37" s="163"/>
    </row>
    <row r="38" spans="1:14" s="52" customFormat="1" ht="21.6" customHeight="1">
      <c r="D38" s="162">
        <v>6</v>
      </c>
      <c r="E38" s="161" t="str">
        <v>Strategy</v>
      </c>
      <c r="H38" s="163"/>
      <c r="I38" s="163"/>
    </row>
    <row r="41" spans="1:14">
      <c r="A41" s="63" t="s">
        <v>2903</v>
      </c>
      <c r="B41" s="64"/>
      <c r="C41" s="64"/>
      <c r="D41" s="64"/>
      <c r="E41" s="64"/>
      <c r="F41" s="64"/>
      <c r="G41" s="64"/>
      <c r="H41" s="64"/>
      <c r="I41" s="64"/>
      <c r="J41" s="64"/>
      <c r="K41" s="64"/>
      <c r="L41" s="64"/>
      <c r="M41" s="64"/>
      <c r="N41" s="64"/>
    </row>
    <row r="43" spans="1:14" s="62" customFormat="1">
      <c r="A43" s="73" t="s">
        <v>418</v>
      </c>
      <c r="B43" s="73" t="str">
        <f>B33</f>
        <v>Political</v>
      </c>
      <c r="D43" s="74" t="s">
        <v>418</v>
      </c>
      <c r="E43" s="74" t="str">
        <f>B34</f>
        <v>Economic</v>
      </c>
      <c r="G43" s="75" t="s">
        <v>418</v>
      </c>
      <c r="H43" s="75" t="str">
        <f>B35</f>
        <v>Social</v>
      </c>
      <c r="J43" s="71" t="s">
        <v>418</v>
      </c>
      <c r="K43" s="71" t="str">
        <f>B36</f>
        <v>Technology</v>
      </c>
      <c r="M43" s="72" t="s">
        <v>418</v>
      </c>
      <c r="N43" s="72" t="str">
        <f>B37</f>
        <v>Legal</v>
      </c>
    </row>
    <row r="44" spans="1:14">
      <c r="A44" s="61">
        <v>1</v>
      </c>
      <c r="B44" s="60" t="str" cm="1">
        <f t="array" ref="B44:B48">_xlfn._xlws.FILTER(sub_category_code[sub_category_group],sub_category_code[category_group] = Drop_down_coding!B43)</f>
        <v>New poilicy</v>
      </c>
      <c r="D44" s="61">
        <v>1</v>
      </c>
      <c r="E44" s="60" t="str" cm="1">
        <f t="array" ref="E44:E48">_xlfn._xlws.FILTER(sub_category_code[sub_category_group],sub_category_code[category_group] = Drop_down_coding!E43)</f>
        <v>Funding/ investment</v>
      </c>
      <c r="G44" s="61">
        <v>1</v>
      </c>
      <c r="H44" s="60" t="str" cm="1">
        <f t="array" ref="H44:H48">_xlfn._xlws.FILTER(sub_category_code[sub_category_group],sub_category_code[category_group] = Drop_down_coding!H43)</f>
        <v>Consumer behavior</v>
      </c>
      <c r="J44" s="61">
        <v>1</v>
      </c>
      <c r="K44" s="60" t="str" cm="1">
        <f t="array" ref="K44:K49">_xlfn._xlws.FILTER(sub_category_code[sub_category_group],sub_category_code[category_group] = Drop_down_coding!K43)</f>
        <v>AI/ Gen AI</v>
      </c>
      <c r="M44" s="61">
        <v>1</v>
      </c>
      <c r="N44" s="60" t="str" cm="1">
        <f t="array" ref="N44:N50">_xlfn._xlws.FILTER(sub_category_code[sub_category_group],sub_category_code[category_group] = Drop_down_coding!N43)</f>
        <v>Fintech/ Wallet</v>
      </c>
    </row>
    <row r="45" spans="1:14">
      <c r="A45" s="61">
        <v>2</v>
      </c>
      <c r="B45" s="60" t="str">
        <v>Technology policy</v>
      </c>
      <c r="D45" s="61">
        <v>2</v>
      </c>
      <c r="E45" s="60" t="str">
        <v>M&amp;A activity</v>
      </c>
      <c r="G45" s="61">
        <v>2</v>
      </c>
      <c r="H45" s="60" t="str">
        <v>Digital adoption</v>
      </c>
      <c r="J45" s="61">
        <v>2</v>
      </c>
      <c r="K45" s="60" t="str">
        <v>Blockchain/ Web3</v>
      </c>
      <c r="M45" s="61">
        <v>2</v>
      </c>
      <c r="N45" s="60" t="str">
        <v>AI</v>
      </c>
    </row>
    <row r="46" spans="1:14">
      <c r="A46" s="61">
        <v>3</v>
      </c>
      <c r="B46" s="60" t="str">
        <v>Geopolitical tension</v>
      </c>
      <c r="D46" s="61">
        <v>3</v>
      </c>
      <c r="E46" s="60" t="str">
        <v>Market growth/market size</v>
      </c>
      <c r="G46" s="61">
        <v>3</v>
      </c>
      <c r="H46" s="60" t="str">
        <v>Payment behavior</v>
      </c>
      <c r="J46" s="61">
        <v>3</v>
      </c>
      <c r="K46" s="60" t="str">
        <v>Open banking/ API</v>
      </c>
      <c r="M46" s="61">
        <v>3</v>
      </c>
      <c r="N46" s="60" t="str">
        <v>Payment</v>
      </c>
    </row>
    <row r="47" spans="1:14">
      <c r="A47" s="61">
        <v>4</v>
      </c>
      <c r="B47" s="60" t="str">
        <v>National digital strategy</v>
      </c>
      <c r="D47" s="61">
        <v>4</v>
      </c>
      <c r="E47" s="60" t="str">
        <v>Business model change</v>
      </c>
      <c r="G47" s="61">
        <v>4</v>
      </c>
      <c r="H47" s="60" t="str">
        <v>Ads strategy</v>
      </c>
      <c r="J47" s="61">
        <v>4</v>
      </c>
      <c r="K47" s="60" t="str">
        <v>Cloud/ Infrastructure</v>
      </c>
      <c r="M47" s="61">
        <v>4</v>
      </c>
      <c r="N47" s="60" t="str">
        <v>Digital money</v>
      </c>
    </row>
    <row r="48" spans="1:14">
      <c r="A48" s="61">
        <v>5</v>
      </c>
      <c r="B48" s="60" t="str">
        <v>Others</v>
      </c>
      <c r="D48" s="61">
        <v>5</v>
      </c>
      <c r="E48" s="60" t="str">
        <v>Government initiative</v>
      </c>
      <c r="G48" s="61">
        <v>5</v>
      </c>
      <c r="H48" s="60" t="str">
        <v>Digital workforce</v>
      </c>
      <c r="J48" s="61">
        <v>5</v>
      </c>
      <c r="K48" s="60" t="str">
        <v>Cybersecurity</v>
      </c>
      <c r="M48" s="61">
        <v>5</v>
      </c>
      <c r="N48" s="60" t="str">
        <v>Data privacy</v>
      </c>
    </row>
    <row r="49" spans="1:14">
      <c r="A49" s="61">
        <v>6</v>
      </c>
      <c r="B49" s="60"/>
      <c r="D49" s="61">
        <v>6</v>
      </c>
      <c r="E49" s="60"/>
      <c r="G49" s="61">
        <v>6</v>
      </c>
      <c r="H49" s="60"/>
      <c r="J49" s="61">
        <v>6</v>
      </c>
      <c r="K49" s="60" t="str">
        <v>Platform policy</v>
      </c>
      <c r="M49" s="61">
        <v>6</v>
      </c>
      <c r="N49" s="60" t="str">
        <v>eCommerce regulation</v>
      </c>
    </row>
    <row r="50" spans="1:14">
      <c r="A50" s="61">
        <v>7</v>
      </c>
      <c r="B50" s="60"/>
      <c r="D50" s="61">
        <v>7</v>
      </c>
      <c r="E50" s="60"/>
      <c r="G50" s="61">
        <v>7</v>
      </c>
      <c r="H50" s="60"/>
      <c r="J50" s="61">
        <v>7</v>
      </c>
      <c r="K50" s="60"/>
      <c r="M50" s="61">
        <v>7</v>
      </c>
      <c r="N50" s="60" t="str">
        <v>Social media regulation</v>
      </c>
    </row>
    <row r="51" spans="1:14">
      <c r="A51" s="61">
        <v>8</v>
      </c>
      <c r="B51" s="60"/>
      <c r="D51" s="61">
        <v>8</v>
      </c>
      <c r="E51" s="60"/>
      <c r="G51" s="61">
        <v>8</v>
      </c>
      <c r="H51" s="60"/>
      <c r="J51" s="61">
        <v>8</v>
      </c>
      <c r="K51" s="60"/>
      <c r="M51" s="61">
        <v>8</v>
      </c>
      <c r="N51" s="60"/>
    </row>
    <row r="53" spans="1:14" s="62" customFormat="1">
      <c r="A53" s="78" t="s">
        <v>418</v>
      </c>
      <c r="B53" s="78" t="str">
        <f>E33</f>
        <v>Product</v>
      </c>
      <c r="D53" s="79" t="s">
        <v>418</v>
      </c>
      <c r="E53" s="79" t="str">
        <f>E34</f>
        <v>Feature</v>
      </c>
      <c r="G53" s="80" t="s">
        <v>418</v>
      </c>
      <c r="H53" s="80" t="str">
        <f>E35</f>
        <v>Marketing</v>
      </c>
      <c r="J53" s="76" t="s">
        <v>418</v>
      </c>
      <c r="K53" s="76" t="str">
        <f>E36</f>
        <v>Partnership</v>
      </c>
      <c r="M53" s="77" t="s">
        <v>418</v>
      </c>
      <c r="N53" s="77" t="str">
        <f>E38</f>
        <v>Strategy</v>
      </c>
    </row>
    <row r="54" spans="1:14">
      <c r="A54" s="61">
        <v>1</v>
      </c>
      <c r="B54" s="60" t="str" cm="1">
        <f t="array" ref="B54:B58">_xlfn._xlws.FILTER(sub_category_code[sub_category_group],sub_category_code[category_group] = Drop_down_coding!B53)</f>
        <v>Product launch</v>
      </c>
      <c r="D54" s="61">
        <v>1</v>
      </c>
      <c r="E54" s="60" t="str" cm="1">
        <f t="array" ref="E54:E58">_xlfn._xlws.FILTER(sub_category_code[sub_category_group],sub_category_code[category_group] = Drop_down_coding!E53)</f>
        <v>Feature upgrade</v>
      </c>
      <c r="G54" s="61">
        <v>1</v>
      </c>
      <c r="H54" s="60" t="str" cm="1">
        <f t="array" ref="H54:H60">_xlfn._xlws.FILTER(sub_category_code[sub_category_group],sub_category_code[category_group] = Drop_down_coding!H53)</f>
        <v>User acquisition</v>
      </c>
      <c r="J54" s="61">
        <v>1</v>
      </c>
      <c r="K54" s="60" t="str" cm="1">
        <f t="array" ref="K54:K61">_xlfn._xlws.FILTER(sub_category_code[sub_category_group],sub_category_code[category_group] = Drop_down_coding!K53)</f>
        <v>Banking / Financial institution</v>
      </c>
      <c r="M54" s="61">
        <v>1</v>
      </c>
      <c r="N54" s="60" t="str" cm="1">
        <f t="array" ref="N54:N58">_xlfn._xlws.FILTER(sub_category_code[sub_category_group],sub_category_code[category_group] = Drop_down_coding!N53)</f>
        <v>Market expansion</v>
      </c>
    </row>
    <row r="55" spans="1:14">
      <c r="A55" s="61">
        <v>2</v>
      </c>
      <c r="B55" s="60" t="str">
        <v>Product update</v>
      </c>
      <c r="D55" s="61">
        <v>2</v>
      </c>
      <c r="E55" s="60" t="str">
        <v>New feature</v>
      </c>
      <c r="G55" s="61">
        <v>2</v>
      </c>
      <c r="H55" s="100" t="str">
        <v>User activation</v>
      </c>
      <c r="J55" s="61">
        <v>2</v>
      </c>
      <c r="K55" s="60" t="str">
        <v>Merchant/ Retailer</v>
      </c>
      <c r="M55" s="61">
        <v>2</v>
      </c>
      <c r="N55" s="60" t="str">
        <v>Ecosystem expansion</v>
      </c>
    </row>
    <row r="56" spans="1:14">
      <c r="A56" s="61">
        <v>3</v>
      </c>
      <c r="B56" s="60" t="str">
        <v>Pricing change</v>
      </c>
      <c r="D56" s="61">
        <v>3</v>
      </c>
      <c r="E56" s="60" t="str">
        <v>Payment capability upgrade</v>
      </c>
      <c r="G56" s="61">
        <v>3</v>
      </c>
      <c r="H56" s="100" t="str">
        <v>User engagement</v>
      </c>
      <c r="J56" s="61">
        <v>3</v>
      </c>
      <c r="K56" s="60" t="str">
        <v>Ecommerce platform</v>
      </c>
      <c r="M56" s="61">
        <v>3</v>
      </c>
      <c r="N56" s="60" t="str">
        <v>Corporate investment</v>
      </c>
    </row>
    <row r="57" spans="1:14">
      <c r="A57" s="61">
        <v>4</v>
      </c>
      <c r="B57" s="60" t="str">
        <v>T&amp;C change</v>
      </c>
      <c r="D57" s="61">
        <v>4</v>
      </c>
      <c r="E57" s="60" t="str">
        <v>UX / UI improvement</v>
      </c>
      <c r="G57" s="61">
        <v>4</v>
      </c>
      <c r="H57" s="100" t="str">
        <v>Transaction growth</v>
      </c>
      <c r="J57" s="61">
        <v>4</v>
      </c>
      <c r="K57" s="60" t="str">
        <v>Telco/ Infrastructure</v>
      </c>
      <c r="M57" s="61">
        <v>4</v>
      </c>
      <c r="N57" s="60" t="str">
        <v>Startup acquisition</v>
      </c>
    </row>
    <row r="58" spans="1:14">
      <c r="A58" s="61">
        <v>5</v>
      </c>
      <c r="B58" s="60" t="str">
        <v>Off product</v>
      </c>
      <c r="D58" s="61">
        <v>5</v>
      </c>
      <c r="E58" s="60" t="str">
        <v>Security / Privacy</v>
      </c>
      <c r="G58" s="61">
        <v>5</v>
      </c>
      <c r="H58" s="100" t="str">
        <v>Ecosystem expansion</v>
      </c>
      <c r="J58" s="61">
        <v>5</v>
      </c>
      <c r="K58" s="60" t="str">
        <v>Ecomerce partnership</v>
      </c>
      <c r="M58" s="61">
        <v>5</v>
      </c>
      <c r="N58" s="60" t="str">
        <v>Platform / AI strategy</v>
      </c>
    </row>
    <row r="59" spans="1:14">
      <c r="A59" s="61">
        <v>6</v>
      </c>
      <c r="B59" s="60"/>
      <c r="D59" s="61">
        <v>6</v>
      </c>
      <c r="E59" s="60"/>
      <c r="G59" s="61">
        <v>6</v>
      </c>
      <c r="H59" s="100" t="str">
        <v>CSR/ Community</v>
      </c>
      <c r="J59" s="61">
        <v>6</v>
      </c>
      <c r="K59" s="60" t="str">
        <v>Technology provider</v>
      </c>
      <c r="M59" s="61">
        <v>6</v>
      </c>
      <c r="N59" s="60"/>
    </row>
    <row r="60" spans="1:14">
      <c r="A60" s="61">
        <v>7</v>
      </c>
      <c r="B60" s="60"/>
      <c r="D60" s="61">
        <v>7</v>
      </c>
      <c r="E60" s="60"/>
      <c r="G60" s="61">
        <v>7</v>
      </c>
      <c r="H60" s="100" t="str">
        <v>Branding</v>
      </c>
      <c r="J60" s="61">
        <v>7</v>
      </c>
      <c r="K60" s="60" t="str">
        <v>Transport/ Mobility</v>
      </c>
      <c r="M60" s="61">
        <v>7</v>
      </c>
      <c r="N60" s="60"/>
    </row>
    <row r="61" spans="1:14">
      <c r="A61" s="61">
        <v>8</v>
      </c>
      <c r="B61" s="60"/>
      <c r="D61" s="61">
        <v>8</v>
      </c>
      <c r="E61" s="60"/>
      <c r="G61" s="61">
        <v>8</v>
      </c>
      <c r="H61" s="60"/>
      <c r="J61" s="61">
        <v>8</v>
      </c>
      <c r="K61" s="60" t="str">
        <v>Utility</v>
      </c>
      <c r="M61" s="61">
        <v>8</v>
      </c>
      <c r="N61" s="60"/>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90434-92E6-42D0-B708-128274D7ACA9}">
  <sheetPr codeName="Sheet11"/>
  <dimension ref="B2:S33"/>
  <sheetViews>
    <sheetView zoomScale="25" zoomScaleNormal="25" workbookViewId="0">
      <selection activeCell="B2" sqref="B2"/>
    </sheetView>
  </sheetViews>
  <sheetFormatPr defaultColWidth="8.7109375" defaultRowHeight="28.5"/>
  <cols>
    <col min="1" max="1" width="8.7109375" style="111"/>
    <col min="2" max="2" width="19.7109375" style="111" bestFit="1" customWidth="1"/>
    <col min="3" max="3" width="14.140625" style="111" customWidth="1"/>
    <col min="4" max="4" width="93.42578125" style="112" customWidth="1"/>
    <col min="5" max="5" width="43.7109375" style="111" customWidth="1"/>
    <col min="6" max="6" width="16.28515625" style="111" customWidth="1"/>
    <col min="7" max="7" width="80.42578125" style="111" customWidth="1"/>
    <col min="8" max="8" width="54.140625" style="111" customWidth="1"/>
    <col min="9" max="9" width="16.85546875" style="111" customWidth="1"/>
    <col min="10" max="10" width="49.5703125" style="111" customWidth="1"/>
    <col min="11" max="11" width="79.5703125" style="111" customWidth="1"/>
    <col min="12" max="12" width="8.7109375" style="111"/>
    <col min="13" max="13" width="8.7109375" style="112"/>
    <col min="14" max="14" width="7.85546875" style="111" bestFit="1" customWidth="1"/>
    <col min="15" max="15" width="7.5703125" style="111" bestFit="1" customWidth="1"/>
    <col min="16" max="16" width="10.7109375" style="111" bestFit="1" customWidth="1"/>
    <col min="17" max="17" width="13.85546875" style="111" bestFit="1" customWidth="1"/>
    <col min="18" max="18" width="15.5703125" style="111" bestFit="1" customWidth="1"/>
    <col min="19" max="19" width="17.42578125" style="111" bestFit="1" customWidth="1"/>
    <col min="20" max="16384" width="8.7109375" style="111"/>
  </cols>
  <sheetData>
    <row r="2" spans="2:11" ht="36.950000000000003" thickBot="1">
      <c r="B2" s="113" t="s">
        <v>2904</v>
      </c>
      <c r="C2" s="114"/>
      <c r="D2" s="115">
        <v>46102</v>
      </c>
      <c r="E2" s="115">
        <v>46103</v>
      </c>
      <c r="F2" s="115">
        <v>46104</v>
      </c>
      <c r="G2" s="115">
        <v>46105</v>
      </c>
      <c r="H2" s="115">
        <v>46106</v>
      </c>
      <c r="I2" s="115">
        <v>46107</v>
      </c>
      <c r="J2" s="115">
        <v>46108</v>
      </c>
      <c r="K2" s="116" t="s">
        <v>2905</v>
      </c>
    </row>
    <row r="3" spans="2:11" ht="11.45" customHeight="1">
      <c r="B3" s="117"/>
      <c r="C3" s="117"/>
      <c r="D3" s="118"/>
      <c r="E3" s="118"/>
      <c r="F3" s="118"/>
      <c r="G3" s="118"/>
      <c r="H3" s="118"/>
      <c r="I3" s="118"/>
      <c r="J3" s="118"/>
      <c r="K3" s="119"/>
    </row>
    <row r="4" spans="2:11" ht="138" customHeight="1">
      <c r="B4" s="335" t="s">
        <v>2906</v>
      </c>
      <c r="C4" s="120"/>
      <c r="D4" s="127" t="s">
        <v>2907</v>
      </c>
      <c r="E4" s="128"/>
      <c r="F4" s="128"/>
      <c r="G4" s="129" t="s">
        <v>2908</v>
      </c>
      <c r="H4" s="128"/>
      <c r="I4" s="128"/>
      <c r="J4" s="128"/>
      <c r="K4" s="130" t="s">
        <v>2909</v>
      </c>
    </row>
    <row r="5" spans="2:11" ht="11.45" customHeight="1">
      <c r="B5" s="335"/>
      <c r="C5" s="120"/>
      <c r="D5" s="131"/>
      <c r="E5" s="128"/>
      <c r="F5" s="128"/>
      <c r="G5" s="132"/>
      <c r="H5" s="128"/>
      <c r="I5" s="128"/>
      <c r="J5" s="128"/>
      <c r="K5" s="133"/>
    </row>
    <row r="6" spans="2:11" ht="102.6" customHeight="1">
      <c r="B6" s="335"/>
      <c r="C6" s="120"/>
      <c r="D6" s="134" t="s">
        <v>2910</v>
      </c>
      <c r="E6" s="128"/>
      <c r="F6" s="128"/>
      <c r="G6" s="128"/>
      <c r="H6" s="128"/>
      <c r="I6" s="128"/>
      <c r="J6" s="128"/>
      <c r="K6" s="135" t="s">
        <v>2911</v>
      </c>
    </row>
    <row r="7" spans="2:11" ht="11.45" customHeight="1">
      <c r="B7" s="335"/>
      <c r="C7" s="120"/>
      <c r="D7" s="131"/>
      <c r="E7" s="128"/>
      <c r="F7" s="128"/>
      <c r="G7" s="128"/>
      <c r="H7" s="128"/>
      <c r="I7" s="128"/>
      <c r="J7" s="128"/>
      <c r="K7" s="136"/>
    </row>
    <row r="8" spans="2:11" ht="39" customHeight="1">
      <c r="B8" s="335"/>
      <c r="C8" s="120"/>
      <c r="D8" s="127" t="s">
        <v>2912</v>
      </c>
      <c r="E8" s="128"/>
      <c r="F8" s="128"/>
      <c r="G8" s="128"/>
      <c r="H8" s="128"/>
      <c r="I8" s="128"/>
      <c r="J8" s="128"/>
      <c r="K8" s="137"/>
    </row>
    <row r="9" spans="2:11" ht="11.45" customHeight="1">
      <c r="B9" s="335"/>
      <c r="C9" s="120"/>
      <c r="D9" s="131"/>
      <c r="E9" s="128"/>
      <c r="F9" s="128"/>
      <c r="G9" s="128"/>
      <c r="H9" s="128"/>
      <c r="I9" s="128"/>
      <c r="J9" s="128"/>
      <c r="K9" s="137"/>
    </row>
    <row r="10" spans="2:11" ht="132" customHeight="1">
      <c r="B10" s="335"/>
      <c r="C10" s="120"/>
      <c r="D10" s="339" t="s">
        <v>2913</v>
      </c>
      <c r="E10" s="336"/>
      <c r="F10" s="128"/>
      <c r="G10" s="128"/>
      <c r="H10" s="138" t="s">
        <v>2914</v>
      </c>
      <c r="I10" s="128"/>
      <c r="J10" s="128"/>
      <c r="K10" s="139" t="s">
        <v>2915</v>
      </c>
    </row>
    <row r="11" spans="2:11" ht="11.45" customHeight="1">
      <c r="B11" s="335"/>
      <c r="C11" s="120"/>
      <c r="D11" s="131"/>
      <c r="E11" s="132"/>
      <c r="F11" s="128"/>
      <c r="G11" s="128"/>
      <c r="H11" s="132"/>
      <c r="I11" s="128"/>
      <c r="J11" s="128"/>
      <c r="K11" s="133"/>
    </row>
    <row r="12" spans="2:11" ht="69" customHeight="1">
      <c r="B12" s="335"/>
      <c r="C12" s="120"/>
      <c r="D12" s="340" t="s">
        <v>2916</v>
      </c>
      <c r="E12" s="329"/>
      <c r="F12" s="329"/>
      <c r="G12" s="329"/>
      <c r="H12" s="329"/>
      <c r="I12" s="329"/>
      <c r="J12" s="329"/>
      <c r="K12" s="330"/>
    </row>
    <row r="13" spans="2:11" ht="11.45" customHeight="1">
      <c r="B13" s="335"/>
      <c r="C13" s="120"/>
      <c r="D13" s="131"/>
      <c r="E13" s="132"/>
      <c r="F13" s="132"/>
      <c r="G13" s="132"/>
      <c r="H13" s="132"/>
      <c r="I13" s="132"/>
      <c r="J13" s="132"/>
      <c r="K13" s="133"/>
    </row>
    <row r="14" spans="2:11" ht="69" customHeight="1">
      <c r="B14" s="335"/>
      <c r="C14" s="120"/>
      <c r="D14" s="341" t="s">
        <v>2917</v>
      </c>
      <c r="E14" s="336"/>
      <c r="F14" s="336"/>
      <c r="G14" s="336"/>
      <c r="H14" s="336"/>
      <c r="I14" s="336"/>
      <c r="J14" s="336"/>
      <c r="K14" s="342"/>
    </row>
    <row r="15" spans="2:11" ht="11.45" customHeight="1">
      <c r="B15" s="335"/>
      <c r="C15" s="120"/>
      <c r="D15" s="131"/>
      <c r="E15" s="132"/>
      <c r="F15" s="132"/>
      <c r="G15" s="132"/>
      <c r="H15" s="132"/>
      <c r="I15" s="132"/>
      <c r="J15" s="132"/>
      <c r="K15" s="133"/>
    </row>
    <row r="16" spans="2:11" ht="69" customHeight="1">
      <c r="B16" s="335"/>
      <c r="C16" s="120"/>
      <c r="D16" s="131"/>
      <c r="E16" s="128"/>
      <c r="F16" s="343" t="s">
        <v>2918</v>
      </c>
      <c r="G16" s="344"/>
      <c r="H16" s="344"/>
      <c r="I16" s="344"/>
      <c r="J16" s="344"/>
      <c r="K16" s="137"/>
    </row>
    <row r="17" spans="2:19" ht="11.45" customHeight="1">
      <c r="B17" s="335"/>
      <c r="C17" s="120"/>
      <c r="D17" s="131"/>
      <c r="E17" s="128"/>
      <c r="F17" s="128"/>
      <c r="G17" s="128"/>
      <c r="H17" s="128"/>
      <c r="I17" s="128"/>
      <c r="J17" s="128"/>
      <c r="K17" s="137"/>
    </row>
    <row r="18" spans="2:19" ht="108.95" customHeight="1">
      <c r="B18" s="335"/>
      <c r="C18" s="120"/>
      <c r="D18" s="131"/>
      <c r="E18" s="128"/>
      <c r="F18" s="128"/>
      <c r="G18" s="336" t="s">
        <v>2919</v>
      </c>
      <c r="H18" s="336"/>
      <c r="I18" s="336"/>
      <c r="J18" s="336"/>
      <c r="K18" s="137"/>
    </row>
    <row r="19" spans="2:19" ht="11.45" customHeight="1">
      <c r="B19" s="335"/>
      <c r="C19" s="120"/>
      <c r="D19" s="131"/>
      <c r="E19" s="128"/>
      <c r="F19" s="128"/>
      <c r="G19" s="132"/>
      <c r="H19" s="132"/>
      <c r="I19" s="132"/>
      <c r="J19" s="132"/>
      <c r="K19" s="137"/>
    </row>
    <row r="20" spans="2:19" ht="107.45" customHeight="1">
      <c r="B20" s="335"/>
      <c r="C20" s="120"/>
      <c r="D20" s="140"/>
      <c r="E20" s="128"/>
      <c r="F20" s="128"/>
      <c r="G20" s="128"/>
      <c r="H20" s="128"/>
      <c r="I20" s="128"/>
      <c r="J20" s="337" t="s">
        <v>2920</v>
      </c>
      <c r="K20" s="338"/>
    </row>
    <row r="21" spans="2:19" ht="20.45" customHeight="1">
      <c r="B21" s="120"/>
      <c r="C21" s="120"/>
      <c r="D21" s="140"/>
      <c r="E21" s="128"/>
      <c r="F21" s="128"/>
      <c r="G21" s="128"/>
      <c r="H21" s="128"/>
      <c r="I21" s="128"/>
      <c r="J21" s="132"/>
      <c r="K21" s="133"/>
    </row>
    <row r="22" spans="2:19" ht="99.6" customHeight="1">
      <c r="B22" s="334" t="s">
        <v>2921</v>
      </c>
      <c r="C22" s="120"/>
      <c r="D22" s="345" t="s">
        <v>2922</v>
      </c>
      <c r="E22" s="331"/>
      <c r="F22" s="331"/>
      <c r="G22" s="331"/>
      <c r="H22" s="331"/>
      <c r="I22" s="331"/>
      <c r="J22" s="331"/>
      <c r="K22" s="346"/>
    </row>
    <row r="23" spans="2:19" ht="11.45" customHeight="1">
      <c r="B23" s="334"/>
      <c r="C23" s="120"/>
      <c r="D23" s="131"/>
      <c r="E23" s="132"/>
      <c r="F23" s="132"/>
      <c r="G23" s="132"/>
      <c r="H23" s="132"/>
      <c r="I23" s="132"/>
      <c r="J23" s="132"/>
      <c r="K23" s="133"/>
    </row>
    <row r="24" spans="2:19" ht="69.95" customHeight="1">
      <c r="B24" s="334"/>
      <c r="C24" s="120"/>
      <c r="D24" s="339" t="s">
        <v>2923</v>
      </c>
      <c r="E24" s="336"/>
      <c r="F24" s="336"/>
      <c r="G24" s="336"/>
      <c r="H24" s="336"/>
      <c r="I24" s="336"/>
      <c r="J24" s="336"/>
      <c r="K24" s="137"/>
    </row>
    <row r="25" spans="2:19" ht="11.45" customHeight="1">
      <c r="B25" s="334"/>
      <c r="C25" s="120"/>
      <c r="D25" s="131"/>
      <c r="E25" s="132"/>
      <c r="F25" s="132"/>
      <c r="G25" s="132"/>
      <c r="H25" s="132"/>
      <c r="I25" s="132"/>
      <c r="J25" s="132"/>
      <c r="K25" s="137"/>
    </row>
    <row r="26" spans="2:19" ht="120.6" customHeight="1">
      <c r="B26" s="334"/>
      <c r="C26" s="120"/>
      <c r="D26" s="131"/>
      <c r="E26" s="128"/>
      <c r="F26" s="128"/>
      <c r="G26" s="329" t="s">
        <v>2924</v>
      </c>
      <c r="H26" s="329"/>
      <c r="I26" s="329"/>
      <c r="J26" s="329"/>
      <c r="K26" s="330"/>
    </row>
    <row r="27" spans="2:19" ht="11.45" customHeight="1">
      <c r="B27" s="334"/>
      <c r="C27" s="120"/>
      <c r="D27" s="131"/>
      <c r="E27" s="128"/>
      <c r="F27" s="128"/>
      <c r="G27" s="132"/>
      <c r="H27" s="132"/>
      <c r="I27" s="132"/>
      <c r="J27" s="132"/>
      <c r="K27" s="133"/>
    </row>
    <row r="28" spans="2:19" ht="68.45" customHeight="1">
      <c r="B28" s="334"/>
      <c r="C28" s="120"/>
      <c r="D28" s="131"/>
      <c r="E28" s="128"/>
      <c r="F28" s="128"/>
      <c r="G28" s="132"/>
      <c r="H28" s="331" t="s">
        <v>2925</v>
      </c>
      <c r="I28" s="332"/>
      <c r="J28" s="332"/>
      <c r="K28" s="333"/>
    </row>
    <row r="29" spans="2:19" ht="11.45" customHeight="1">
      <c r="B29" s="334"/>
      <c r="C29" s="120"/>
      <c r="D29" s="131"/>
      <c r="E29" s="128"/>
      <c r="F29" s="128"/>
      <c r="G29" s="132"/>
      <c r="H29" s="128"/>
      <c r="I29" s="128"/>
      <c r="J29" s="128"/>
      <c r="K29" s="137"/>
    </row>
    <row r="30" spans="2:19" ht="146.44999999999999" customHeight="1">
      <c r="B30" s="334"/>
      <c r="C30" s="120"/>
      <c r="D30" s="131"/>
      <c r="E30" s="128"/>
      <c r="F30" s="128"/>
      <c r="G30" s="128"/>
      <c r="H30" s="128"/>
      <c r="I30" s="329" t="s">
        <v>2926</v>
      </c>
      <c r="J30" s="329"/>
      <c r="K30" s="330"/>
    </row>
    <row r="31" spans="2:19" ht="29.1" thickBot="1">
      <c r="D31" s="141"/>
      <c r="E31" s="142"/>
      <c r="F31" s="142"/>
      <c r="G31" s="142"/>
      <c r="H31" s="142"/>
      <c r="I31" s="142"/>
      <c r="J31" s="142"/>
      <c r="K31" s="142"/>
    </row>
    <row r="32" spans="2:19" ht="16.5" customHeight="1" thickTop="1" thickBot="1">
      <c r="N32" s="121" t="s">
        <v>410</v>
      </c>
      <c r="O32" s="122" t="s">
        <v>411</v>
      </c>
      <c r="P32" s="123" t="s">
        <v>412</v>
      </c>
      <c r="Q32" s="124" t="s">
        <v>413</v>
      </c>
      <c r="R32" s="125" t="s">
        <v>414</v>
      </c>
      <c r="S32" s="126" t="s">
        <v>416</v>
      </c>
    </row>
    <row r="33" ht="29.1" thickTop="1"/>
  </sheetData>
  <mergeCells count="13">
    <mergeCell ref="G26:K26"/>
    <mergeCell ref="H28:K28"/>
    <mergeCell ref="I30:K30"/>
    <mergeCell ref="B22:B30"/>
    <mergeCell ref="B4:B20"/>
    <mergeCell ref="G18:J18"/>
    <mergeCell ref="J20:K20"/>
    <mergeCell ref="D10:E10"/>
    <mergeCell ref="D12:K12"/>
    <mergeCell ref="D14:K14"/>
    <mergeCell ref="F16:J16"/>
    <mergeCell ref="D22:K22"/>
    <mergeCell ref="D24:J24"/>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E50BA-045E-4A81-8D71-65AEA7B45689}">
  <sheetPr codeName="Sheet2"/>
  <dimension ref="A1:G30"/>
  <sheetViews>
    <sheetView zoomScale="115" zoomScaleNormal="115" workbookViewId="0">
      <selection activeCell="C26" sqref="C26"/>
    </sheetView>
  </sheetViews>
  <sheetFormatPr defaultRowHeight="14.45"/>
  <cols>
    <col min="1" max="1" width="33.42578125" customWidth="1"/>
    <col min="2" max="2" width="20.140625" customWidth="1"/>
    <col min="3" max="3" width="27.140625" customWidth="1"/>
    <col min="4" max="4" width="24.7109375" customWidth="1"/>
    <col min="5" max="5" width="40.42578125" customWidth="1"/>
    <col min="7" max="7" width="29.5703125" customWidth="1"/>
  </cols>
  <sheetData>
    <row r="1" spans="1:7">
      <c r="A1" s="65" t="s">
        <v>2927</v>
      </c>
      <c r="C1" s="7" t="s">
        <v>2928</v>
      </c>
      <c r="G1" s="65" t="s">
        <v>2929</v>
      </c>
    </row>
    <row r="2" spans="1:7">
      <c r="A2" t="s">
        <v>2930</v>
      </c>
      <c r="C2" s="65" t="s">
        <v>2931</v>
      </c>
      <c r="G2" s="65" t="s">
        <v>2932</v>
      </c>
    </row>
    <row r="3" spans="1:7">
      <c r="A3" s="65" t="s">
        <v>2933</v>
      </c>
      <c r="G3" s="14"/>
    </row>
    <row r="4" spans="1:7">
      <c r="A4" s="14"/>
      <c r="C4" s="68" t="s">
        <v>2934</v>
      </c>
      <c r="D4" s="68" t="s">
        <v>2935</v>
      </c>
      <c r="E4" s="68" t="s">
        <v>2936</v>
      </c>
      <c r="G4" s="102" t="s">
        <v>2937</v>
      </c>
    </row>
    <row r="5" spans="1:7" ht="29.1">
      <c r="A5" s="101" t="s">
        <v>2938</v>
      </c>
      <c r="C5" s="69" t="s">
        <v>2939</v>
      </c>
      <c r="D5" s="103" t="s">
        <v>2940</v>
      </c>
      <c r="E5" s="69" t="s">
        <v>2941</v>
      </c>
      <c r="G5" s="102" t="s">
        <v>2942</v>
      </c>
    </row>
    <row r="6" spans="1:7">
      <c r="A6" s="101" t="s">
        <v>2943</v>
      </c>
      <c r="C6" s="69" t="s">
        <v>2944</v>
      </c>
      <c r="D6" s="103" t="s">
        <v>2945</v>
      </c>
      <c r="E6" s="69" t="s">
        <v>2946</v>
      </c>
      <c r="G6" s="14" t="s">
        <v>2947</v>
      </c>
    </row>
    <row r="7" spans="1:7" ht="29.1">
      <c r="A7" s="101" t="s">
        <v>2948</v>
      </c>
      <c r="C7" s="69" t="s">
        <v>2949</v>
      </c>
      <c r="D7" s="103" t="s">
        <v>2950</v>
      </c>
      <c r="E7" s="69" t="s">
        <v>2951</v>
      </c>
    </row>
    <row r="8" spans="1:7">
      <c r="A8" s="101" t="s">
        <v>2952</v>
      </c>
      <c r="C8" s="69" t="s">
        <v>2953</v>
      </c>
      <c r="D8" s="103" t="s">
        <v>2954</v>
      </c>
      <c r="E8" s="69" t="s">
        <v>2955</v>
      </c>
    </row>
    <row r="9" spans="1:7">
      <c r="A9" s="101" t="s">
        <v>2956</v>
      </c>
    </row>
    <row r="11" spans="1:7">
      <c r="A11" t="s">
        <v>2957</v>
      </c>
    </row>
    <row r="12" spans="1:7">
      <c r="A12" t="s">
        <v>2958</v>
      </c>
    </row>
    <row r="13" spans="1:7">
      <c r="G13" s="65" t="s">
        <v>2959</v>
      </c>
    </row>
    <row r="14" spans="1:7">
      <c r="A14" s="65" t="s">
        <v>2960</v>
      </c>
      <c r="C14" s="65" t="s">
        <v>2961</v>
      </c>
      <c r="G14" s="14"/>
    </row>
    <row r="15" spans="1:7">
      <c r="A15" s="14"/>
      <c r="C15" s="14"/>
      <c r="G15" s="14" t="s">
        <v>2962</v>
      </c>
    </row>
    <row r="16" spans="1:7">
      <c r="A16" s="14" t="s">
        <v>2963</v>
      </c>
      <c r="C16" s="14" t="s">
        <v>2964</v>
      </c>
      <c r="G16" s="14" t="s">
        <v>2965</v>
      </c>
    </row>
    <row r="17" spans="1:7">
      <c r="A17" s="14" t="s">
        <v>2966</v>
      </c>
      <c r="C17" s="14" t="s">
        <v>2967</v>
      </c>
    </row>
    <row r="18" spans="1:7">
      <c r="A18" s="14" t="s">
        <v>2968</v>
      </c>
      <c r="C18" s="14" t="s">
        <v>2969</v>
      </c>
    </row>
    <row r="20" spans="1:7">
      <c r="A20" s="65" t="s">
        <v>2970</v>
      </c>
      <c r="C20" s="65" t="s">
        <v>2971</v>
      </c>
      <c r="G20" s="65" t="s">
        <v>2972</v>
      </c>
    </row>
    <row r="21" spans="1:7">
      <c r="A21" s="14"/>
      <c r="C21" s="14"/>
      <c r="G21" s="14"/>
    </row>
    <row r="22" spans="1:7">
      <c r="A22" s="14" t="s">
        <v>2973</v>
      </c>
      <c r="C22" s="14" t="s">
        <v>2974</v>
      </c>
      <c r="G22" s="14" t="s">
        <v>2975</v>
      </c>
    </row>
    <row r="23" spans="1:7">
      <c r="A23" s="14" t="s">
        <v>2976</v>
      </c>
      <c r="C23" s="14" t="s">
        <v>2977</v>
      </c>
      <c r="G23" s="14" t="s">
        <v>2978</v>
      </c>
    </row>
    <row r="24" spans="1:7">
      <c r="A24" s="14" t="s">
        <v>2979</v>
      </c>
      <c r="C24" s="14" t="s">
        <v>2980</v>
      </c>
    </row>
    <row r="26" spans="1:7">
      <c r="A26" s="65" t="s">
        <v>2981</v>
      </c>
      <c r="C26" s="65" t="s">
        <v>2982</v>
      </c>
      <c r="G26" s="65" t="s">
        <v>2983</v>
      </c>
    </row>
    <row r="27" spans="1:7">
      <c r="A27" s="14"/>
      <c r="C27" s="14"/>
      <c r="G27" s="14"/>
    </row>
    <row r="28" spans="1:7">
      <c r="A28" s="102" t="s">
        <v>2984</v>
      </c>
      <c r="C28" s="14" t="s">
        <v>2985</v>
      </c>
      <c r="G28" s="14" t="s">
        <v>2986</v>
      </c>
    </row>
    <row r="29" spans="1:7">
      <c r="A29" s="102" t="s">
        <v>2987</v>
      </c>
      <c r="C29" s="102" t="s">
        <v>2988</v>
      </c>
      <c r="G29" s="14" t="s">
        <v>2989</v>
      </c>
    </row>
    <row r="30" spans="1:7">
      <c r="A30" s="102" t="s">
        <v>2990</v>
      </c>
      <c r="G30" s="102" t="s">
        <v>2991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5F7F1-19BB-447E-B783-EE9A60A64EB9}">
  <sheetPr codeName="Sheet3"/>
  <dimension ref="B1:F51"/>
  <sheetViews>
    <sheetView zoomScale="85" zoomScaleNormal="85" workbookViewId="0">
      <selection activeCell="E43" sqref="E43"/>
    </sheetView>
  </sheetViews>
  <sheetFormatPr defaultColWidth="8.7109375" defaultRowHeight="14.45"/>
  <cols>
    <col min="1" max="1" width="5.140625" style="70" customWidth="1"/>
    <col min="2" max="2" width="8.7109375" style="70"/>
    <col min="3" max="3" width="41" style="70" customWidth="1"/>
    <col min="4" max="4" width="43.85546875" style="70" customWidth="1"/>
    <col min="5" max="5" width="38.42578125" style="70" customWidth="1"/>
    <col min="6" max="16384" width="8.7109375" style="70"/>
  </cols>
  <sheetData>
    <row r="1" spans="2:6" ht="15" thickBot="1"/>
    <row r="2" spans="2:6" ht="18.95" thickBot="1">
      <c r="B2" s="348" t="s">
        <v>2992</v>
      </c>
      <c r="C2" s="349"/>
      <c r="D2" s="349"/>
      <c r="E2" s="350"/>
    </row>
    <row r="3" spans="2:6">
      <c r="B3" s="92" t="s">
        <v>2993</v>
      </c>
      <c r="C3" s="89" t="s">
        <v>2994</v>
      </c>
      <c r="D3" s="89" t="s">
        <v>2995</v>
      </c>
      <c r="E3" s="93" t="s">
        <v>417</v>
      </c>
    </row>
    <row r="4" spans="2:6" ht="57.95">
      <c r="B4" s="94">
        <v>1</v>
      </c>
      <c r="C4" s="90" t="s">
        <v>2996</v>
      </c>
      <c r="D4" s="90" t="s">
        <v>2997</v>
      </c>
      <c r="E4" s="347" t="s">
        <v>2998</v>
      </c>
    </row>
    <row r="5" spans="2:6" ht="72.599999999999994">
      <c r="B5" s="94">
        <v>2</v>
      </c>
      <c r="C5" s="91" t="s">
        <v>2999</v>
      </c>
      <c r="D5" s="91" t="s">
        <v>3000</v>
      </c>
      <c r="E5" s="347"/>
    </row>
    <row r="6" spans="2:6" ht="43.5">
      <c r="B6" s="94">
        <v>3</v>
      </c>
      <c r="C6" s="91" t="s">
        <v>3001</v>
      </c>
      <c r="D6" s="91" t="s">
        <v>3002</v>
      </c>
      <c r="E6" s="95" t="s">
        <v>3003</v>
      </c>
    </row>
    <row r="7" spans="2:6" ht="43.5">
      <c r="B7" s="94">
        <v>4</v>
      </c>
      <c r="C7" s="91" t="s">
        <v>3004</v>
      </c>
      <c r="D7" s="91" t="s">
        <v>3005</v>
      </c>
      <c r="E7" s="95" t="s">
        <v>3006</v>
      </c>
    </row>
    <row r="8" spans="2:6" ht="72.95" thickBot="1">
      <c r="B8" s="96">
        <v>5</v>
      </c>
      <c r="C8" s="97" t="s">
        <v>3007</v>
      </c>
      <c r="D8" s="97" t="s">
        <v>3008</v>
      </c>
      <c r="E8" s="98" t="s">
        <v>3009</v>
      </c>
    </row>
    <row r="10" spans="2:6">
      <c r="B10" s="351" t="s">
        <v>3010</v>
      </c>
      <c r="C10" s="351"/>
      <c r="D10" s="351"/>
      <c r="E10" s="351"/>
    </row>
    <row r="11" spans="2:6" ht="59.1" customHeight="1">
      <c r="B11" s="352" t="s">
        <v>3011</v>
      </c>
      <c r="C11" s="352"/>
      <c r="D11" s="352"/>
      <c r="E11" s="352"/>
    </row>
    <row r="12" spans="2:6">
      <c r="B12" s="13" t="s">
        <v>2993</v>
      </c>
      <c r="C12" s="99" t="s">
        <v>3012</v>
      </c>
      <c r="D12" s="99" t="s">
        <v>3013</v>
      </c>
      <c r="E12" s="70" t="s">
        <v>3014</v>
      </c>
      <c r="F12" s="68" t="s">
        <v>3015</v>
      </c>
    </row>
    <row r="13" spans="2:6" ht="57.95">
      <c r="B13" s="13">
        <v>1</v>
      </c>
      <c r="C13" s="99" t="s">
        <v>338</v>
      </c>
      <c r="D13" s="4" t="s">
        <v>3016</v>
      </c>
      <c r="E13" s="69" t="s">
        <v>3017</v>
      </c>
      <c r="F13" s="87" t="s">
        <v>3018</v>
      </c>
    </row>
    <row r="14" spans="2:6" ht="43.5">
      <c r="B14" s="13">
        <v>2</v>
      </c>
      <c r="C14" s="99" t="s">
        <v>3019</v>
      </c>
      <c r="D14" s="4" t="s">
        <v>3020</v>
      </c>
      <c r="E14" s="69" t="s">
        <v>3021</v>
      </c>
      <c r="F14" s="87" t="s">
        <v>3018</v>
      </c>
    </row>
    <row r="15" spans="2:6" ht="29.1">
      <c r="B15" s="13">
        <v>3</v>
      </c>
      <c r="C15" s="99" t="s">
        <v>3022</v>
      </c>
      <c r="D15" s="4" t="s">
        <v>3023</v>
      </c>
      <c r="E15" s="88" t="s">
        <v>3023</v>
      </c>
      <c r="F15" s="87" t="s">
        <v>3018</v>
      </c>
    </row>
    <row r="16" spans="2:6" ht="29.1">
      <c r="B16" s="13">
        <v>4</v>
      </c>
      <c r="C16" s="99" t="s">
        <v>3024</v>
      </c>
      <c r="D16" s="4" t="s">
        <v>3025</v>
      </c>
      <c r="E16" s="69" t="s">
        <v>3026</v>
      </c>
      <c r="F16" s="87" t="s">
        <v>3018</v>
      </c>
    </row>
    <row r="17" spans="2:6" ht="43.5">
      <c r="B17" s="13">
        <v>5</v>
      </c>
      <c r="C17" s="99" t="s">
        <v>3027</v>
      </c>
      <c r="D17" s="4" t="s">
        <v>3028</v>
      </c>
      <c r="E17" s="69" t="s">
        <v>3029</v>
      </c>
      <c r="F17" s="87" t="s">
        <v>3018</v>
      </c>
    </row>
    <row r="18" spans="2:6">
      <c r="B18" s="99"/>
      <c r="C18" s="4"/>
      <c r="D18" s="4"/>
      <c r="E18" s="1"/>
    </row>
    <row r="19" spans="2:6">
      <c r="B19" s="68" t="s">
        <v>2993</v>
      </c>
      <c r="C19" s="99" t="s">
        <v>255</v>
      </c>
      <c r="D19" s="99" t="s">
        <v>3030</v>
      </c>
      <c r="E19" s="99" t="s">
        <v>3031</v>
      </c>
    </row>
    <row r="20" spans="2:6" ht="29.1">
      <c r="B20" s="13">
        <v>1</v>
      </c>
      <c r="C20" s="4" t="s">
        <v>3018</v>
      </c>
      <c r="D20" s="4" t="s">
        <v>405</v>
      </c>
      <c r="E20" s="4" t="s">
        <v>3032</v>
      </c>
      <c r="F20" s="13">
        <v>1</v>
      </c>
    </row>
    <row r="21" spans="2:6" ht="29.1">
      <c r="B21" s="13">
        <v>2</v>
      </c>
      <c r="C21" s="4" t="s">
        <v>3033</v>
      </c>
      <c r="D21" s="4" t="s">
        <v>3034</v>
      </c>
      <c r="E21" s="4" t="s">
        <v>3035</v>
      </c>
      <c r="F21" s="13">
        <v>2</v>
      </c>
    </row>
    <row r="22" spans="2:6" ht="29.1">
      <c r="B22" s="13">
        <v>3</v>
      </c>
      <c r="C22" s="4" t="s">
        <v>3036</v>
      </c>
      <c r="D22" s="4" t="s">
        <v>3037</v>
      </c>
      <c r="E22" s="4" t="s">
        <v>3038</v>
      </c>
      <c r="F22" s="13">
        <v>3</v>
      </c>
    </row>
    <row r="23" spans="2:6" ht="43.5">
      <c r="B23" s="13">
        <v>4</v>
      </c>
      <c r="C23" s="4" t="s">
        <v>3039</v>
      </c>
      <c r="D23" s="4" t="s">
        <v>3040</v>
      </c>
      <c r="E23" s="4" t="s">
        <v>3041</v>
      </c>
      <c r="F23" s="13">
        <v>4</v>
      </c>
    </row>
    <row r="24" spans="2:6">
      <c r="E24" s="69"/>
    </row>
    <row r="25" spans="2:6">
      <c r="D25"/>
    </row>
    <row r="26" spans="2:6">
      <c r="D26" s="68" t="s">
        <v>3042</v>
      </c>
      <c r="E26" s="68" t="s">
        <v>3031</v>
      </c>
    </row>
    <row r="27" spans="2:6" ht="29.1">
      <c r="C27" s="70" t="s">
        <v>3043</v>
      </c>
      <c r="D27" s="69" t="s">
        <v>3044</v>
      </c>
      <c r="E27" s="69" t="s">
        <v>3045</v>
      </c>
    </row>
    <row r="28" spans="2:6">
      <c r="D28" s="69" t="s">
        <v>3046</v>
      </c>
      <c r="E28" s="69" t="s">
        <v>3047</v>
      </c>
    </row>
    <row r="29" spans="2:6">
      <c r="D29" s="69" t="s">
        <v>3048</v>
      </c>
      <c r="E29" s="69" t="s">
        <v>3049</v>
      </c>
    </row>
    <row r="30" spans="2:6" ht="29.1">
      <c r="D30" s="69" t="s">
        <v>3050</v>
      </c>
      <c r="E30" s="69" t="s">
        <v>3051</v>
      </c>
    </row>
    <row r="31" spans="2:6">
      <c r="D31" s="69" t="s">
        <v>3052</v>
      </c>
      <c r="E31" s="69" t="s">
        <v>3053</v>
      </c>
    </row>
    <row r="32" spans="2:6">
      <c r="C32" s="70" t="s">
        <v>3054</v>
      </c>
      <c r="D32" s="69" t="s">
        <v>3055</v>
      </c>
      <c r="E32" s="69" t="s">
        <v>3056</v>
      </c>
    </row>
    <row r="33" spans="3:5">
      <c r="D33" s="69" t="s">
        <v>3057</v>
      </c>
      <c r="E33" s="69" t="s">
        <v>3058</v>
      </c>
    </row>
    <row r="34" spans="3:5">
      <c r="D34" s="69" t="s">
        <v>3059</v>
      </c>
      <c r="E34" s="69" t="s">
        <v>3060</v>
      </c>
    </row>
    <row r="35" spans="3:5">
      <c r="D35" s="69" t="s">
        <v>3061</v>
      </c>
      <c r="E35" s="69" t="s">
        <v>3062</v>
      </c>
    </row>
    <row r="36" spans="3:5">
      <c r="D36" s="69" t="s">
        <v>3063</v>
      </c>
      <c r="E36" s="69" t="s">
        <v>3064</v>
      </c>
    </row>
    <row r="37" spans="3:5">
      <c r="C37" s="70" t="s">
        <v>3065</v>
      </c>
      <c r="D37" s="69" t="s">
        <v>513</v>
      </c>
      <c r="E37" s="69" t="s">
        <v>3066</v>
      </c>
    </row>
    <row r="38" spans="3:5">
      <c r="D38" s="69" t="s">
        <v>3067</v>
      </c>
      <c r="E38" s="69" t="s">
        <v>3068</v>
      </c>
    </row>
    <row r="39" spans="3:5">
      <c r="D39" s="69" t="s">
        <v>3069</v>
      </c>
      <c r="E39" s="69" t="s">
        <v>3070</v>
      </c>
    </row>
    <row r="40" spans="3:5">
      <c r="D40" s="69" t="s">
        <v>3071</v>
      </c>
      <c r="E40" s="69" t="s">
        <v>3072</v>
      </c>
    </row>
    <row r="41" spans="3:5">
      <c r="D41" s="69" t="s">
        <v>3073</v>
      </c>
      <c r="E41" s="69" t="s">
        <v>3074</v>
      </c>
    </row>
    <row r="42" spans="3:5">
      <c r="C42" s="70" t="s">
        <v>3075</v>
      </c>
      <c r="D42" s="70" t="s">
        <v>3076</v>
      </c>
      <c r="E42" s="70" t="s">
        <v>3077</v>
      </c>
    </row>
    <row r="43" spans="3:5">
      <c r="D43" s="70" t="s">
        <v>3078</v>
      </c>
      <c r="E43" s="70" t="s">
        <v>3079</v>
      </c>
    </row>
    <row r="44" spans="3:5">
      <c r="D44" s="70" t="s">
        <v>3080</v>
      </c>
      <c r="E44" s="70" t="s">
        <v>3081</v>
      </c>
    </row>
    <row r="45" spans="3:5">
      <c r="D45" s="70" t="s">
        <v>3082</v>
      </c>
      <c r="E45" s="70" t="s">
        <v>3083</v>
      </c>
    </row>
    <row r="46" spans="3:5">
      <c r="D46" s="70" t="s">
        <v>3084</v>
      </c>
      <c r="E46" s="70" t="s">
        <v>3085</v>
      </c>
    </row>
    <row r="47" spans="3:5">
      <c r="C47" s="70" t="s">
        <v>3086</v>
      </c>
      <c r="D47" s="69" t="s">
        <v>3087</v>
      </c>
      <c r="E47" s="69" t="s">
        <v>3088</v>
      </c>
    </row>
    <row r="48" spans="3:5">
      <c r="D48" s="69" t="s">
        <v>3089</v>
      </c>
      <c r="E48" s="69" t="s">
        <v>3090</v>
      </c>
    </row>
    <row r="49" spans="4:5">
      <c r="D49" s="69" t="s">
        <v>3091</v>
      </c>
      <c r="E49" s="69" t="s">
        <v>3092</v>
      </c>
    </row>
    <row r="50" spans="4:5">
      <c r="D50" s="69" t="s">
        <v>3093</v>
      </c>
      <c r="E50" s="69" t="s">
        <v>3094</v>
      </c>
    </row>
    <row r="51" spans="4:5">
      <c r="D51" s="69" t="s">
        <v>3095</v>
      </c>
      <c r="E51" s="69" t="s">
        <v>3096</v>
      </c>
    </row>
  </sheetData>
  <mergeCells count="4">
    <mergeCell ref="E4:E5"/>
    <mergeCell ref="B2:E2"/>
    <mergeCell ref="B10:E10"/>
    <mergeCell ref="B11:E11"/>
  </mergeCells>
  <conditionalFormatting sqref="F20:F23">
    <cfRule type="iconSet" priority="1">
      <iconSet iconSet="4TrafficLights" showValue="0">
        <cfvo type="percent" val="0"/>
        <cfvo type="num" val="2"/>
        <cfvo type="num" val="3"/>
        <cfvo type="num" val="4"/>
      </iconSet>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F0C55-50E6-4AF5-B18D-FFC2AEDB651A}">
  <sheetPr codeName="Sheet5"/>
  <dimension ref="A1:AB552"/>
  <sheetViews>
    <sheetView topLeftCell="A498" workbookViewId="0">
      <selection activeCell="L538" sqref="L538"/>
    </sheetView>
  </sheetViews>
  <sheetFormatPr defaultRowHeight="14.45"/>
  <cols>
    <col min="1" max="1" width="19.5703125" customWidth="1"/>
  </cols>
  <sheetData>
    <row r="1" spans="1:4">
      <c r="A1" t="s">
        <v>417</v>
      </c>
      <c r="B1" t="s">
        <v>3097</v>
      </c>
    </row>
    <row r="2" spans="1:4">
      <c r="A2" t="str">
        <f>Source_Crawl_Data!F8</f>
        <v>https://baotintuc.vn/thi-truong-tien-te-587ct128/d2-5-2026.htm</v>
      </c>
      <c r="B2">
        <v>1</v>
      </c>
    </row>
    <row r="3" spans="1:4">
      <c r="A3" t="str">
        <f>Source_Crawl_Data!F37</f>
        <v>https://baotintuc.vn/thi-truong-tien-te-587ct128/d3-5-2026.htm</v>
      </c>
      <c r="B3">
        <v>1</v>
      </c>
    </row>
    <row r="4" spans="1:4">
      <c r="A4" t="str">
        <f>Source_Crawl_Data!F38</f>
        <v>https://baotintuc.vn/thi-truong-tien-te-587ct128/d4-5-2026.htm</v>
      </c>
      <c r="B4">
        <v>1</v>
      </c>
    </row>
    <row r="5" spans="1:4">
      <c r="A5" t="str">
        <f>Source_Crawl_Data!F39</f>
        <v>https://baotintuc.vn/thi-truong-tien-te-587ct128/d5-5-2026.htm</v>
      </c>
      <c r="B5">
        <v>1</v>
      </c>
    </row>
    <row r="6" spans="1:4">
      <c r="A6" t="str">
        <f>Source_Crawl_Data!F40</f>
        <v>https://baotintuc.vn/thi-truong-tien-te-587ct128/d6-5-2026.htm</v>
      </c>
      <c r="B6">
        <v>1</v>
      </c>
    </row>
    <row r="7" spans="1:4">
      <c r="A7" t="str">
        <f>Source_Crawl_Data!F41</f>
        <v>https://baotintuc.vn/thi-truong-tien-te-587ct128/d7-5-2026.htm</v>
      </c>
      <c r="B7">
        <v>1</v>
      </c>
    </row>
    <row r="8" spans="1:4">
      <c r="A8" t="str">
        <f>Source_Crawl_Data!F42</f>
        <v>https://baotintuc.vn/thi-truong-tien-te-587ct128/d8-5-2026.htm</v>
      </c>
      <c r="B8">
        <v>1</v>
      </c>
    </row>
    <row r="9" spans="1:4">
      <c r="A9" t="str">
        <f>Source_Crawl_Data!F12</f>
        <v>https://dantri.com.vn/cong-nghe/ai-internet/from/2026-05-02/to/2026-05-08.htm</v>
      </c>
      <c r="B9">
        <v>1</v>
      </c>
      <c r="C9" s="35" t="s">
        <v>3098</v>
      </c>
      <c r="D9" s="35" t="s">
        <v>3099</v>
      </c>
    </row>
    <row r="10" spans="1:4">
      <c r="A10" t="str">
        <f>Source_Crawl_Data!F13</f>
        <v>https://dantri.com.vn/cong-nghe/an-ninh-mang/from/2026-05-02/to/2026-05-08.htm</v>
      </c>
      <c r="B10">
        <v>1</v>
      </c>
      <c r="C10" s="35" t="s">
        <v>3100</v>
      </c>
    </row>
    <row r="11" spans="1:4">
      <c r="A11" t="str">
        <f>Source_Crawl_Data!F6</f>
        <v>https://genk.vn/ai/2-5-2026.chn</v>
      </c>
      <c r="B11">
        <v>1</v>
      </c>
    </row>
    <row r="12" spans="1:4">
      <c r="A12" t="str">
        <f>Source_Crawl_Data!F43</f>
        <v>https://genk.vn/ai/3-5-2026.chn</v>
      </c>
      <c r="B12">
        <v>1</v>
      </c>
      <c r="C12" s="35" t="s">
        <v>658</v>
      </c>
      <c r="D12" s="35" t="s">
        <v>3101</v>
      </c>
    </row>
    <row r="13" spans="1:4">
      <c r="A13" t="str">
        <f>Source_Crawl_Data!F44</f>
        <v>https://genk.vn/ai/4-5-2026.chn</v>
      </c>
      <c r="B13">
        <v>1</v>
      </c>
      <c r="C13" s="35" t="s">
        <v>3102</v>
      </c>
      <c r="D13" s="35" t="s">
        <v>3103</v>
      </c>
    </row>
    <row r="14" spans="1:4">
      <c r="A14" t="str">
        <f>Source_Crawl_Data!F45</f>
        <v>https://genk.vn/ai/5-5-2026.chn</v>
      </c>
      <c r="B14">
        <v>1</v>
      </c>
    </row>
    <row r="15" spans="1:4">
      <c r="A15" t="str">
        <f>Source_Crawl_Data!F46</f>
        <v>https://genk.vn/ai/6-5-2026.chn</v>
      </c>
      <c r="B15">
        <v>1</v>
      </c>
      <c r="C15" s="35" t="s">
        <v>678</v>
      </c>
      <c r="D15" s="35" t="s">
        <v>3104</v>
      </c>
    </row>
    <row r="16" spans="1:4">
      <c r="A16" t="str">
        <f>Source_Crawl_Data!F47</f>
        <v>https://genk.vn/ai/7-5-2026.chn</v>
      </c>
      <c r="B16">
        <v>1</v>
      </c>
    </row>
    <row r="17" spans="1:7">
      <c r="A17" t="str">
        <f>Source_Crawl_Data!F48</f>
        <v>https://genk.vn/ai/8-5-2026.chn</v>
      </c>
      <c r="B17">
        <v>1</v>
      </c>
    </row>
    <row r="18" spans="1:7">
      <c r="A18" t="str">
        <f>Source_Crawl_Data!F7</f>
        <v>https://genk.vn/tin-ict/2-5-2026.chn</v>
      </c>
      <c r="B18">
        <v>1</v>
      </c>
    </row>
    <row r="19" spans="1:7">
      <c r="A19" t="str">
        <f>Source_Crawl_Data!F49</f>
        <v>https://genk.vn/tin-ict/3-5-2026.chn</v>
      </c>
      <c r="B19">
        <v>1</v>
      </c>
    </row>
    <row r="20" spans="1:7">
      <c r="A20" t="str">
        <f>Source_Crawl_Data!F50</f>
        <v>https://genk.vn/tin-ict/4-5-2026.chn</v>
      </c>
      <c r="B20">
        <v>1</v>
      </c>
    </row>
    <row r="21" spans="1:7">
      <c r="A21" t="str">
        <f>Source_Crawl_Data!F51</f>
        <v>https://genk.vn/tin-ict/5-5-2026.chn</v>
      </c>
      <c r="B21">
        <v>1</v>
      </c>
      <c r="C21" s="35" t="s">
        <v>688</v>
      </c>
    </row>
    <row r="22" spans="1:7">
      <c r="A22" t="str">
        <f>Source_Crawl_Data!F52</f>
        <v>https://genk.vn/tin-ict/6-5-2026.chn</v>
      </c>
      <c r="B22">
        <v>1</v>
      </c>
    </row>
    <row r="23" spans="1:7">
      <c r="A23" t="str">
        <f>Source_Crawl_Data!F53</f>
        <v>https://genk.vn/tin-ict/7-5-2026.chn</v>
      </c>
      <c r="B23">
        <v>1</v>
      </c>
    </row>
    <row r="24" spans="1:7">
      <c r="A24" t="str">
        <f>Source_Crawl_Data!F54</f>
        <v>https://genk.vn/tin-ict/8-5-2026.chn</v>
      </c>
      <c r="B24">
        <v>1</v>
      </c>
    </row>
    <row r="25" spans="1:7">
      <c r="A25" t="str">
        <f>Source_Crawl_Data!F19</f>
        <v>https://luatvietnam.vn/ban-tin-luatvietnam/diem-tin-chinh-sach-moi-c559-article.html</v>
      </c>
      <c r="B25">
        <v>1</v>
      </c>
      <c r="C25" s="35" t="s">
        <v>3105</v>
      </c>
      <c r="D25" s="35" t="s">
        <v>3106</v>
      </c>
      <c r="E25" s="35" t="s">
        <v>3107</v>
      </c>
    </row>
    <row r="26" spans="1:7">
      <c r="A26" t="str">
        <f>Source_Crawl_Data!F20</f>
        <v>https://luatvietnam.vn/ban-tin-luatvietnam/diem-tin-van-ban-moi-c220-article.html</v>
      </c>
      <c r="B26">
        <v>1</v>
      </c>
    </row>
    <row r="27" spans="1:7">
      <c r="A27" t="str">
        <f>Source_Crawl_Data!F17</f>
        <v>https://techcrunch.com/category/apps/</v>
      </c>
      <c r="B27">
        <v>1</v>
      </c>
      <c r="C27" s="35" t="s">
        <v>3108</v>
      </c>
      <c r="D27" s="35" t="s">
        <v>3109</v>
      </c>
      <c r="E27" s="35" t="s">
        <v>3110</v>
      </c>
      <c r="F27" s="35" t="s">
        <v>3111</v>
      </c>
      <c r="G27" s="35" t="s">
        <v>3112</v>
      </c>
    </row>
    <row r="28" spans="1:7">
      <c r="A28" t="str">
        <f>Source_Crawl_Data!F18</f>
        <v>https://thuvienphapluat.vn/page/tim-van-ban.aspx?keyword=nhnn&amp;area=0&amp;type=0&amp;status=0&amp;lan=1&amp;org=0&amp;signer=0&amp;match=True&amp;sort=1&amp;bdate=02-05-2026&amp;edate=08-05-2026</v>
      </c>
      <c r="B28">
        <v>1</v>
      </c>
    </row>
    <row r="29" spans="1:7">
      <c r="A29" t="str">
        <f>Source_Crawl_Data!F9</f>
        <v>https://vneconomy.vn/techconnect/</v>
      </c>
      <c r="B29">
        <v>1</v>
      </c>
      <c r="C29" s="35" t="s">
        <v>722</v>
      </c>
      <c r="D29" s="35" t="s">
        <v>728</v>
      </c>
    </row>
    <row r="30" spans="1:7">
      <c r="A30" t="str">
        <f>Source_Crawl_Data!F10</f>
        <v>https://vneconomy.vn/techconnect/tech-lifestyle.htm</v>
      </c>
      <c r="B30">
        <v>1</v>
      </c>
    </row>
    <row r="31" spans="1:7">
      <c r="A31" t="str">
        <f>Source_Crawl_Data!F11</f>
        <v>https://vneconomy.vn/techconnect/tech-talk.htm</v>
      </c>
      <c r="B31">
        <v>1</v>
      </c>
    </row>
    <row r="32" spans="1:7">
      <c r="A32" t="str">
        <f>Source_Crawl_Data!F14</f>
        <v>https://vnexpress.net/category/day/cateid/1006219/fromdate/1777680000/todate/1778198400/allcate/1006219</v>
      </c>
      <c r="B32">
        <v>1</v>
      </c>
      <c r="C32" s="35" t="s">
        <v>3113</v>
      </c>
      <c r="D32" s="35" t="s">
        <v>3114</v>
      </c>
    </row>
    <row r="33" spans="1:25">
      <c r="A33" t="str">
        <f>Source_Crawl_Data!F15</f>
        <v>https://www.bloomberg.com/technology/consumer-tech</v>
      </c>
      <c r="B33">
        <v>1</v>
      </c>
      <c r="C33" s="35" t="s">
        <v>3115</v>
      </c>
      <c r="D33" s="35" t="s">
        <v>3116</v>
      </c>
    </row>
    <row r="34" spans="1:25">
      <c r="A34" t="e">
        <f>Source_Crawl_Data!#REF!</f>
        <v>#REF!</v>
      </c>
    </row>
    <row r="35" spans="1:25">
      <c r="A35" t="e">
        <f>Source_Crawl_Data!#REF!</f>
        <v>#REF!</v>
      </c>
    </row>
    <row r="36" spans="1:25">
      <c r="A36" t="str">
        <f>Source_Crawl_Data!F24</f>
        <v>https://www.momo.vn/tin-tuc</v>
      </c>
      <c r="B36">
        <v>1</v>
      </c>
      <c r="C36" s="35" t="s">
        <v>892</v>
      </c>
      <c r="E36" s="35" t="s">
        <v>801</v>
      </c>
      <c r="F36" s="35" t="s">
        <v>807</v>
      </c>
      <c r="G36" s="35" t="s">
        <v>904</v>
      </c>
      <c r="H36" s="35" t="s">
        <v>897</v>
      </c>
      <c r="I36" s="35" t="s">
        <v>882</v>
      </c>
      <c r="J36" s="35" t="s">
        <v>871</v>
      </c>
      <c r="K36" s="35" t="s">
        <v>837</v>
      </c>
      <c r="L36" s="35" t="s">
        <v>909</v>
      </c>
      <c r="M36" s="35" t="s">
        <v>3117</v>
      </c>
      <c r="N36" s="35" t="s">
        <v>3118</v>
      </c>
      <c r="O36" s="35" t="s">
        <v>3119</v>
      </c>
      <c r="P36" s="35" t="s">
        <v>3120</v>
      </c>
      <c r="Q36" s="35" t="s">
        <v>3121</v>
      </c>
      <c r="R36" s="35" t="s">
        <v>877</v>
      </c>
      <c r="S36" s="35" t="s">
        <v>3122</v>
      </c>
      <c r="T36" s="35" t="s">
        <v>832</v>
      </c>
      <c r="U36" s="35" t="s">
        <v>3123</v>
      </c>
      <c r="V36" s="35" t="s">
        <v>3124</v>
      </c>
      <c r="X36" s="35" t="s">
        <v>3125</v>
      </c>
      <c r="Y36" s="35" t="s">
        <v>796</v>
      </c>
    </row>
    <row r="37" spans="1:25">
      <c r="A37" t="str">
        <f>Source_Crawl_Data!F16</f>
        <v>https://www.techinasia.com/category/fintech</v>
      </c>
      <c r="B37">
        <v>1</v>
      </c>
      <c r="C37" s="35" t="s">
        <v>3126</v>
      </c>
      <c r="D37" s="35" t="s">
        <v>3126</v>
      </c>
      <c r="E37" s="35" t="s">
        <v>3126</v>
      </c>
      <c r="F37" s="35" t="s">
        <v>3126</v>
      </c>
    </row>
    <row r="38" spans="1:25">
      <c r="A38" s="35" t="s">
        <v>194</v>
      </c>
      <c r="B38">
        <v>1</v>
      </c>
      <c r="C38" s="35" t="s">
        <v>3127</v>
      </c>
      <c r="D38" s="35" t="s">
        <v>3128</v>
      </c>
      <c r="E38" s="35" t="s">
        <v>3126</v>
      </c>
      <c r="F38" s="35"/>
    </row>
    <row r="39" spans="1:25">
      <c r="A39" s="35" t="s">
        <v>3129</v>
      </c>
      <c r="B39">
        <v>1</v>
      </c>
      <c r="C39" s="35" t="s">
        <v>3130</v>
      </c>
      <c r="D39" s="35"/>
      <c r="E39" s="35"/>
      <c r="F39" s="35"/>
    </row>
    <row r="40" spans="1:25">
      <c r="A40" t="str">
        <f>Source_Crawl_Data!F22</f>
        <v>https://zalopay.vn/khuyen-mai</v>
      </c>
      <c r="B40">
        <v>1</v>
      </c>
    </row>
    <row r="41" spans="1:25">
      <c r="A41" t="str">
        <f>Source_Crawl_Data!F21</f>
        <v>https://zalopay.vn/tin-tuc</v>
      </c>
      <c r="B41">
        <v>1</v>
      </c>
    </row>
    <row r="42" spans="1:25">
      <c r="A42" t="s">
        <v>3131</v>
      </c>
      <c r="B42">
        <v>1</v>
      </c>
      <c r="C42" t="s">
        <v>3132</v>
      </c>
      <c r="D42" t="s">
        <v>3133</v>
      </c>
      <c r="E42" t="s">
        <v>3134</v>
      </c>
      <c r="F42" t="s">
        <v>3135</v>
      </c>
      <c r="G42" t="s">
        <v>3136</v>
      </c>
      <c r="H42" t="s">
        <v>3137</v>
      </c>
      <c r="I42" s="107" t="s">
        <v>3138</v>
      </c>
      <c r="J42" t="s">
        <v>3139</v>
      </c>
      <c r="K42" s="107" t="s">
        <v>3140</v>
      </c>
      <c r="L42" t="s">
        <v>3141</v>
      </c>
      <c r="M42" t="s">
        <v>3142</v>
      </c>
      <c r="N42" t="s">
        <v>3143</v>
      </c>
      <c r="O42" t="s">
        <v>3144</v>
      </c>
      <c r="P42" t="s">
        <v>3145</v>
      </c>
    </row>
    <row r="43" spans="1:25">
      <c r="A43" t="s">
        <v>3146</v>
      </c>
      <c r="B43">
        <v>1</v>
      </c>
      <c r="C43" t="s">
        <v>3147</v>
      </c>
    </row>
    <row r="46" spans="1:25">
      <c r="A46" s="35" t="s">
        <v>3098</v>
      </c>
      <c r="B46" s="35"/>
      <c r="C46" s="35"/>
      <c r="D46" s="35"/>
      <c r="E46" s="35"/>
      <c r="F46" s="35"/>
      <c r="G46" s="35"/>
      <c r="H46" s="35"/>
    </row>
    <row r="47" spans="1:25">
      <c r="A47" s="35" t="s">
        <v>3099</v>
      </c>
      <c r="B47" s="35"/>
      <c r="C47" s="35"/>
      <c r="D47" s="35"/>
      <c r="E47" s="35"/>
    </row>
    <row r="48" spans="1:25">
      <c r="A48" s="35" t="s">
        <v>3100</v>
      </c>
      <c r="B48" s="35"/>
      <c r="C48" s="35"/>
      <c r="D48" s="35"/>
    </row>
    <row r="49" spans="1:3">
      <c r="A49" s="35" t="s">
        <v>658</v>
      </c>
      <c r="B49" s="35"/>
      <c r="C49" s="35"/>
    </row>
    <row r="50" spans="1:3">
      <c r="A50" s="35" t="s">
        <v>3101</v>
      </c>
      <c r="B50" s="35"/>
      <c r="C50" s="35"/>
    </row>
    <row r="51" spans="1:3">
      <c r="A51" s="35" t="s">
        <v>3102</v>
      </c>
      <c r="B51" s="35"/>
    </row>
    <row r="52" spans="1:3">
      <c r="A52" s="35" t="s">
        <v>3103</v>
      </c>
      <c r="B52" s="35"/>
    </row>
    <row r="53" spans="1:3">
      <c r="A53" s="35" t="s">
        <v>678</v>
      </c>
      <c r="B53" s="35"/>
    </row>
    <row r="54" spans="1:3">
      <c r="A54" s="35" t="s">
        <v>3104</v>
      </c>
      <c r="B54" s="35"/>
    </row>
    <row r="55" spans="1:3">
      <c r="A55" s="35" t="s">
        <v>688</v>
      </c>
      <c r="B55" s="35"/>
    </row>
    <row r="56" spans="1:3">
      <c r="A56" s="35" t="s">
        <v>3105</v>
      </c>
      <c r="B56" s="35"/>
    </row>
    <row r="57" spans="1:3">
      <c r="A57" s="35" t="s">
        <v>3106</v>
      </c>
    </row>
    <row r="58" spans="1:3">
      <c r="A58" s="35" t="s">
        <v>3107</v>
      </c>
    </row>
    <row r="59" spans="1:3">
      <c r="A59" s="35" t="s">
        <v>3108</v>
      </c>
    </row>
    <row r="60" spans="1:3">
      <c r="A60" s="35" t="s">
        <v>3109</v>
      </c>
    </row>
    <row r="61" spans="1:3">
      <c r="A61" s="35" t="s">
        <v>3110</v>
      </c>
    </row>
    <row r="62" spans="1:3">
      <c r="A62" s="35" t="s">
        <v>3111</v>
      </c>
    </row>
    <row r="63" spans="1:3">
      <c r="A63" s="35" t="s">
        <v>3112</v>
      </c>
    </row>
    <row r="64" spans="1:3">
      <c r="A64" s="35" t="s">
        <v>722</v>
      </c>
    </row>
    <row r="65" spans="1:1">
      <c r="A65" s="35" t="s">
        <v>728</v>
      </c>
    </row>
    <row r="66" spans="1:1">
      <c r="A66" s="35" t="s">
        <v>3113</v>
      </c>
    </row>
    <row r="67" spans="1:1">
      <c r="A67" s="35" t="s">
        <v>3114</v>
      </c>
    </row>
    <row r="68" spans="1:1">
      <c r="A68" s="35" t="s">
        <v>3115</v>
      </c>
    </row>
    <row r="69" spans="1:1">
      <c r="A69" s="35" t="s">
        <v>3116</v>
      </c>
    </row>
    <row r="70" spans="1:1">
      <c r="A70" s="35" t="s">
        <v>892</v>
      </c>
    </row>
    <row r="71" spans="1:1">
      <c r="A71" s="35" t="s">
        <v>801</v>
      </c>
    </row>
    <row r="72" spans="1:1">
      <c r="A72" s="35" t="s">
        <v>807</v>
      </c>
    </row>
    <row r="73" spans="1:1">
      <c r="A73" s="35" t="s">
        <v>904</v>
      </c>
    </row>
    <row r="74" spans="1:1">
      <c r="A74" s="35" t="s">
        <v>897</v>
      </c>
    </row>
    <row r="75" spans="1:1">
      <c r="A75" s="35" t="s">
        <v>882</v>
      </c>
    </row>
    <row r="76" spans="1:1">
      <c r="A76" s="35" t="s">
        <v>871</v>
      </c>
    </row>
    <row r="77" spans="1:1">
      <c r="A77" s="35" t="s">
        <v>837</v>
      </c>
    </row>
    <row r="78" spans="1:1">
      <c r="A78" s="35" t="s">
        <v>909</v>
      </c>
    </row>
    <row r="79" spans="1:1">
      <c r="A79" s="35" t="s">
        <v>3117</v>
      </c>
    </row>
    <row r="80" spans="1:1">
      <c r="A80" s="35" t="s">
        <v>3118</v>
      </c>
    </row>
    <row r="81" spans="1:1">
      <c r="A81" s="35" t="s">
        <v>3119</v>
      </c>
    </row>
    <row r="82" spans="1:1">
      <c r="A82" s="35" t="s">
        <v>3120</v>
      </c>
    </row>
    <row r="83" spans="1:1">
      <c r="A83" s="35" t="s">
        <v>3121</v>
      </c>
    </row>
    <row r="84" spans="1:1">
      <c r="A84" s="35" t="s">
        <v>877</v>
      </c>
    </row>
    <row r="85" spans="1:1">
      <c r="A85" s="35" t="s">
        <v>3122</v>
      </c>
    </row>
    <row r="86" spans="1:1">
      <c r="A86" s="35" t="s">
        <v>832</v>
      </c>
    </row>
    <row r="87" spans="1:1">
      <c r="A87" s="35" t="s">
        <v>3123</v>
      </c>
    </row>
    <row r="88" spans="1:1">
      <c r="A88" s="35" t="s">
        <v>3124</v>
      </c>
    </row>
    <row r="89" spans="1:1">
      <c r="A89" s="35" t="s">
        <v>3125</v>
      </c>
    </row>
    <row r="90" spans="1:1">
      <c r="A90" s="35" t="s">
        <v>796</v>
      </c>
    </row>
    <row r="91" spans="1:1">
      <c r="A91" s="35" t="s">
        <v>3126</v>
      </c>
    </row>
    <row r="92" spans="1:1">
      <c r="A92" s="35" t="s">
        <v>3126</v>
      </c>
    </row>
    <row r="93" spans="1:1">
      <c r="A93" s="35" t="s">
        <v>3126</v>
      </c>
    </row>
    <row r="94" spans="1:1">
      <c r="A94" s="35" t="s">
        <v>3126</v>
      </c>
    </row>
    <row r="95" spans="1:1">
      <c r="A95" s="35" t="s">
        <v>3127</v>
      </c>
    </row>
    <row r="96" spans="1:1">
      <c r="A96" s="35" t="s">
        <v>3128</v>
      </c>
    </row>
    <row r="97" spans="1:1">
      <c r="A97" s="35" t="s">
        <v>3126</v>
      </c>
    </row>
    <row r="98" spans="1:1">
      <c r="A98" s="35" t="s">
        <v>3130</v>
      </c>
    </row>
    <row r="99" spans="1:1">
      <c r="A99" t="s">
        <v>3132</v>
      </c>
    </row>
    <row r="100" spans="1:1">
      <c r="A100" t="s">
        <v>3133</v>
      </c>
    </row>
    <row r="101" spans="1:1">
      <c r="A101" t="s">
        <v>3134</v>
      </c>
    </row>
    <row r="102" spans="1:1">
      <c r="A102" t="s">
        <v>3135</v>
      </c>
    </row>
    <row r="103" spans="1:1">
      <c r="A103" t="s">
        <v>3136</v>
      </c>
    </row>
    <row r="104" spans="1:1">
      <c r="A104" t="s">
        <v>3137</v>
      </c>
    </row>
    <row r="107" spans="1:1">
      <c r="A107" s="65" t="s">
        <v>532</v>
      </c>
    </row>
    <row r="108" spans="1:1">
      <c r="A108" s="65" t="s">
        <v>37</v>
      </c>
    </row>
    <row r="109" spans="1:1">
      <c r="A109" s="66" t="s">
        <v>61</v>
      </c>
    </row>
    <row r="110" spans="1:1">
      <c r="A110" s="65" t="s">
        <v>63</v>
      </c>
    </row>
    <row r="111" spans="1:1">
      <c r="A111" s="66" t="s">
        <v>43</v>
      </c>
    </row>
    <row r="112" spans="1:1">
      <c r="A112" s="66" t="s">
        <v>3148</v>
      </c>
    </row>
    <row r="113" spans="1:2">
      <c r="A113" s="65" t="s">
        <v>44</v>
      </c>
    </row>
    <row r="114" spans="1:2">
      <c r="A114" s="66" t="s">
        <v>46</v>
      </c>
    </row>
    <row r="115" spans="1:2">
      <c r="A115" s="65" t="s">
        <v>47</v>
      </c>
    </row>
    <row r="116" spans="1:2">
      <c r="A116" s="65" t="s">
        <v>49</v>
      </c>
    </row>
    <row r="117" spans="1:2">
      <c r="A117" s="65" t="s">
        <v>53</v>
      </c>
    </row>
    <row r="118" spans="1:2">
      <c r="A118" s="65" t="s">
        <v>55</v>
      </c>
    </row>
    <row r="119" spans="1:2">
      <c r="A119" s="67" t="s">
        <v>536</v>
      </c>
    </row>
    <row r="120" spans="1:2">
      <c r="A120" s="67" t="s">
        <v>537</v>
      </c>
    </row>
    <row r="121" spans="1:2">
      <c r="A121" s="65" t="s">
        <v>538</v>
      </c>
    </row>
    <row r="122" spans="1:2">
      <c r="A122" s="65" t="s">
        <v>29</v>
      </c>
    </row>
    <row r="125" spans="1:2" s="107" customFormat="1">
      <c r="A125" s="145">
        <v>46118</v>
      </c>
    </row>
    <row r="126" spans="1:2">
      <c r="A126" t="s">
        <v>3149</v>
      </c>
      <c r="B126">
        <v>0</v>
      </c>
    </row>
    <row r="127" spans="1:2">
      <c r="A127" t="s">
        <v>3150</v>
      </c>
      <c r="B127">
        <v>0</v>
      </c>
    </row>
    <row r="128" spans="1:2">
      <c r="A128" t="s">
        <v>3151</v>
      </c>
      <c r="B128">
        <v>0</v>
      </c>
    </row>
    <row r="129" spans="1:6">
      <c r="A129" t="s">
        <v>3152</v>
      </c>
      <c r="B129">
        <v>0</v>
      </c>
    </row>
    <row r="130" spans="1:6">
      <c r="A130" t="s">
        <v>3153</v>
      </c>
      <c r="B130">
        <v>0</v>
      </c>
    </row>
    <row r="131" spans="1:6">
      <c r="A131" t="s">
        <v>3154</v>
      </c>
      <c r="B131">
        <v>0</v>
      </c>
    </row>
    <row r="132" spans="1:6">
      <c r="A132" t="s">
        <v>3155</v>
      </c>
      <c r="B132">
        <v>0</v>
      </c>
    </row>
    <row r="133" spans="1:6">
      <c r="A133" t="s">
        <v>3156</v>
      </c>
      <c r="B133">
        <v>1</v>
      </c>
      <c r="C133" s="35" t="s">
        <v>3157</v>
      </c>
      <c r="D133" s="35" t="s">
        <v>3158</v>
      </c>
      <c r="E133" s="35" t="s">
        <v>3159</v>
      </c>
      <c r="F133" s="35" t="s">
        <v>3160</v>
      </c>
    </row>
    <row r="134" spans="1:6">
      <c r="A134" t="s">
        <v>3161</v>
      </c>
      <c r="B134">
        <v>1</v>
      </c>
      <c r="C134" s="35" t="s">
        <v>3162</v>
      </c>
    </row>
    <row r="135" spans="1:6">
      <c r="A135" t="s">
        <v>3163</v>
      </c>
      <c r="B135">
        <v>0</v>
      </c>
    </row>
    <row r="136" spans="1:6">
      <c r="A136" t="s">
        <v>3164</v>
      </c>
      <c r="B136">
        <v>1</v>
      </c>
      <c r="C136" t="s">
        <v>1136</v>
      </c>
    </row>
    <row r="137" spans="1:6">
      <c r="A137" t="s">
        <v>3165</v>
      </c>
      <c r="B137">
        <v>0</v>
      </c>
    </row>
    <row r="138" spans="1:6">
      <c r="A138" t="s">
        <v>3166</v>
      </c>
      <c r="B138">
        <v>0</v>
      </c>
    </row>
    <row r="139" spans="1:6">
      <c r="A139" t="s">
        <v>3167</v>
      </c>
      <c r="B139">
        <v>1</v>
      </c>
      <c r="C139" t="s">
        <v>1061</v>
      </c>
      <c r="D139" t="s">
        <v>1056</v>
      </c>
    </row>
    <row r="140" spans="1:6">
      <c r="A140" t="s">
        <v>3168</v>
      </c>
      <c r="B140">
        <v>1</v>
      </c>
      <c r="C140" t="s">
        <v>971</v>
      </c>
    </row>
    <row r="141" spans="1:6">
      <c r="A141" t="s">
        <v>3169</v>
      </c>
      <c r="B141">
        <v>0</v>
      </c>
    </row>
    <row r="142" spans="1:6">
      <c r="A142" t="s">
        <v>3170</v>
      </c>
      <c r="B142">
        <v>1</v>
      </c>
      <c r="C142" t="s">
        <v>3171</v>
      </c>
      <c r="D142" t="s">
        <v>1246</v>
      </c>
    </row>
    <row r="143" spans="1:6">
      <c r="A143" s="35" t="s">
        <v>3172</v>
      </c>
      <c r="B143">
        <v>1</v>
      </c>
      <c r="C143" t="s">
        <v>981</v>
      </c>
      <c r="D143" t="s">
        <v>1052</v>
      </c>
    </row>
    <row r="144" spans="1:6">
      <c r="A144" t="s">
        <v>3173</v>
      </c>
      <c r="B144">
        <v>0</v>
      </c>
    </row>
    <row r="145" spans="1:15">
      <c r="A145" t="s">
        <v>3174</v>
      </c>
      <c r="B145">
        <v>1</v>
      </c>
      <c r="C145" t="s">
        <v>986</v>
      </c>
    </row>
    <row r="146" spans="1:15">
      <c r="A146" t="s">
        <v>3175</v>
      </c>
      <c r="B146">
        <v>1</v>
      </c>
      <c r="C146" t="s">
        <v>991</v>
      </c>
      <c r="D146" t="s">
        <v>1071</v>
      </c>
    </row>
    <row r="147" spans="1:15">
      <c r="A147" t="s">
        <v>3176</v>
      </c>
      <c r="B147">
        <v>1</v>
      </c>
      <c r="C147" t="s">
        <v>996</v>
      </c>
      <c r="D147" t="s">
        <v>1076</v>
      </c>
    </row>
    <row r="148" spans="1:15">
      <c r="A148" t="s">
        <v>3177</v>
      </c>
      <c r="B148">
        <v>1</v>
      </c>
      <c r="C148" t="s">
        <v>1001</v>
      </c>
    </row>
    <row r="149" spans="1:15">
      <c r="A149" t="s">
        <v>162</v>
      </c>
      <c r="B149">
        <v>0</v>
      </c>
    </row>
    <row r="150" spans="1:15">
      <c r="A150" t="s">
        <v>166</v>
      </c>
      <c r="B150">
        <v>1</v>
      </c>
      <c r="C150" t="s">
        <v>1066</v>
      </c>
      <c r="D150" t="s">
        <v>1066</v>
      </c>
    </row>
    <row r="151" spans="1:15">
      <c r="A151" t="s">
        <v>150</v>
      </c>
      <c r="B151">
        <v>1</v>
      </c>
      <c r="C151" t="s">
        <v>1011</v>
      </c>
      <c r="D151" t="s">
        <v>1081</v>
      </c>
      <c r="E151" t="s">
        <v>1116</v>
      </c>
      <c r="F151" t="s">
        <v>1146</v>
      </c>
      <c r="G151" t="s">
        <v>1171</v>
      </c>
      <c r="H151" t="s">
        <v>1196</v>
      </c>
      <c r="I151" t="s">
        <v>1211</v>
      </c>
      <c r="J151" t="s">
        <v>1221</v>
      </c>
      <c r="K151" t="s">
        <v>1231</v>
      </c>
      <c r="L151" t="s">
        <v>1131</v>
      </c>
      <c r="M151" t="s">
        <v>1047</v>
      </c>
      <c r="N151" t="s">
        <v>1261</v>
      </c>
      <c r="O151" t="s">
        <v>1106</v>
      </c>
    </row>
    <row r="152" spans="1:15">
      <c r="A152" t="s">
        <v>3178</v>
      </c>
      <c r="B152">
        <v>0</v>
      </c>
    </row>
    <row r="153" spans="1:15">
      <c r="A153" t="s">
        <v>3179</v>
      </c>
      <c r="B153">
        <v>0</v>
      </c>
    </row>
    <row r="154" spans="1:15">
      <c r="A154" t="s">
        <v>106</v>
      </c>
      <c r="B154">
        <v>1</v>
      </c>
      <c r="C154" t="s">
        <v>1027</v>
      </c>
      <c r="D154" t="s">
        <v>1251</v>
      </c>
      <c r="E154" t="s">
        <v>1206</v>
      </c>
      <c r="F154" t="s">
        <v>1151</v>
      </c>
    </row>
    <row r="155" spans="1:15">
      <c r="A155" t="s">
        <v>112</v>
      </c>
      <c r="B155">
        <v>0</v>
      </c>
    </row>
    <row r="156" spans="1:15">
      <c r="A156" t="s">
        <v>117</v>
      </c>
      <c r="B156">
        <v>1</v>
      </c>
      <c r="C156" t="s">
        <v>1022</v>
      </c>
      <c r="D156" t="s">
        <v>966</v>
      </c>
    </row>
    <row r="157" spans="1:15">
      <c r="A157" t="s">
        <v>3180</v>
      </c>
      <c r="B157">
        <v>1</v>
      </c>
      <c r="C157" t="s">
        <v>1181</v>
      </c>
      <c r="D157" t="s">
        <v>1096</v>
      </c>
      <c r="E157" t="s">
        <v>1121</v>
      </c>
      <c r="F157" t="s">
        <v>1161</v>
      </c>
      <c r="G157" t="s">
        <v>1176</v>
      </c>
      <c r="I157" t="s">
        <v>3181</v>
      </c>
      <c r="J157" t="s">
        <v>1226</v>
      </c>
      <c r="K157" t="s">
        <v>1236</v>
      </c>
      <c r="L157" t="s">
        <v>1091</v>
      </c>
      <c r="M157" t="s">
        <v>1216</v>
      </c>
    </row>
    <row r="158" spans="1:15">
      <c r="A158" t="s">
        <v>140</v>
      </c>
      <c r="B158">
        <v>1</v>
      </c>
      <c r="C158" t="s">
        <v>1032</v>
      </c>
      <c r="D158" t="s">
        <v>1101</v>
      </c>
      <c r="E158" t="s">
        <v>1126</v>
      </c>
      <c r="F158" t="s">
        <v>3182</v>
      </c>
      <c r="G158" t="s">
        <v>3183</v>
      </c>
    </row>
    <row r="159" spans="1:15">
      <c r="A159" t="s">
        <v>179</v>
      </c>
      <c r="B159">
        <v>1</v>
      </c>
    </row>
    <row r="160" spans="1:15">
      <c r="A160" t="s">
        <v>194</v>
      </c>
      <c r="B160">
        <v>1</v>
      </c>
      <c r="C160" t="s">
        <v>1006</v>
      </c>
    </row>
    <row r="161" spans="1:13">
      <c r="A161" t="s">
        <v>196</v>
      </c>
      <c r="B161">
        <v>1</v>
      </c>
      <c r="C161" t="s">
        <v>1042</v>
      </c>
      <c r="D161" t="s">
        <v>1037</v>
      </c>
      <c r="E161" t="s">
        <v>1266</v>
      </c>
      <c r="F161" t="s">
        <v>1186</v>
      </c>
      <c r="G161" t="s">
        <v>1017</v>
      </c>
      <c r="H161" t="s">
        <v>1201</v>
      </c>
      <c r="I161" t="s">
        <v>955</v>
      </c>
    </row>
    <row r="162" spans="1:13">
      <c r="A162" t="s">
        <v>146</v>
      </c>
      <c r="B162">
        <v>1</v>
      </c>
      <c r="C162" t="s">
        <v>1086</v>
      </c>
      <c r="D162" t="s">
        <v>1111</v>
      </c>
      <c r="E162" t="s">
        <v>1256</v>
      </c>
      <c r="F162" t="s">
        <v>1166</v>
      </c>
      <c r="G162" t="s">
        <v>1191</v>
      </c>
      <c r="H162" t="s">
        <v>976</v>
      </c>
    </row>
    <row r="163" spans="1:13">
      <c r="A163" t="s">
        <v>175</v>
      </c>
    </row>
    <row r="164" spans="1:13">
      <c r="A164" t="s">
        <v>173</v>
      </c>
    </row>
    <row r="166" spans="1:13" s="107" customFormat="1">
      <c r="A166" s="145">
        <v>46123</v>
      </c>
    </row>
    <row r="167" spans="1:13">
      <c r="A167" t="s">
        <v>3184</v>
      </c>
      <c r="B167">
        <v>0</v>
      </c>
    </row>
    <row r="168" spans="1:13">
      <c r="A168" t="s">
        <v>3185</v>
      </c>
      <c r="B168">
        <v>1</v>
      </c>
      <c r="C168" t="s">
        <v>1563</v>
      </c>
    </row>
    <row r="169" spans="1:13">
      <c r="A169" t="s">
        <v>3186</v>
      </c>
      <c r="B169">
        <v>0</v>
      </c>
    </row>
    <row r="170" spans="1:13">
      <c r="A170" t="s">
        <v>106</v>
      </c>
      <c r="B170">
        <v>1</v>
      </c>
      <c r="C170" t="s">
        <v>1513</v>
      </c>
      <c r="D170" t="s">
        <v>1458</v>
      </c>
      <c r="E170" t="s">
        <v>1548</v>
      </c>
      <c r="F170" t="s">
        <v>1533</v>
      </c>
      <c r="G170" t="s">
        <v>1543</v>
      </c>
    </row>
    <row r="171" spans="1:13">
      <c r="A171" t="s">
        <v>112</v>
      </c>
      <c r="B171">
        <v>0</v>
      </c>
    </row>
    <row r="172" spans="1:13">
      <c r="A172" t="s">
        <v>117</v>
      </c>
      <c r="B172">
        <v>0</v>
      </c>
    </row>
    <row r="173" spans="1:13">
      <c r="A173" t="s">
        <v>3187</v>
      </c>
      <c r="B173">
        <v>1</v>
      </c>
      <c r="C173" t="s">
        <v>1483</v>
      </c>
    </row>
    <row r="174" spans="1:13">
      <c r="A174" t="s">
        <v>3188</v>
      </c>
      <c r="B174">
        <v>1</v>
      </c>
      <c r="C174" t="s">
        <v>1568</v>
      </c>
      <c r="D174" t="s">
        <v>1493</v>
      </c>
    </row>
    <row r="175" spans="1:13">
      <c r="A175" t="s">
        <v>3189</v>
      </c>
      <c r="B175">
        <v>1</v>
      </c>
      <c r="C175" t="s">
        <v>1573</v>
      </c>
      <c r="D175" t="s">
        <v>3190</v>
      </c>
      <c r="E175" t="s">
        <v>1578</v>
      </c>
      <c r="F175" t="s">
        <v>3191</v>
      </c>
      <c r="G175" t="s">
        <v>1643</v>
      </c>
      <c r="H175" t="s">
        <v>1488</v>
      </c>
      <c r="I175" t="s">
        <v>1418</v>
      </c>
      <c r="J175" t="s">
        <v>1593</v>
      </c>
      <c r="K175" t="s">
        <v>1588</v>
      </c>
      <c r="L175" t="s">
        <v>3192</v>
      </c>
      <c r="M175" t="s">
        <v>1613</v>
      </c>
    </row>
    <row r="176" spans="1:13">
      <c r="A176" t="s">
        <v>140</v>
      </c>
      <c r="B176">
        <v>1</v>
      </c>
      <c r="C176" t="s">
        <v>1032</v>
      </c>
      <c r="D176" t="s">
        <v>3193</v>
      </c>
    </row>
    <row r="177" spans="1:13">
      <c r="A177" t="s">
        <v>146</v>
      </c>
    </row>
    <row r="178" spans="1:13">
      <c r="A178" t="s">
        <v>150</v>
      </c>
      <c r="B178">
        <v>1</v>
      </c>
      <c r="C178" t="s">
        <v>1553</v>
      </c>
      <c r="D178" t="s">
        <v>1523</v>
      </c>
      <c r="E178" t="s">
        <v>1423</v>
      </c>
      <c r="F178" t="s">
        <v>1623</v>
      </c>
      <c r="G178" t="s">
        <v>1633</v>
      </c>
      <c r="H178" t="s">
        <v>1648</v>
      </c>
      <c r="I178" t="s">
        <v>1528</v>
      </c>
      <c r="J178" t="s">
        <v>1603</v>
      </c>
      <c r="K178" t="s">
        <v>1618</v>
      </c>
      <c r="L178" t="s">
        <v>1011</v>
      </c>
      <c r="M178" t="s">
        <v>1638</v>
      </c>
    </row>
    <row r="179" spans="1:13">
      <c r="A179" t="s">
        <v>3194</v>
      </c>
      <c r="B179">
        <v>0</v>
      </c>
    </row>
    <row r="180" spans="1:13">
      <c r="A180" t="s">
        <v>162</v>
      </c>
      <c r="B180">
        <v>0</v>
      </c>
    </row>
    <row r="181" spans="1:13">
      <c r="A181" t="s">
        <v>166</v>
      </c>
      <c r="B181">
        <v>0</v>
      </c>
    </row>
    <row r="182" spans="1:13">
      <c r="A182" t="s">
        <v>194</v>
      </c>
      <c r="B182">
        <v>1</v>
      </c>
      <c r="C182" t="s">
        <v>1408</v>
      </c>
    </row>
    <row r="183" spans="1:13">
      <c r="A183" t="s">
        <v>196</v>
      </c>
      <c r="B183">
        <v>1</v>
      </c>
      <c r="C183" t="s">
        <v>1443</v>
      </c>
      <c r="D183" t="s">
        <v>1438</v>
      </c>
    </row>
    <row r="184" spans="1:13">
      <c r="A184" t="s">
        <v>3179</v>
      </c>
      <c r="B184">
        <v>0</v>
      </c>
    </row>
    <row r="185" spans="1:13">
      <c r="A185" t="s">
        <v>3195</v>
      </c>
      <c r="B185">
        <v>0</v>
      </c>
    </row>
    <row r="186" spans="1:13">
      <c r="A186" t="s">
        <v>3196</v>
      </c>
      <c r="B186">
        <v>0</v>
      </c>
    </row>
    <row r="187" spans="1:13">
      <c r="A187" t="s">
        <v>3197</v>
      </c>
      <c r="B187">
        <v>0</v>
      </c>
    </row>
    <row r="188" spans="1:13">
      <c r="A188" t="s">
        <v>3198</v>
      </c>
      <c r="B188">
        <v>0</v>
      </c>
    </row>
    <row r="189" spans="1:13">
      <c r="A189" t="s">
        <v>3199</v>
      </c>
      <c r="B189">
        <v>0</v>
      </c>
    </row>
    <row r="190" spans="1:13">
      <c r="A190" t="s">
        <v>3200</v>
      </c>
      <c r="B190">
        <v>0</v>
      </c>
    </row>
    <row r="191" spans="1:13">
      <c r="A191" t="s">
        <v>3201</v>
      </c>
      <c r="B191">
        <v>1</v>
      </c>
      <c r="C191" t="s">
        <v>1453</v>
      </c>
    </row>
    <row r="192" spans="1:13">
      <c r="A192" t="s">
        <v>3202</v>
      </c>
      <c r="B192">
        <v>1</v>
      </c>
      <c r="C192" t="s">
        <v>1508</v>
      </c>
      <c r="D192" t="s">
        <v>1498</v>
      </c>
    </row>
    <row r="193" spans="1:6">
      <c r="A193" t="s">
        <v>3203</v>
      </c>
      <c r="B193">
        <v>1</v>
      </c>
      <c r="C193" t="s">
        <v>1608</v>
      </c>
      <c r="D193" t="s">
        <v>1503</v>
      </c>
    </row>
    <row r="194" spans="1:6">
      <c r="A194" t="s">
        <v>3204</v>
      </c>
      <c r="B194">
        <v>1</v>
      </c>
      <c r="C194" t="s">
        <v>1538</v>
      </c>
    </row>
    <row r="195" spans="1:6">
      <c r="A195" t="s">
        <v>3205</v>
      </c>
      <c r="B195">
        <v>0</v>
      </c>
    </row>
    <row r="196" spans="1:6">
      <c r="A196" t="s">
        <v>3206</v>
      </c>
      <c r="B196">
        <v>1</v>
      </c>
      <c r="C196" t="s">
        <v>1413</v>
      </c>
      <c r="D196" t="s">
        <v>1478</v>
      </c>
    </row>
    <row r="197" spans="1:6">
      <c r="A197" t="s">
        <v>3207</v>
      </c>
      <c r="B197">
        <v>1</v>
      </c>
      <c r="C197" t="s">
        <v>1598</v>
      </c>
    </row>
    <row r="198" spans="1:6">
      <c r="A198" t="s">
        <v>3208</v>
      </c>
      <c r="B198">
        <v>0</v>
      </c>
    </row>
    <row r="199" spans="1:6">
      <c r="A199" t="s">
        <v>3209</v>
      </c>
      <c r="B199">
        <v>0</v>
      </c>
    </row>
    <row r="200" spans="1:6">
      <c r="A200" t="s">
        <v>3210</v>
      </c>
      <c r="B200">
        <v>1</v>
      </c>
      <c r="C200" t="s">
        <v>1448</v>
      </c>
    </row>
    <row r="201" spans="1:6">
      <c r="A201" t="s">
        <v>3211</v>
      </c>
      <c r="B201">
        <v>1</v>
      </c>
      <c r="C201" t="s">
        <v>1468</v>
      </c>
      <c r="D201" t="s">
        <v>1558</v>
      </c>
      <c r="E201" t="s">
        <v>1628</v>
      </c>
      <c r="F201" t="s">
        <v>1473</v>
      </c>
    </row>
    <row r="202" spans="1:6">
      <c r="A202" t="s">
        <v>3212</v>
      </c>
      <c r="B202">
        <v>1</v>
      </c>
      <c r="C202" t="s">
        <v>1518</v>
      </c>
      <c r="D202" t="s">
        <v>1428</v>
      </c>
      <c r="E202" t="s">
        <v>1583</v>
      </c>
    </row>
    <row r="204" spans="1:6">
      <c r="A204" t="s">
        <v>1563</v>
      </c>
    </row>
    <row r="205" spans="1:6">
      <c r="A205" t="s">
        <v>1513</v>
      </c>
    </row>
    <row r="206" spans="1:6">
      <c r="A206" t="s">
        <v>1483</v>
      </c>
    </row>
    <row r="207" spans="1:6">
      <c r="A207" t="s">
        <v>1568</v>
      </c>
    </row>
    <row r="208" spans="1:6">
      <c r="A208" t="s">
        <v>1573</v>
      </c>
    </row>
    <row r="209" spans="1:1">
      <c r="A209" t="s">
        <v>1032</v>
      </c>
    </row>
    <row r="210" spans="1:1">
      <c r="A210" t="s">
        <v>1553</v>
      </c>
    </row>
    <row r="211" spans="1:1">
      <c r="A211" t="s">
        <v>1408</v>
      </c>
    </row>
    <row r="212" spans="1:1">
      <c r="A212" t="s">
        <v>1443</v>
      </c>
    </row>
    <row r="213" spans="1:1">
      <c r="A213" t="s">
        <v>1453</v>
      </c>
    </row>
    <row r="214" spans="1:1">
      <c r="A214" t="s">
        <v>1508</v>
      </c>
    </row>
    <row r="215" spans="1:1">
      <c r="A215" t="s">
        <v>1608</v>
      </c>
    </row>
    <row r="216" spans="1:1">
      <c r="A216" t="s">
        <v>1538</v>
      </c>
    </row>
    <row r="217" spans="1:1">
      <c r="A217" t="s">
        <v>1413</v>
      </c>
    </row>
    <row r="218" spans="1:1">
      <c r="A218" t="s">
        <v>1598</v>
      </c>
    </row>
    <row r="219" spans="1:1">
      <c r="A219" t="s">
        <v>1448</v>
      </c>
    </row>
    <row r="220" spans="1:1">
      <c r="A220" t="s">
        <v>1468</v>
      </c>
    </row>
    <row r="221" spans="1:1">
      <c r="A221" t="s">
        <v>1518</v>
      </c>
    </row>
    <row r="222" spans="1:1">
      <c r="A222" t="s">
        <v>1458</v>
      </c>
    </row>
    <row r="223" spans="1:1">
      <c r="A223" t="s">
        <v>1493</v>
      </c>
    </row>
    <row r="224" spans="1:1">
      <c r="A224" t="s">
        <v>3190</v>
      </c>
    </row>
    <row r="225" spans="1:1">
      <c r="A225" t="s">
        <v>3193</v>
      </c>
    </row>
    <row r="226" spans="1:1">
      <c r="A226" t="s">
        <v>1523</v>
      </c>
    </row>
    <row r="227" spans="1:1">
      <c r="A227" t="s">
        <v>1438</v>
      </c>
    </row>
    <row r="228" spans="1:1">
      <c r="A228" t="s">
        <v>1498</v>
      </c>
    </row>
    <row r="229" spans="1:1">
      <c r="A229" t="s">
        <v>1503</v>
      </c>
    </row>
    <row r="230" spans="1:1">
      <c r="A230" t="s">
        <v>1478</v>
      </c>
    </row>
    <row r="231" spans="1:1">
      <c r="A231" t="s">
        <v>1558</v>
      </c>
    </row>
    <row r="232" spans="1:1">
      <c r="A232" t="s">
        <v>1428</v>
      </c>
    </row>
    <row r="233" spans="1:1">
      <c r="A233" t="s">
        <v>1548</v>
      </c>
    </row>
    <row r="234" spans="1:1">
      <c r="A234" t="s">
        <v>1578</v>
      </c>
    </row>
    <row r="235" spans="1:1">
      <c r="A235" t="s">
        <v>1423</v>
      </c>
    </row>
    <row r="236" spans="1:1">
      <c r="A236" t="s">
        <v>1628</v>
      </c>
    </row>
    <row r="237" spans="1:1">
      <c r="A237" t="s">
        <v>1583</v>
      </c>
    </row>
    <row r="238" spans="1:1">
      <c r="A238" t="s">
        <v>1533</v>
      </c>
    </row>
    <row r="239" spans="1:1">
      <c r="A239" t="s">
        <v>3191</v>
      </c>
    </row>
    <row r="240" spans="1:1">
      <c r="A240" t="s">
        <v>1623</v>
      </c>
    </row>
    <row r="241" spans="1:1">
      <c r="A241" t="s">
        <v>1473</v>
      </c>
    </row>
    <row r="242" spans="1:1">
      <c r="A242" t="s">
        <v>1543</v>
      </c>
    </row>
    <row r="243" spans="1:1">
      <c r="A243" t="s">
        <v>1643</v>
      </c>
    </row>
    <row r="244" spans="1:1">
      <c r="A244" t="s">
        <v>1633</v>
      </c>
    </row>
    <row r="245" spans="1:1">
      <c r="A245" t="s">
        <v>1488</v>
      </c>
    </row>
    <row r="246" spans="1:1">
      <c r="A246" t="s">
        <v>1648</v>
      </c>
    </row>
    <row r="247" spans="1:1">
      <c r="A247" t="s">
        <v>1418</v>
      </c>
    </row>
    <row r="248" spans="1:1">
      <c r="A248" t="s">
        <v>1528</v>
      </c>
    </row>
    <row r="249" spans="1:1">
      <c r="A249" t="s">
        <v>1593</v>
      </c>
    </row>
    <row r="250" spans="1:1">
      <c r="A250" t="s">
        <v>1603</v>
      </c>
    </row>
    <row r="251" spans="1:1">
      <c r="A251" t="s">
        <v>1588</v>
      </c>
    </row>
    <row r="252" spans="1:1">
      <c r="A252" t="s">
        <v>1618</v>
      </c>
    </row>
    <row r="253" spans="1:1">
      <c r="A253" t="s">
        <v>3192</v>
      </c>
    </row>
    <row r="254" spans="1:1">
      <c r="A254" t="s">
        <v>1011</v>
      </c>
    </row>
    <row r="255" spans="1:1">
      <c r="A255" t="s">
        <v>1613</v>
      </c>
    </row>
    <row r="256" spans="1:1">
      <c r="A256" t="s">
        <v>1638</v>
      </c>
    </row>
    <row r="258" spans="1:21" s="107" customFormat="1">
      <c r="A258" s="107" t="s">
        <v>3213</v>
      </c>
    </row>
    <row r="260" spans="1:21">
      <c r="A260" t="s">
        <v>3214</v>
      </c>
      <c r="B260">
        <v>1</v>
      </c>
      <c r="C260" s="35" t="s">
        <v>2319</v>
      </c>
      <c r="D260" s="35" t="s">
        <v>1943</v>
      </c>
    </row>
    <row r="261" spans="1:21">
      <c r="A261" t="s">
        <v>3215</v>
      </c>
      <c r="B261">
        <v>1</v>
      </c>
      <c r="C261" s="35" t="s">
        <v>1954</v>
      </c>
      <c r="D261" s="35" t="s">
        <v>2297</v>
      </c>
      <c r="E261" s="35" t="s">
        <v>2240</v>
      </c>
    </row>
    <row r="262" spans="1:21">
      <c r="A262" t="s">
        <v>3216</v>
      </c>
      <c r="B262">
        <v>0</v>
      </c>
    </row>
    <row r="263" spans="1:21">
      <c r="A263" t="s">
        <v>106</v>
      </c>
      <c r="B263">
        <v>1</v>
      </c>
      <c r="C263" s="35" t="s">
        <v>2265</v>
      </c>
      <c r="D263" s="35" t="s">
        <v>2271</v>
      </c>
      <c r="E263" s="35" t="s">
        <v>2187</v>
      </c>
      <c r="F263" s="35" t="s">
        <v>1933</v>
      </c>
      <c r="G263" s="35" t="s">
        <v>1985</v>
      </c>
    </row>
    <row r="264" spans="1:21">
      <c r="A264" t="s">
        <v>112</v>
      </c>
      <c r="B264">
        <v>1</v>
      </c>
      <c r="C264" s="35" t="s">
        <v>2126</v>
      </c>
      <c r="D264" s="35" t="s">
        <v>2260</v>
      </c>
    </row>
    <row r="265" spans="1:21">
      <c r="A265" t="s">
        <v>117</v>
      </c>
      <c r="B265">
        <v>1</v>
      </c>
      <c r="C265" s="35" t="s">
        <v>2172</v>
      </c>
      <c r="D265" s="35" t="s">
        <v>2209</v>
      </c>
    </row>
    <row r="266" spans="1:21">
      <c r="A266" t="s">
        <v>3217</v>
      </c>
      <c r="B266">
        <v>1</v>
      </c>
      <c r="C266" s="35" t="s">
        <v>2287</v>
      </c>
      <c r="D266" s="35" t="s">
        <v>2001</v>
      </c>
      <c r="E266" s="35" t="s">
        <v>2079</v>
      </c>
      <c r="F266" s="35" t="s">
        <v>1922</v>
      </c>
      <c r="G266" s="35" t="s">
        <v>2010</v>
      </c>
      <c r="H266" s="35" t="s">
        <v>2177</v>
      </c>
      <c r="I266" s="35" t="s">
        <v>2116</v>
      </c>
      <c r="J266" s="35" t="s">
        <v>2314</v>
      </c>
    </row>
    <row r="267" spans="1:21">
      <c r="A267" t="s">
        <v>3218</v>
      </c>
      <c r="B267">
        <v>1</v>
      </c>
      <c r="C267" s="35" t="s">
        <v>2250</v>
      </c>
    </row>
    <row r="268" spans="1:21">
      <c r="A268" t="s">
        <v>3219</v>
      </c>
      <c r="B268">
        <v>1</v>
      </c>
      <c r="C268" s="35" t="s">
        <v>2224</v>
      </c>
      <c r="D268" s="35" t="s">
        <v>1926</v>
      </c>
      <c r="E268" s="35" t="s">
        <v>2309</v>
      </c>
      <c r="F268" s="35" t="s">
        <v>3220</v>
      </c>
      <c r="G268" s="35" t="s">
        <v>2219</v>
      </c>
      <c r="H268" s="35" t="s">
        <v>2073</v>
      </c>
      <c r="I268" s="35" t="s">
        <v>2167</v>
      </c>
      <c r="J268" s="35" t="s">
        <v>2084</v>
      </c>
    </row>
    <row r="269" spans="1:21">
      <c r="A269" t="s">
        <v>140</v>
      </c>
      <c r="B269">
        <v>1</v>
      </c>
      <c r="C269" s="35" t="s">
        <v>3221</v>
      </c>
      <c r="D269" s="35" t="s">
        <v>3222</v>
      </c>
      <c r="E269" s="35" t="s">
        <v>3223</v>
      </c>
      <c r="F269" s="35" t="s">
        <v>3224</v>
      </c>
    </row>
    <row r="270" spans="1:21">
      <c r="A270" t="s">
        <v>146</v>
      </c>
      <c r="B270">
        <v>1</v>
      </c>
      <c r="C270" s="35" t="s">
        <v>2136</v>
      </c>
      <c r="D270" s="35" t="s">
        <v>2235</v>
      </c>
      <c r="E270" s="35" t="s">
        <v>2203</v>
      </c>
      <c r="F270" s="35" t="s">
        <v>2032</v>
      </c>
    </row>
    <row r="271" spans="1:21">
      <c r="A271" t="s">
        <v>150</v>
      </c>
      <c r="B271">
        <v>1</v>
      </c>
      <c r="C271" s="35" t="s">
        <v>2068</v>
      </c>
      <c r="D271" s="35" t="s">
        <v>1979</v>
      </c>
      <c r="E271" s="35" t="s">
        <v>2292</v>
      </c>
      <c r="F271" s="35" t="s">
        <v>2146</v>
      </c>
      <c r="G271" s="35" t="s">
        <v>1974</v>
      </c>
      <c r="H271" s="35" t="s">
        <v>2329</v>
      </c>
      <c r="I271" s="35" t="s">
        <v>2021</v>
      </c>
      <c r="J271" s="35" t="s">
        <v>2058</v>
      </c>
      <c r="K271" s="35" t="s">
        <v>2105</v>
      </c>
      <c r="L271" s="35" t="s">
        <v>3225</v>
      </c>
      <c r="M271" s="35" t="s">
        <v>3226</v>
      </c>
      <c r="N271" s="35" t="s">
        <v>2276</v>
      </c>
      <c r="O271" s="35" t="s">
        <v>2340</v>
      </c>
      <c r="P271" s="35" t="s">
        <v>2255</v>
      </c>
      <c r="Q271" s="35" t="s">
        <v>2335</v>
      </c>
      <c r="R271" s="35" t="s">
        <v>3227</v>
      </c>
      <c r="S271" s="35" t="s">
        <v>3228</v>
      </c>
      <c r="T271" s="35" t="s">
        <v>2346</v>
      </c>
      <c r="U271" s="35" t="s">
        <v>3229</v>
      </c>
    </row>
    <row r="272" spans="1:21">
      <c r="A272" t="s">
        <v>3230</v>
      </c>
      <c r="B272">
        <v>0</v>
      </c>
    </row>
    <row r="273" spans="1:10">
      <c r="A273" t="s">
        <v>162</v>
      </c>
      <c r="B273">
        <v>0</v>
      </c>
    </row>
    <row r="274" spans="1:10">
      <c r="A274" t="s">
        <v>166</v>
      </c>
      <c r="B274">
        <v>0</v>
      </c>
    </row>
    <row r="275" spans="1:10">
      <c r="A275" t="s">
        <v>194</v>
      </c>
      <c r="B275">
        <v>1</v>
      </c>
      <c r="C275" s="35" t="s">
        <v>3231</v>
      </c>
      <c r="D275" s="35" t="s">
        <v>2245</v>
      </c>
    </row>
    <row r="276" spans="1:10">
      <c r="A276" t="s">
        <v>196</v>
      </c>
      <c r="B276">
        <v>1</v>
      </c>
      <c r="C276" s="35" t="s">
        <v>1964</v>
      </c>
      <c r="D276" s="35" t="s">
        <v>2324</v>
      </c>
      <c r="E276" s="35" t="s">
        <v>1991</v>
      </c>
      <c r="F276" s="35" t="s">
        <v>2027</v>
      </c>
      <c r="G276" s="35" t="s">
        <v>2230</v>
      </c>
      <c r="H276" s="35" t="s">
        <v>2005</v>
      </c>
      <c r="I276" s="35" t="s">
        <v>3232</v>
      </c>
      <c r="J276" s="35" t="s">
        <v>2121</v>
      </c>
    </row>
    <row r="277" spans="1:10">
      <c r="A277" t="s">
        <v>3179</v>
      </c>
      <c r="B277">
        <v>1</v>
      </c>
      <c r="C277" s="35" t="s">
        <v>2047</v>
      </c>
    </row>
    <row r="278" spans="1:10">
      <c r="A278" t="s">
        <v>199</v>
      </c>
      <c r="B278">
        <v>1</v>
      </c>
      <c r="C278" s="35" t="s">
        <v>3233</v>
      </c>
    </row>
    <row r="279" spans="1:10">
      <c r="A279" t="s">
        <v>3234</v>
      </c>
      <c r="B279">
        <v>0</v>
      </c>
    </row>
    <row r="280" spans="1:10">
      <c r="A280" t="s">
        <v>3235</v>
      </c>
      <c r="B280">
        <v>0</v>
      </c>
    </row>
    <row r="281" spans="1:10">
      <c r="A281" t="s">
        <v>3236</v>
      </c>
      <c r="B281">
        <v>0</v>
      </c>
    </row>
    <row r="282" spans="1:10">
      <c r="A282" t="s">
        <v>3237</v>
      </c>
      <c r="B282">
        <v>0</v>
      </c>
    </row>
    <row r="283" spans="1:10">
      <c r="A283" t="s">
        <v>3238</v>
      </c>
      <c r="B283">
        <v>0</v>
      </c>
    </row>
    <row r="284" spans="1:10">
      <c r="A284" t="s">
        <v>3239</v>
      </c>
      <c r="B284">
        <v>0</v>
      </c>
    </row>
    <row r="285" spans="1:10">
      <c r="A285" t="s">
        <v>3240</v>
      </c>
      <c r="B285">
        <v>1</v>
      </c>
      <c r="C285" s="35" t="s">
        <v>1949</v>
      </c>
    </row>
    <row r="286" spans="1:10">
      <c r="A286" t="s">
        <v>3241</v>
      </c>
      <c r="B286">
        <v>1</v>
      </c>
      <c r="C286" s="35" t="s">
        <v>2094</v>
      </c>
      <c r="D286" s="35" t="s">
        <v>2214</v>
      </c>
    </row>
    <row r="287" spans="1:10">
      <c r="A287" t="s">
        <v>3242</v>
      </c>
      <c r="B287">
        <v>1</v>
      </c>
      <c r="C287" s="35" t="s">
        <v>2156</v>
      </c>
      <c r="D287" s="35" t="s">
        <v>2053</v>
      </c>
      <c r="E287" s="35" t="s">
        <v>2042</v>
      </c>
    </row>
    <row r="288" spans="1:10">
      <c r="A288" t="s">
        <v>3243</v>
      </c>
      <c r="B288">
        <v>1</v>
      </c>
      <c r="C288" s="35" t="s">
        <v>2089</v>
      </c>
    </row>
    <row r="289" spans="1:7">
      <c r="A289" t="s">
        <v>3244</v>
      </c>
      <c r="B289">
        <v>1</v>
      </c>
      <c r="C289" s="35" t="s">
        <v>1996</v>
      </c>
    </row>
    <row r="290" spans="1:7">
      <c r="A290" t="s">
        <v>3245</v>
      </c>
      <c r="B290">
        <v>1</v>
      </c>
      <c r="C290" s="35" t="s">
        <v>2182</v>
      </c>
      <c r="D290" s="35" t="s">
        <v>2063</v>
      </c>
      <c r="E290" s="35" t="s">
        <v>3246</v>
      </c>
      <c r="F290" s="35" t="s">
        <v>2037</v>
      </c>
      <c r="G290" s="35" t="s">
        <v>2151</v>
      </c>
    </row>
    <row r="291" spans="1:7">
      <c r="A291" t="s">
        <v>3247</v>
      </c>
      <c r="B291">
        <v>0</v>
      </c>
    </row>
    <row r="292" spans="1:7">
      <c r="A292" t="s">
        <v>3248</v>
      </c>
      <c r="B292">
        <v>1</v>
      </c>
      <c r="C292" s="35" t="s">
        <v>2161</v>
      </c>
    </row>
    <row r="293" spans="1:7">
      <c r="A293" t="s">
        <v>3249</v>
      </c>
      <c r="B293">
        <v>1</v>
      </c>
      <c r="C293" s="35" t="s">
        <v>2111</v>
      </c>
    </row>
    <row r="294" spans="1:7">
      <c r="A294" t="s">
        <v>3250</v>
      </c>
      <c r="B294">
        <v>1</v>
      </c>
      <c r="C294" s="35" t="s">
        <v>2099</v>
      </c>
      <c r="D294" s="35" t="s">
        <v>2198</v>
      </c>
    </row>
    <row r="295" spans="1:7">
      <c r="A295" t="s">
        <v>3251</v>
      </c>
      <c r="B295">
        <v>1</v>
      </c>
      <c r="C295" s="35" t="s">
        <v>1969</v>
      </c>
    </row>
    <row r="296" spans="1:7">
      <c r="A296" t="s">
        <v>3252</v>
      </c>
      <c r="B296">
        <v>1</v>
      </c>
      <c r="C296" s="35" t="s">
        <v>1959</v>
      </c>
      <c r="D296" s="35" t="s">
        <v>2016</v>
      </c>
      <c r="E296" s="35" t="s">
        <v>2131</v>
      </c>
    </row>
    <row r="299" spans="1:7">
      <c r="A299" s="35" t="s">
        <v>2319</v>
      </c>
    </row>
    <row r="300" spans="1:7">
      <c r="A300" s="35" t="s">
        <v>1954</v>
      </c>
    </row>
    <row r="301" spans="1:7">
      <c r="A301" s="35" t="s">
        <v>2265</v>
      </c>
    </row>
    <row r="302" spans="1:7">
      <c r="A302" s="35" t="s">
        <v>2126</v>
      </c>
    </row>
    <row r="303" spans="1:7">
      <c r="A303" s="35" t="s">
        <v>2172</v>
      </c>
    </row>
    <row r="304" spans="1:7">
      <c r="A304" s="35" t="s">
        <v>2287</v>
      </c>
    </row>
    <row r="305" spans="1:1">
      <c r="A305" s="35" t="s">
        <v>2250</v>
      </c>
    </row>
    <row r="306" spans="1:1">
      <c r="A306" s="35" t="s">
        <v>2224</v>
      </c>
    </row>
    <row r="307" spans="1:1">
      <c r="A307" s="35" t="s">
        <v>3221</v>
      </c>
    </row>
    <row r="308" spans="1:1">
      <c r="A308" s="35" t="s">
        <v>2136</v>
      </c>
    </row>
    <row r="309" spans="1:1">
      <c r="A309" s="35" t="s">
        <v>2068</v>
      </c>
    </row>
    <row r="310" spans="1:1">
      <c r="A310" s="35" t="s">
        <v>3231</v>
      </c>
    </row>
    <row r="311" spans="1:1">
      <c r="A311" s="35" t="s">
        <v>1964</v>
      </c>
    </row>
    <row r="312" spans="1:1">
      <c r="A312" s="35" t="s">
        <v>2047</v>
      </c>
    </row>
    <row r="313" spans="1:1">
      <c r="A313" s="35" t="s">
        <v>3233</v>
      </c>
    </row>
    <row r="314" spans="1:1">
      <c r="A314" s="35" t="s">
        <v>1949</v>
      </c>
    </row>
    <row r="315" spans="1:1">
      <c r="A315" s="35" t="s">
        <v>2094</v>
      </c>
    </row>
    <row r="316" spans="1:1">
      <c r="A316" s="35" t="s">
        <v>2156</v>
      </c>
    </row>
    <row r="317" spans="1:1">
      <c r="A317" s="35" t="s">
        <v>2089</v>
      </c>
    </row>
    <row r="318" spans="1:1">
      <c r="A318" s="35" t="s">
        <v>1996</v>
      </c>
    </row>
    <row r="319" spans="1:1">
      <c r="A319" s="35" t="s">
        <v>2182</v>
      </c>
    </row>
    <row r="320" spans="1:1">
      <c r="A320" s="35" t="s">
        <v>2161</v>
      </c>
    </row>
    <row r="321" spans="1:1">
      <c r="A321" s="35" t="s">
        <v>2111</v>
      </c>
    </row>
    <row r="322" spans="1:1">
      <c r="A322" s="35" t="s">
        <v>2099</v>
      </c>
    </row>
    <row r="323" spans="1:1">
      <c r="A323" s="35" t="s">
        <v>1969</v>
      </c>
    </row>
    <row r="324" spans="1:1">
      <c r="A324" s="35" t="s">
        <v>1959</v>
      </c>
    </row>
    <row r="325" spans="1:1">
      <c r="A325" s="35" t="s">
        <v>1943</v>
      </c>
    </row>
    <row r="326" spans="1:1">
      <c r="A326" s="35" t="s">
        <v>2297</v>
      </c>
    </row>
    <row r="327" spans="1:1">
      <c r="A327" s="35" t="s">
        <v>2271</v>
      </c>
    </row>
    <row r="328" spans="1:1">
      <c r="A328" s="35" t="s">
        <v>2260</v>
      </c>
    </row>
    <row r="329" spans="1:1">
      <c r="A329" s="35" t="s">
        <v>2209</v>
      </c>
    </row>
    <row r="330" spans="1:1">
      <c r="A330" s="35" t="s">
        <v>2001</v>
      </c>
    </row>
    <row r="331" spans="1:1">
      <c r="A331" s="35" t="s">
        <v>1926</v>
      </c>
    </row>
    <row r="332" spans="1:1">
      <c r="A332" s="35" t="s">
        <v>3222</v>
      </c>
    </row>
    <row r="333" spans="1:1">
      <c r="A333" s="35" t="s">
        <v>2235</v>
      </c>
    </row>
    <row r="334" spans="1:1">
      <c r="A334" s="35" t="s">
        <v>1979</v>
      </c>
    </row>
    <row r="335" spans="1:1">
      <c r="A335" s="35" t="s">
        <v>2245</v>
      </c>
    </row>
    <row r="336" spans="1:1">
      <c r="A336" s="35" t="s">
        <v>2324</v>
      </c>
    </row>
    <row r="337" spans="1:1">
      <c r="A337" s="35" t="s">
        <v>2214</v>
      </c>
    </row>
    <row r="338" spans="1:1">
      <c r="A338" s="35" t="s">
        <v>2053</v>
      </c>
    </row>
    <row r="339" spans="1:1">
      <c r="A339" s="35" t="s">
        <v>2063</v>
      </c>
    </row>
    <row r="340" spans="1:1">
      <c r="A340" s="35" t="s">
        <v>2198</v>
      </c>
    </row>
    <row r="341" spans="1:1">
      <c r="A341" s="35" t="s">
        <v>2016</v>
      </c>
    </row>
    <row r="342" spans="1:1">
      <c r="A342" s="35" t="s">
        <v>2240</v>
      </c>
    </row>
    <row r="343" spans="1:1">
      <c r="A343" s="35" t="s">
        <v>2187</v>
      </c>
    </row>
    <row r="344" spans="1:1">
      <c r="A344" s="35" t="s">
        <v>2079</v>
      </c>
    </row>
    <row r="345" spans="1:1">
      <c r="A345" s="35" t="s">
        <v>2309</v>
      </c>
    </row>
    <row r="346" spans="1:1">
      <c r="A346" s="35" t="s">
        <v>3223</v>
      </c>
    </row>
    <row r="347" spans="1:1">
      <c r="A347" s="35" t="s">
        <v>2203</v>
      </c>
    </row>
    <row r="348" spans="1:1">
      <c r="A348" s="35" t="s">
        <v>2292</v>
      </c>
    </row>
    <row r="349" spans="1:1">
      <c r="A349" s="35" t="s">
        <v>1991</v>
      </c>
    </row>
    <row r="350" spans="1:1">
      <c r="A350" s="35" t="s">
        <v>2042</v>
      </c>
    </row>
    <row r="351" spans="1:1">
      <c r="A351" s="35" t="s">
        <v>3246</v>
      </c>
    </row>
    <row r="352" spans="1:1">
      <c r="A352" s="35" t="s">
        <v>2131</v>
      </c>
    </row>
    <row r="353" spans="1:1">
      <c r="A353" s="35" t="s">
        <v>1933</v>
      </c>
    </row>
    <row r="354" spans="1:1">
      <c r="A354" s="35" t="s">
        <v>1922</v>
      </c>
    </row>
    <row r="355" spans="1:1">
      <c r="A355" s="35" t="s">
        <v>3220</v>
      </c>
    </row>
    <row r="356" spans="1:1">
      <c r="A356" s="35" t="s">
        <v>3224</v>
      </c>
    </row>
    <row r="357" spans="1:1">
      <c r="A357" s="35" t="s">
        <v>2032</v>
      </c>
    </row>
    <row r="358" spans="1:1">
      <c r="A358" s="35" t="s">
        <v>2146</v>
      </c>
    </row>
    <row r="359" spans="1:1">
      <c r="A359" s="35" t="s">
        <v>2027</v>
      </c>
    </row>
    <row r="360" spans="1:1">
      <c r="A360" s="35" t="s">
        <v>2037</v>
      </c>
    </row>
    <row r="361" spans="1:1">
      <c r="A361" s="35" t="s">
        <v>1985</v>
      </c>
    </row>
    <row r="362" spans="1:1">
      <c r="A362" s="35" t="s">
        <v>2010</v>
      </c>
    </row>
    <row r="363" spans="1:1">
      <c r="A363" s="35" t="s">
        <v>2219</v>
      </c>
    </row>
    <row r="364" spans="1:1">
      <c r="A364" s="35" t="s">
        <v>1974</v>
      </c>
    </row>
    <row r="365" spans="1:1">
      <c r="A365" s="35" t="s">
        <v>2230</v>
      </c>
    </row>
    <row r="366" spans="1:1">
      <c r="A366" s="35" t="s">
        <v>2151</v>
      </c>
    </row>
    <row r="367" spans="1:1">
      <c r="A367" s="35" t="s">
        <v>2177</v>
      </c>
    </row>
    <row r="368" spans="1:1">
      <c r="A368" s="35" t="s">
        <v>2073</v>
      </c>
    </row>
    <row r="369" spans="1:1">
      <c r="A369" s="35" t="s">
        <v>2329</v>
      </c>
    </row>
    <row r="370" spans="1:1">
      <c r="A370" s="35" t="s">
        <v>2005</v>
      </c>
    </row>
    <row r="371" spans="1:1">
      <c r="A371" s="35" t="s">
        <v>2116</v>
      </c>
    </row>
    <row r="372" spans="1:1">
      <c r="A372" s="35" t="s">
        <v>2167</v>
      </c>
    </row>
    <row r="373" spans="1:1">
      <c r="A373" s="35" t="s">
        <v>2021</v>
      </c>
    </row>
    <row r="374" spans="1:1">
      <c r="A374" s="35" t="s">
        <v>3232</v>
      </c>
    </row>
    <row r="375" spans="1:1">
      <c r="A375" s="35" t="s">
        <v>2314</v>
      </c>
    </row>
    <row r="376" spans="1:1">
      <c r="A376" s="35" t="s">
        <v>2084</v>
      </c>
    </row>
    <row r="377" spans="1:1">
      <c r="A377" s="35" t="s">
        <v>2058</v>
      </c>
    </row>
    <row r="378" spans="1:1">
      <c r="A378" s="35" t="s">
        <v>2121</v>
      </c>
    </row>
    <row r="379" spans="1:1">
      <c r="A379" s="35" t="s">
        <v>2105</v>
      </c>
    </row>
    <row r="380" spans="1:1">
      <c r="A380" s="35" t="s">
        <v>3225</v>
      </c>
    </row>
    <row r="381" spans="1:1">
      <c r="A381" s="35" t="s">
        <v>3226</v>
      </c>
    </row>
    <row r="382" spans="1:1">
      <c r="A382" s="35" t="s">
        <v>2276</v>
      </c>
    </row>
    <row r="383" spans="1:1">
      <c r="A383" s="35" t="s">
        <v>2340</v>
      </c>
    </row>
    <row r="384" spans="1:1">
      <c r="A384" s="35" t="s">
        <v>2255</v>
      </c>
    </row>
    <row r="385" spans="1:10">
      <c r="A385" s="35" t="s">
        <v>2335</v>
      </c>
    </row>
    <row r="386" spans="1:10">
      <c r="A386" s="35" t="s">
        <v>3227</v>
      </c>
    </row>
    <row r="387" spans="1:10">
      <c r="A387" s="35" t="s">
        <v>3228</v>
      </c>
    </row>
    <row r="388" spans="1:10">
      <c r="A388" s="35" t="s">
        <v>2346</v>
      </c>
    </row>
    <row r="390" spans="1:10" s="107" customFormat="1">
      <c r="A390" s="107" t="s">
        <v>3253</v>
      </c>
    </row>
    <row r="391" spans="1:10">
      <c r="A391" t="s">
        <v>3254</v>
      </c>
      <c r="B391">
        <v>1</v>
      </c>
      <c r="C391" s="35" t="s">
        <v>2805</v>
      </c>
      <c r="D391" s="35" t="s">
        <v>2733</v>
      </c>
    </row>
    <row r="392" spans="1:10">
      <c r="A392" t="s">
        <v>3255</v>
      </c>
      <c r="B392">
        <v>1</v>
      </c>
      <c r="C392" s="35" t="s">
        <v>2801</v>
      </c>
    </row>
    <row r="393" spans="1:10">
      <c r="A393" t="s">
        <v>3256</v>
      </c>
      <c r="B393">
        <v>0</v>
      </c>
    </row>
    <row r="394" spans="1:10">
      <c r="A394" t="s">
        <v>106</v>
      </c>
      <c r="B394">
        <v>1</v>
      </c>
      <c r="C394" s="35" t="s">
        <v>2709</v>
      </c>
      <c r="D394" s="35" t="s">
        <v>2737</v>
      </c>
      <c r="E394" s="35" t="s">
        <v>2493</v>
      </c>
      <c r="F394" s="35" t="s">
        <v>2757</v>
      </c>
    </row>
    <row r="395" spans="1:10">
      <c r="A395" t="s">
        <v>112</v>
      </c>
      <c r="B395">
        <v>1</v>
      </c>
      <c r="C395" s="35" t="s">
        <v>2363</v>
      </c>
      <c r="D395" s="35" t="s">
        <v>2488</v>
      </c>
    </row>
    <row r="396" spans="1:10">
      <c r="A396" t="s">
        <v>117</v>
      </c>
      <c r="B396">
        <v>1</v>
      </c>
      <c r="C396" s="35" t="s">
        <v>2713</v>
      </c>
      <c r="D396" s="35" t="s">
        <v>2741</v>
      </c>
    </row>
    <row r="397" spans="1:10">
      <c r="A397" t="s">
        <v>3257</v>
      </c>
      <c r="B397">
        <v>1</v>
      </c>
      <c r="C397" s="35" t="s">
        <v>2717</v>
      </c>
      <c r="D397" s="35" t="s">
        <v>2745</v>
      </c>
    </row>
    <row r="398" spans="1:10">
      <c r="A398" t="s">
        <v>3258</v>
      </c>
      <c r="B398">
        <v>0</v>
      </c>
    </row>
    <row r="399" spans="1:10">
      <c r="A399" t="s">
        <v>3259</v>
      </c>
      <c r="B399">
        <v>1</v>
      </c>
      <c r="C399" s="35" t="s">
        <v>2501</v>
      </c>
      <c r="D399" s="35" t="s">
        <v>2550</v>
      </c>
      <c r="E399" s="35" t="s">
        <v>2689</v>
      </c>
      <c r="F399" s="35" t="s">
        <v>3260</v>
      </c>
      <c r="G399" s="35" t="s">
        <v>2761</v>
      </c>
      <c r="H399" s="35" t="s">
        <v>2423</v>
      </c>
      <c r="I399" s="35" t="s">
        <v>2773</v>
      </c>
      <c r="J399" s="35" t="s">
        <v>3261</v>
      </c>
    </row>
    <row r="400" spans="1:10">
      <c r="A400" t="s">
        <v>140</v>
      </c>
      <c r="B400">
        <v>1</v>
      </c>
      <c r="C400" s="35" t="s">
        <v>3262</v>
      </c>
    </row>
    <row r="401" spans="1:28">
      <c r="A401" t="s">
        <v>146</v>
      </c>
      <c r="B401">
        <v>1</v>
      </c>
      <c r="C401" s="35" t="s">
        <v>3263</v>
      </c>
      <c r="D401" s="35" t="s">
        <v>2372</v>
      </c>
      <c r="E401" s="35" t="s">
        <v>2753</v>
      </c>
      <c r="F401" s="35" t="s">
        <v>2463</v>
      </c>
      <c r="G401" s="35" t="s">
        <v>2393</v>
      </c>
      <c r="H401" s="35" t="s">
        <v>2411</v>
      </c>
    </row>
    <row r="402" spans="1:28">
      <c r="A402" t="s">
        <v>150</v>
      </c>
      <c r="B402">
        <v>1</v>
      </c>
      <c r="C402" s="35" t="s">
        <v>2673</v>
      </c>
      <c r="D402" s="35" t="s">
        <v>2402</v>
      </c>
      <c r="E402" s="35" t="s">
        <v>2367</v>
      </c>
      <c r="F402" s="35" t="s">
        <v>2467</v>
      </c>
      <c r="G402" s="35" t="s">
        <v>2475</v>
      </c>
      <c r="H402" s="35" t="s">
        <v>2769</v>
      </c>
      <c r="I402" s="35" t="s">
        <v>2693</v>
      </c>
      <c r="J402" s="35" t="s">
        <v>2789</v>
      </c>
      <c r="K402" s="35" t="s">
        <v>2793</v>
      </c>
      <c r="L402" s="35" t="s">
        <v>2459</v>
      </c>
      <c r="M402" s="35" t="s">
        <v>2797</v>
      </c>
      <c r="N402" s="35" t="s">
        <v>2431</v>
      </c>
      <c r="O402" s="35" t="s">
        <v>2484</v>
      </c>
      <c r="P402" s="35" t="s">
        <v>2697</v>
      </c>
      <c r="Q402" s="35" t="s">
        <v>2509</v>
      </c>
      <c r="R402" s="35" t="s">
        <v>2777</v>
      </c>
      <c r="S402" s="35" t="s">
        <v>3264</v>
      </c>
      <c r="T402" s="35" t="s">
        <v>2447</v>
      </c>
      <c r="U402" s="35" t="s">
        <v>2471</v>
      </c>
      <c r="V402" s="35" t="s">
        <v>2435</v>
      </c>
      <c r="W402" s="35" t="s">
        <v>2455</v>
      </c>
      <c r="X402" s="35" t="s">
        <v>2443</v>
      </c>
      <c r="Y402" s="35" t="s">
        <v>2781</v>
      </c>
      <c r="Z402" s="35" t="s">
        <v>3265</v>
      </c>
      <c r="AA402" s="35" t="s">
        <v>2785</v>
      </c>
      <c r="AB402" s="35" t="s">
        <v>2427</v>
      </c>
    </row>
    <row r="403" spans="1:28">
      <c r="A403" t="s">
        <v>3266</v>
      </c>
      <c r="B403">
        <v>0</v>
      </c>
    </row>
    <row r="404" spans="1:28">
      <c r="A404" t="s">
        <v>162</v>
      </c>
      <c r="B404">
        <v>0</v>
      </c>
    </row>
    <row r="405" spans="1:28">
      <c r="A405" t="s">
        <v>166</v>
      </c>
      <c r="B405">
        <v>0</v>
      </c>
    </row>
    <row r="406" spans="1:28">
      <c r="A406" t="s">
        <v>194</v>
      </c>
      <c r="B406">
        <v>1</v>
      </c>
      <c r="C406" s="35" t="s">
        <v>2358</v>
      </c>
      <c r="D406" s="35" t="s">
        <v>2398</v>
      </c>
    </row>
    <row r="407" spans="1:28">
      <c r="A407" t="s">
        <v>196</v>
      </c>
      <c r="B407">
        <v>1</v>
      </c>
      <c r="C407" s="35" t="s">
        <v>2439</v>
      </c>
    </row>
    <row r="408" spans="1:28">
      <c r="A408" t="s">
        <v>3179</v>
      </c>
      <c r="B408">
        <v>1</v>
      </c>
      <c r="C408" s="35" t="s">
        <v>3267</v>
      </c>
    </row>
    <row r="409" spans="1:28">
      <c r="A409" t="s">
        <v>199</v>
      </c>
      <c r="B409">
        <v>0</v>
      </c>
    </row>
    <row r="410" spans="1:28">
      <c r="A410" t="s">
        <v>3268</v>
      </c>
      <c r="B410">
        <v>1</v>
      </c>
      <c r="C410" s="35" t="s">
        <v>3269</v>
      </c>
    </row>
    <row r="411" spans="1:28">
      <c r="A411" t="s">
        <v>3270</v>
      </c>
      <c r="B411">
        <v>0</v>
      </c>
    </row>
    <row r="412" spans="1:28">
      <c r="A412" t="s">
        <v>3271</v>
      </c>
      <c r="B412">
        <v>0</v>
      </c>
    </row>
    <row r="413" spans="1:28">
      <c r="A413" t="s">
        <v>3272</v>
      </c>
      <c r="B413">
        <v>0</v>
      </c>
    </row>
    <row r="414" spans="1:28">
      <c r="A414" t="s">
        <v>3273</v>
      </c>
      <c r="B414">
        <v>0</v>
      </c>
    </row>
    <row r="415" spans="1:28">
      <c r="A415" t="s">
        <v>3274</v>
      </c>
      <c r="B415">
        <v>0</v>
      </c>
    </row>
    <row r="416" spans="1:28">
      <c r="A416" t="s">
        <v>3275</v>
      </c>
      <c r="B416">
        <v>0</v>
      </c>
    </row>
    <row r="417" spans="1:5">
      <c r="A417" t="s">
        <v>3276</v>
      </c>
      <c r="B417">
        <v>0</v>
      </c>
    </row>
    <row r="418" spans="1:5">
      <c r="A418" t="s">
        <v>3277</v>
      </c>
      <c r="B418">
        <v>0</v>
      </c>
    </row>
    <row r="419" spans="1:5">
      <c r="A419" t="s">
        <v>3278</v>
      </c>
      <c r="B419">
        <v>0</v>
      </c>
    </row>
    <row r="420" spans="1:5">
      <c r="A420" t="s">
        <v>3279</v>
      </c>
      <c r="B420">
        <v>1</v>
      </c>
      <c r="C420" s="35" t="s">
        <v>2497</v>
      </c>
    </row>
    <row r="421" spans="1:5">
      <c r="A421" t="s">
        <v>3280</v>
      </c>
      <c r="B421">
        <v>1</v>
      </c>
      <c r="C421" s="35" t="s">
        <v>2721</v>
      </c>
      <c r="D421" s="35" t="s">
        <v>2749</v>
      </c>
    </row>
    <row r="422" spans="1:5">
      <c r="A422" t="s">
        <v>3281</v>
      </c>
      <c r="B422">
        <v>1</v>
      </c>
      <c r="C422" s="35" t="s">
        <v>2677</v>
      </c>
      <c r="D422" s="35" t="s">
        <v>2505</v>
      </c>
      <c r="E422" s="35" t="s">
        <v>2451</v>
      </c>
    </row>
    <row r="423" spans="1:5">
      <c r="A423" t="s">
        <v>3282</v>
      </c>
      <c r="B423">
        <v>1</v>
      </c>
      <c r="C423" s="35" t="s">
        <v>2725</v>
      </c>
    </row>
    <row r="424" spans="1:5">
      <c r="A424" t="s">
        <v>3283</v>
      </c>
      <c r="B424">
        <v>0</v>
      </c>
    </row>
    <row r="425" spans="1:5">
      <c r="A425" s="35" t="s">
        <v>3284</v>
      </c>
      <c r="B425">
        <v>1</v>
      </c>
      <c r="C425" s="35" t="s">
        <v>2681</v>
      </c>
    </row>
    <row r="426" spans="1:5">
      <c r="A426" t="s">
        <v>3285</v>
      </c>
      <c r="B426">
        <v>1</v>
      </c>
      <c r="C426" s="35" t="s">
        <v>2419</v>
      </c>
    </row>
    <row r="427" spans="1:5">
      <c r="A427" t="s">
        <v>3286</v>
      </c>
      <c r="B427">
        <v>0</v>
      </c>
    </row>
    <row r="428" spans="1:5">
      <c r="A428" t="s">
        <v>3287</v>
      </c>
      <c r="B428">
        <v>0</v>
      </c>
    </row>
    <row r="429" spans="1:5">
      <c r="A429" t="s">
        <v>3288</v>
      </c>
      <c r="B429">
        <v>1</v>
      </c>
      <c r="C429" s="35" t="s">
        <v>2729</v>
      </c>
    </row>
    <row r="430" spans="1:5">
      <c r="A430" t="s">
        <v>3289</v>
      </c>
      <c r="B430">
        <v>1</v>
      </c>
      <c r="C430" s="35" t="s">
        <v>3290</v>
      </c>
      <c r="D430" s="35" t="s">
        <v>3291</v>
      </c>
    </row>
    <row r="431" spans="1:5">
      <c r="A431" t="s">
        <v>3292</v>
      </c>
      <c r="B431">
        <v>0</v>
      </c>
    </row>
    <row r="432" spans="1:5">
      <c r="A432" t="s">
        <v>106</v>
      </c>
      <c r="B432">
        <v>0</v>
      </c>
    </row>
    <row r="433" spans="1:3">
      <c r="A433" t="s">
        <v>112</v>
      </c>
      <c r="B433">
        <v>0</v>
      </c>
    </row>
    <row r="434" spans="1:3">
      <c r="A434" t="s">
        <v>117</v>
      </c>
      <c r="B434">
        <v>0</v>
      </c>
    </row>
    <row r="435" spans="1:3">
      <c r="A435" t="s">
        <v>3293</v>
      </c>
      <c r="B435">
        <v>1</v>
      </c>
      <c r="C435" s="35" t="s">
        <v>2685</v>
      </c>
    </row>
    <row r="436" spans="1:3">
      <c r="A436" t="s">
        <v>3294</v>
      </c>
      <c r="B436">
        <v>1</v>
      </c>
      <c r="C436" s="35" t="s">
        <v>3295</v>
      </c>
    </row>
    <row r="437" spans="1:3">
      <c r="A437" t="s">
        <v>3296</v>
      </c>
      <c r="B437">
        <v>1</v>
      </c>
      <c r="C437" s="35" t="s">
        <v>3297</v>
      </c>
    </row>
    <row r="438" spans="1:3">
      <c r="A438" t="s">
        <v>140</v>
      </c>
      <c r="B438">
        <v>0</v>
      </c>
    </row>
    <row r="439" spans="1:3">
      <c r="A439" t="s">
        <v>146</v>
      </c>
      <c r="B439">
        <v>0</v>
      </c>
    </row>
    <row r="440" spans="1:3">
      <c r="A440" t="s">
        <v>150</v>
      </c>
      <c r="B440">
        <v>0</v>
      </c>
    </row>
    <row r="441" spans="1:3">
      <c r="A441" t="s">
        <v>3298</v>
      </c>
      <c r="B441">
        <v>0</v>
      </c>
    </row>
    <row r="442" spans="1:3">
      <c r="A442" t="s">
        <v>162</v>
      </c>
      <c r="B442">
        <v>0</v>
      </c>
    </row>
    <row r="443" spans="1:3">
      <c r="A443" t="s">
        <v>166</v>
      </c>
      <c r="B443">
        <v>0</v>
      </c>
    </row>
    <row r="444" spans="1:3">
      <c r="A444" t="s">
        <v>194</v>
      </c>
      <c r="B444">
        <v>0</v>
      </c>
    </row>
    <row r="445" spans="1:3">
      <c r="A445" t="s">
        <v>196</v>
      </c>
      <c r="B445">
        <v>0</v>
      </c>
    </row>
    <row r="446" spans="1:3">
      <c r="A446" t="s">
        <v>3179</v>
      </c>
      <c r="B446">
        <v>0</v>
      </c>
    </row>
    <row r="447" spans="1:3">
      <c r="A447" t="s">
        <v>199</v>
      </c>
      <c r="B447">
        <v>0</v>
      </c>
    </row>
    <row r="448" spans="1:3">
      <c r="A448" t="s">
        <v>3268</v>
      </c>
      <c r="B448">
        <v>0</v>
      </c>
    </row>
    <row r="449" spans="1:4">
      <c r="A449" t="s">
        <v>3299</v>
      </c>
      <c r="B449">
        <v>1</v>
      </c>
      <c r="C449" s="35" t="s">
        <v>2388</v>
      </c>
    </row>
    <row r="450" spans="1:4">
      <c r="A450" t="s">
        <v>3300</v>
      </c>
      <c r="B450">
        <v>0</v>
      </c>
    </row>
    <row r="451" spans="1:4">
      <c r="A451" t="s">
        <v>3301</v>
      </c>
      <c r="B451">
        <v>0</v>
      </c>
    </row>
    <row r="452" spans="1:4">
      <c r="A452" t="s">
        <v>3302</v>
      </c>
      <c r="B452">
        <v>0</v>
      </c>
    </row>
    <row r="453" spans="1:4">
      <c r="A453" t="s">
        <v>3303</v>
      </c>
      <c r="B453">
        <v>0</v>
      </c>
    </row>
    <row r="454" spans="1:4">
      <c r="A454" t="s">
        <v>3304</v>
      </c>
      <c r="B454">
        <v>0</v>
      </c>
    </row>
    <row r="455" spans="1:4">
      <c r="A455" t="s">
        <v>3305</v>
      </c>
      <c r="B455">
        <v>0</v>
      </c>
    </row>
    <row r="456" spans="1:4">
      <c r="A456" t="s">
        <v>3306</v>
      </c>
      <c r="B456">
        <v>0</v>
      </c>
    </row>
    <row r="457" spans="1:4">
      <c r="A457" t="s">
        <v>3307</v>
      </c>
      <c r="B457">
        <v>0</v>
      </c>
    </row>
    <row r="458" spans="1:4">
      <c r="A458" t="s">
        <v>3308</v>
      </c>
      <c r="B458">
        <v>0</v>
      </c>
    </row>
    <row r="459" spans="1:4">
      <c r="A459" t="s">
        <v>3309</v>
      </c>
      <c r="B459">
        <v>0</v>
      </c>
    </row>
    <row r="460" spans="1:4">
      <c r="A460" t="s">
        <v>3310</v>
      </c>
      <c r="B460">
        <v>0</v>
      </c>
    </row>
    <row r="461" spans="1:4">
      <c r="A461" t="s">
        <v>3311</v>
      </c>
      <c r="B461">
        <v>0</v>
      </c>
    </row>
    <row r="462" spans="1:4">
      <c r="A462" t="s">
        <v>3312</v>
      </c>
      <c r="B462">
        <v>0</v>
      </c>
    </row>
    <row r="463" spans="1:4">
      <c r="A463" t="s">
        <v>3313</v>
      </c>
      <c r="B463">
        <v>1</v>
      </c>
      <c r="C463" s="35" t="s">
        <v>3314</v>
      </c>
      <c r="D463" s="35" t="s">
        <v>2701</v>
      </c>
    </row>
    <row r="464" spans="1:4">
      <c r="A464" t="s">
        <v>3315</v>
      </c>
      <c r="B464">
        <v>1</v>
      </c>
      <c r="C464" s="35" t="s">
        <v>2384</v>
      </c>
    </row>
    <row r="465" spans="1:8">
      <c r="A465" t="s">
        <v>3316</v>
      </c>
      <c r="B465">
        <v>0</v>
      </c>
    </row>
    <row r="466" spans="1:8">
      <c r="A466" s="35" t="s">
        <v>3317</v>
      </c>
      <c r="B466">
        <v>0</v>
      </c>
    </row>
    <row r="467" spans="1:8">
      <c r="A467" t="s">
        <v>3318</v>
      </c>
      <c r="C467" s="35" t="s">
        <v>3319</v>
      </c>
      <c r="D467" s="35" t="s">
        <v>2705</v>
      </c>
      <c r="E467" s="35" t="s">
        <v>2407</v>
      </c>
      <c r="F467" s="35" t="s">
        <v>2479</v>
      </c>
      <c r="G467" s="35" t="s">
        <v>2765</v>
      </c>
      <c r="H467" s="35" t="s">
        <v>2415</v>
      </c>
    </row>
    <row r="469" spans="1:8">
      <c r="A469" s="35" t="s">
        <v>2805</v>
      </c>
    </row>
    <row r="470" spans="1:8">
      <c r="A470" s="35" t="s">
        <v>2801</v>
      </c>
    </row>
    <row r="471" spans="1:8">
      <c r="A471" s="35" t="s">
        <v>2709</v>
      </c>
    </row>
    <row r="472" spans="1:8">
      <c r="A472" s="35" t="s">
        <v>2363</v>
      </c>
    </row>
    <row r="473" spans="1:8">
      <c r="A473" s="35" t="s">
        <v>2713</v>
      </c>
    </row>
    <row r="474" spans="1:8">
      <c r="A474" s="35" t="s">
        <v>2717</v>
      </c>
    </row>
    <row r="475" spans="1:8">
      <c r="A475" s="35" t="s">
        <v>2501</v>
      </c>
    </row>
    <row r="476" spans="1:8">
      <c r="A476" s="35" t="s">
        <v>3262</v>
      </c>
    </row>
    <row r="477" spans="1:8">
      <c r="A477" s="35" t="s">
        <v>3263</v>
      </c>
    </row>
    <row r="478" spans="1:8">
      <c r="A478" s="35" t="s">
        <v>2673</v>
      </c>
    </row>
    <row r="479" spans="1:8">
      <c r="A479" s="35" t="s">
        <v>2358</v>
      </c>
    </row>
    <row r="480" spans="1:8">
      <c r="A480" s="35" t="s">
        <v>2439</v>
      </c>
    </row>
    <row r="481" spans="1:1">
      <c r="A481" s="35" t="s">
        <v>3267</v>
      </c>
    </row>
    <row r="482" spans="1:1">
      <c r="A482" s="35" t="s">
        <v>3269</v>
      </c>
    </row>
    <row r="483" spans="1:1">
      <c r="A483" s="35" t="s">
        <v>2497</v>
      </c>
    </row>
    <row r="484" spans="1:1">
      <c r="A484" s="35" t="s">
        <v>2721</v>
      </c>
    </row>
    <row r="485" spans="1:1">
      <c r="A485" s="35" t="s">
        <v>2677</v>
      </c>
    </row>
    <row r="486" spans="1:1">
      <c r="A486" s="35" t="s">
        <v>2725</v>
      </c>
    </row>
    <row r="487" spans="1:1">
      <c r="A487" s="35" t="s">
        <v>2681</v>
      </c>
    </row>
    <row r="488" spans="1:1">
      <c r="A488" s="35" t="s">
        <v>2419</v>
      </c>
    </row>
    <row r="489" spans="1:1">
      <c r="A489" s="35" t="s">
        <v>2729</v>
      </c>
    </row>
    <row r="490" spans="1:1">
      <c r="A490" s="35" t="s">
        <v>3290</v>
      </c>
    </row>
    <row r="491" spans="1:1">
      <c r="A491" s="35" t="s">
        <v>2685</v>
      </c>
    </row>
    <row r="492" spans="1:1">
      <c r="A492" s="35" t="s">
        <v>3295</v>
      </c>
    </row>
    <row r="493" spans="1:1">
      <c r="A493" s="35" t="s">
        <v>3297</v>
      </c>
    </row>
    <row r="494" spans="1:1">
      <c r="A494" s="35" t="s">
        <v>2388</v>
      </c>
    </row>
    <row r="495" spans="1:1">
      <c r="A495" s="35" t="s">
        <v>3314</v>
      </c>
    </row>
    <row r="496" spans="1:1">
      <c r="A496" s="35" t="s">
        <v>2384</v>
      </c>
    </row>
    <row r="497" spans="1:1">
      <c r="A497" s="35" t="s">
        <v>3319</v>
      </c>
    </row>
    <row r="498" spans="1:1">
      <c r="A498" s="35" t="s">
        <v>2733</v>
      </c>
    </row>
    <row r="499" spans="1:1">
      <c r="A499" s="35" t="s">
        <v>2737</v>
      </c>
    </row>
    <row r="500" spans="1:1">
      <c r="A500" s="35" t="s">
        <v>2488</v>
      </c>
    </row>
    <row r="501" spans="1:1">
      <c r="A501" s="35" t="s">
        <v>2741</v>
      </c>
    </row>
    <row r="502" spans="1:1">
      <c r="A502" s="35" t="s">
        <v>2745</v>
      </c>
    </row>
    <row r="503" spans="1:1">
      <c r="A503" s="35" t="s">
        <v>2550</v>
      </c>
    </row>
    <row r="504" spans="1:1">
      <c r="A504" s="35" t="s">
        <v>2372</v>
      </c>
    </row>
    <row r="505" spans="1:1">
      <c r="A505" s="35" t="s">
        <v>2402</v>
      </c>
    </row>
    <row r="506" spans="1:1">
      <c r="A506" s="35" t="s">
        <v>2398</v>
      </c>
    </row>
    <row r="507" spans="1:1">
      <c r="A507" s="35" t="s">
        <v>2749</v>
      </c>
    </row>
    <row r="508" spans="1:1">
      <c r="A508" s="35" t="s">
        <v>2505</v>
      </c>
    </row>
    <row r="509" spans="1:1">
      <c r="A509" s="35" t="s">
        <v>3291</v>
      </c>
    </row>
    <row r="510" spans="1:1">
      <c r="A510" s="35" t="s">
        <v>2701</v>
      </c>
    </row>
    <row r="511" spans="1:1">
      <c r="A511" s="35" t="s">
        <v>2705</v>
      </c>
    </row>
    <row r="512" spans="1:1">
      <c r="A512" s="35" t="s">
        <v>2493</v>
      </c>
    </row>
    <row r="513" spans="1:1">
      <c r="A513" s="35" t="s">
        <v>2689</v>
      </c>
    </row>
    <row r="514" spans="1:1">
      <c r="A514" s="35" t="s">
        <v>2753</v>
      </c>
    </row>
    <row r="515" spans="1:1">
      <c r="A515" s="35" t="s">
        <v>2367</v>
      </c>
    </row>
    <row r="516" spans="1:1">
      <c r="A516" s="35" t="s">
        <v>2451</v>
      </c>
    </row>
    <row r="517" spans="1:1">
      <c r="A517" s="35" t="s">
        <v>2407</v>
      </c>
    </row>
    <row r="518" spans="1:1">
      <c r="A518" s="35" t="s">
        <v>2757</v>
      </c>
    </row>
    <row r="519" spans="1:1">
      <c r="A519" s="35" t="s">
        <v>3260</v>
      </c>
    </row>
    <row r="520" spans="1:1">
      <c r="A520" s="35" t="s">
        <v>2463</v>
      </c>
    </row>
    <row r="521" spans="1:1">
      <c r="A521" s="35" t="s">
        <v>2467</v>
      </c>
    </row>
    <row r="522" spans="1:1">
      <c r="A522" s="35" t="s">
        <v>2479</v>
      </c>
    </row>
    <row r="523" spans="1:1">
      <c r="A523" s="35" t="s">
        <v>2761</v>
      </c>
    </row>
    <row r="524" spans="1:1">
      <c r="A524" s="35" t="s">
        <v>2393</v>
      </c>
    </row>
    <row r="525" spans="1:1">
      <c r="A525" s="35" t="s">
        <v>2475</v>
      </c>
    </row>
    <row r="526" spans="1:1">
      <c r="A526" s="35" t="s">
        <v>2765</v>
      </c>
    </row>
    <row r="527" spans="1:1">
      <c r="A527" s="35" t="s">
        <v>2423</v>
      </c>
    </row>
    <row r="528" spans="1:1">
      <c r="A528" s="35" t="s">
        <v>2411</v>
      </c>
    </row>
    <row r="529" spans="1:1">
      <c r="A529" s="35" t="s">
        <v>2769</v>
      </c>
    </row>
    <row r="530" spans="1:1">
      <c r="A530" s="35" t="s">
        <v>2415</v>
      </c>
    </row>
    <row r="531" spans="1:1">
      <c r="A531" s="35" t="s">
        <v>2773</v>
      </c>
    </row>
    <row r="532" spans="1:1">
      <c r="A532" s="35" t="s">
        <v>2693</v>
      </c>
    </row>
    <row r="533" spans="1:1">
      <c r="A533" s="35" t="s">
        <v>3261</v>
      </c>
    </row>
    <row r="534" spans="1:1">
      <c r="A534" s="35" t="s">
        <v>2789</v>
      </c>
    </row>
    <row r="535" spans="1:1">
      <c r="A535" s="35" t="s">
        <v>2793</v>
      </c>
    </row>
    <row r="536" spans="1:1">
      <c r="A536" s="35" t="s">
        <v>2459</v>
      </c>
    </row>
    <row r="537" spans="1:1">
      <c r="A537" s="35" t="s">
        <v>2797</v>
      </c>
    </row>
    <row r="538" spans="1:1">
      <c r="A538" s="35" t="s">
        <v>2431</v>
      </c>
    </row>
    <row r="539" spans="1:1">
      <c r="A539" s="35" t="s">
        <v>2484</v>
      </c>
    </row>
    <row r="540" spans="1:1">
      <c r="A540" s="35" t="s">
        <v>2697</v>
      </c>
    </row>
    <row r="541" spans="1:1">
      <c r="A541" s="35" t="s">
        <v>2509</v>
      </c>
    </row>
    <row r="542" spans="1:1">
      <c r="A542" s="35" t="s">
        <v>2777</v>
      </c>
    </row>
    <row r="543" spans="1:1">
      <c r="A543" s="35" t="s">
        <v>3264</v>
      </c>
    </row>
    <row r="544" spans="1:1">
      <c r="A544" s="35" t="s">
        <v>2447</v>
      </c>
    </row>
    <row r="545" spans="1:1">
      <c r="A545" s="35" t="s">
        <v>2471</v>
      </c>
    </row>
    <row r="546" spans="1:1">
      <c r="A546" s="35" t="s">
        <v>2435</v>
      </c>
    </row>
    <row r="547" spans="1:1">
      <c r="A547" s="35" t="s">
        <v>2455</v>
      </c>
    </row>
    <row r="548" spans="1:1">
      <c r="A548" s="35" t="s">
        <v>2443</v>
      </c>
    </row>
    <row r="549" spans="1:1">
      <c r="A549" s="35" t="s">
        <v>2781</v>
      </c>
    </row>
    <row r="550" spans="1:1">
      <c r="A550" s="35" t="s">
        <v>3265</v>
      </c>
    </row>
    <row r="551" spans="1:1">
      <c r="A551" s="35" t="s">
        <v>2785</v>
      </c>
    </row>
    <row r="552" spans="1:1">
      <c r="A552" s="35" t="s">
        <v>2427</v>
      </c>
    </row>
  </sheetData>
  <sortState xmlns:xlrd2="http://schemas.microsoft.com/office/spreadsheetml/2017/richdata2" ref="A126:A164">
    <sortCondition ref="A126:A164"/>
  </sortState>
  <hyperlinks>
    <hyperlink ref="C9" r:id="rId1" display="https://dantri.com.vn/cong-nghe/meta-va-google-bi-phat-vi-nen-tang-mang-xa-hoi-gay-nghien-cho-nguoi-dung-20260326092131367.htm" xr:uid="{4DC36E67-3146-4F0B-B32D-7F1396A7DBF1}"/>
    <hyperlink ref="D9" r:id="rId2" display="https://dantri.com.vn/cong-nghe/ios-27-se-giup-tro-ly-ao-siri-lot-xac-20260325124237776.htm" xr:uid="{DCB9F54D-FC1A-4C6C-A6AB-167D88492AA3}"/>
    <hyperlink ref="C10" r:id="rId3" display="https://dantri.com.vn/cong-nghe/tai-dien-chieu-tro-lua-dao-chiem-doat-tai-khoan-telegram-tai-viet-nam-20260324155052293.htm" xr:uid="{A314A47C-640D-45E9-81B0-7B6244E5242E}"/>
    <hyperlink ref="C12" r:id="rId4" display="https://genk.vn/chatgpt-sap-cho-phep-noi-dung-nhay-cam-day-lo-ngai-lo-du-lieu-ca-nhan-165260322073640315.chn" xr:uid="{A150D9DD-6DD6-4238-A4AF-7966A4BD42DA}"/>
    <hyperlink ref="D12" r:id="rId5" display="https://genk.vn/openai-len-ke-hoach-ra-mat-sieu-ung-dung-tren-may-tinh-165260322073417885.chn" xr:uid="{9ECEEEF0-4D5F-45C0-84ED-247BCCE6EC0B}"/>
    <hyperlink ref="C13" r:id="rId6" display="https://genk.vn/con-ac-mong-cua-marketing-openclaw-co-the-lam-mat-dau-an-thuong-hieu-bien-app-thanh-vo-hinh-giao-dien-phan-mem-ui-ux-tro-nen-vo-dung-165260323082541686.chn" xr:uid="{91ED1322-9239-44B3-8924-394633A63D71}"/>
    <hyperlink ref="D13" r:id="rId7" display="https://genk.vn/openclaw-khien-30-nam-kinh-nghiem-excel-tro-nen-vo-nghia-day-co-phai-ngay-tan-cua-ky-nang-su-dung-may-tinh-van-phong-165260323082818451.chn" xr:uid="{1C7DD4EE-ABF4-4057-921C-AC40368B4D33}"/>
    <hyperlink ref="C15" r:id="rId8" display="https://genk.vn/mot-doanh-nghiep-cong-nghe-viet-lot-top-35-nha-cung-cap-dich-vu-phat-trien-ung-dung-ai-toan-cau-16526240315321592.chn" xr:uid="{A3DCF1E7-1B7A-46E7-9334-C530EFD80D06}"/>
    <hyperlink ref="D15" r:id="rId9" display="https://genk.vn/openai-dot-ngot-khai-tu-ung-dung-sora-sau-4-thang-disney-ngo-ngang-khi-thoa-thuan-1-ty-usd-bay-mau-165260325083415473.chn" xr:uid="{55B4A61A-745B-40D5-96B4-940314FE427B}"/>
    <hyperlink ref="C21" r:id="rId10" display="https://genk.vn/tin-vui-cho-35-ty-nguoi-dung-google-chrome-16526032408203803.chn" xr:uid="{D60C7738-1BF0-43BB-9BE5-60C5B3E59168}"/>
    <hyperlink ref="C25" r:id="rId11" display="https://luatvietnam.vn/chinh-sach-moi-hang-thang/chinh-sach-moi-co-hieu-luc-thang-4-2026-559-107852-article.html" xr:uid="{A3B857F7-7A88-49F5-A7FF-A759F514DE6A}"/>
    <hyperlink ref="D25" r:id="rId12" display="https://luatvietnam.vn/thue/thong-tu-18-2026-tt-btc-quy-dinh-ho-so-thu-tuc-quan-ly-thue-cho-ho-kinh-doanh-427777-d1.html" xr:uid="{6BF068D5-98E5-416A-80FC-1F346B9D1CF1}"/>
    <hyperlink ref="E25" r:id="rId13" display="https://luatvietnam.vn/tai-chinh/thong-tu-30-2025-tt-nhnn-sua-doi-thong-tu-15-2024-ve-dich-vu-thanh-toan-khong-dung-tien-mat-413828-d1.html" xr:uid="{BBC5AC40-4442-4481-92F9-03F6083D6C89}"/>
    <hyperlink ref="C27" r:id="rId14" display="https://techcrunch.com/2026/03/26/whatsapp-can-now-draft-ai-generated-responses-based-on-your-conversations/" xr:uid="{EAF52D87-EE4F-4BA6-BE4D-9992A9C3655C}"/>
    <hyperlink ref="D27" r:id="rId15" display="https://techcrunch.com/2026/03/25/apple-overhauls-its-app-developer-platform-with-100-new-metrics-more-tools/" xr:uid="{88EA5DB8-CCAA-4641-82BA-E2861A20AA1A}"/>
    <hyperlink ref="E27" r:id="rId16" display="https://techcrunch.com/2026/03/25/meta-turns-to-ai-to-make-shopping-easier-on-instagram-and-facebook/" xr:uid="{607EFF10-F827-43F0-88F3-0A68247BC9AE}"/>
    <hyperlink ref="F27" r:id="rId17" display="https://techcrunch.com/2026/03/24/apple-music-partners-with-ticketmaster-to-power-its-concert-discovery-feature/" xr:uid="{B0CE88E2-7263-41B4-BDA7-1A228A2075FE}"/>
    <hyperlink ref="G27" r:id="rId18" display="https://techcrunch.com/2026/03/24/tiktok-ads-are-about-to-get-a-tad-more-disruptive/" xr:uid="{6D0D85B4-1314-4B1F-82EF-5249165C5528}"/>
    <hyperlink ref="C29" r:id="rId19" display="https://vneconomy.vn/techconnect/esports-nations-cup-2026-cong-bo-viresa-la-doi-tac-quoc-gia-tai-viet-nam.htm" xr:uid="{69FDA958-894A-4596-A0A1-E47CE697A731}"/>
    <hyperlink ref="D29" r:id="rId20" display="https://vneconomy.vn/techconnect/con-sot-ai-agent-dang-thuc-day-cuoc-dua-ha-tang-tinh-toan-toan-cau.htm" xr:uid="{9C1EFA99-C7CC-4A53-A2D9-86A78FDDB75C}"/>
    <hyperlink ref="C32" r:id="rId21" display="https://vnexpress.net/sap-ap-dung-quy-chuan-an-toan-cho-smartphone-tai-viet-nam-5054879.html" xr:uid="{A77F235A-23C5-45DD-B525-625891C4343D}"/>
    <hyperlink ref="D32" r:id="rId22" display="https://vnexpress.net/viet-nam-quan-ly-ai-the-nao-theo-luat-moi-5054752.html" xr:uid="{A51EB3D4-0839-4A59-9891-E2DF886B8124}"/>
    <hyperlink ref="C33" r:id="rId23" display="https://www.bloomberg.com/news/articles/2026-03-26/google-gemini-adds-tool-to-make-it-easier-to-switch-from-chatgpt?srnd=phx-technology-consumer-tech" xr:uid="{A29681CB-DBD5-4B23-94FE-88300CA9F354}"/>
    <hyperlink ref="D33" r:id="rId24" display="https://www.bloomberg.com/news/articles/2026-03-23/samsung-phones-can-now-share-with-iphones-using-apple-s-airdrop-protocol?srnd=phx-technology-consumer-tech" xr:uid="{7C3B6E13-6D2E-4C65-92BC-FE22DAE391C9}"/>
    <hyperlink ref="C37" r:id="rId25" display="https://www.techinasia.com/solving-mid-market-finance-pain-with-ai-agents" xr:uid="{6126680C-1CE4-4E5D-9841-01DB2668C5E4}"/>
    <hyperlink ref="D37" r:id="rId26" display="https://www.techinasia.com/news/fomo-pay-launches-ai-soundbox-for-unified-payments" xr:uid="{7561AB04-194B-4926-A297-BD4EF9FCEDCD}"/>
    <hyperlink ref="E37" r:id="rId27" display="https://www.techinasia.com/news/robinhood-ups-stock-buyback-plan-15b" xr:uid="{A036BE9B-C754-4DA7-B603-921DAEDEED53}"/>
    <hyperlink ref="F37" r:id="rId28" display="https://www.techinasia.com/news/indonesia-enables-qr-code-payments-for-japanese-tourists" xr:uid="{B45A839D-4E08-46FB-9E7A-6E02794C4EF3}"/>
    <hyperlink ref="C38" r:id="rId29" display="https://www.techinasia.com/shopee-tiktok-shops-dominance-squeezes-vietnams-couriers" xr:uid="{597F24E5-87D5-4EE3-9042-7452CFCA4E60}"/>
    <hyperlink ref="A38" r:id="rId30" xr:uid="{7139B6DB-B1FD-4069-AEE5-98E13A8E0807}"/>
    <hyperlink ref="D38" r:id="rId31" display="https://www.techinasia.com/news/alibaba-tencent-lose-66b-ai-bets-lack-clear-payoff" xr:uid="{49809069-F3BF-4EA1-A060-306F97B14DF3}"/>
    <hyperlink ref="E38" r:id="rId32" display="https://www.techinasia.com/news/alibaba-net-income-drops-66-quick-commerce-investment-rises" xr:uid="{78C990D1-9BAF-4C16-8F67-8A06A3E272DC}"/>
    <hyperlink ref="C39" r:id="rId33" display="https://www.techinasia.com/news/meta-tests-ai-shopping-pop-up-on-facebook-instagram" xr:uid="{777D5D8C-DB1A-4179-B112-7C7445820233}"/>
    <hyperlink ref="A39" r:id="rId34" display="https://www.techinasia.com/category/e-commerce-social-commerce" xr:uid="{0AF04FC9-D65C-4D0C-8042-F0AC68496AFA}"/>
    <hyperlink ref="C36" r:id="rId35" display="https://www.momo.vn/tin-tuc/khuyen-mai/sale-44-combo-ve-du-lich-giam-den-50-san-ve-choi-8590" xr:uid="{5BA3BC31-C51F-4B7D-A230-0005BB58A2F4}"/>
    <hyperlink ref="E36" r:id="rId36" display="https://www.momo.vn/tin-tuc/khuyen-mai/ban-moi-nhap-ma-chonmomo-co-qua-500000d-giam-8225" xr:uid="{97D8FEE7-BDD7-450A-BC58-63AEC41649D8}"/>
    <hyperlink ref="F36" r:id="rId37" display="https://www.momo.vn/tin-tuc/khuyen-mai/don-hoa-no-san-deal-xin-giam-den-500000d-tren-8588" xr:uid="{F30C0644-7244-48B6-9C34-DD4401D6463A}"/>
    <hyperlink ref="G36" r:id="rId38" display="https://www.momo.vn/tin-tuc/khuyen-mai/tu-dong-canh-bao-phat-nguoi-khi-he-thong-phat-8586" xr:uid="{1A846C21-5306-4982-82CD-CFE3302FFE72}"/>
    <hyperlink ref="H36" r:id="rId39" display="https://www.momo.vn/tin-tuc/khuyen-mai/gio-nghi-trai-nghiem-coca-cola-mien-phi-tai-cvs-8585" xr:uid="{89058F28-ADB7-4CEC-B796-EDE1546DBD39}"/>
    <hyperlink ref="I36" r:id="rId40" display="https://www.momo.vn/tin-tuc/khuyen-mai/sieu-sale-sinh-nhat-lazada-hoan-tien-gap-3-lan-8583" xr:uid="{8A2A5371-22DF-4DBF-9FAD-E88E24543AEA}"/>
    <hyperlink ref="J36" r:id="rId41" display="https://www.momo.vn/tin-tuc/khuyen-mai/tich-ngay-500-xu-khi-tai-ma-qr-nhan-tien-8582" xr:uid="{5B96F6B0-7E19-4B23-A9A6-E776D1D219D1}"/>
    <hyperlink ref="K36" r:id="rId42" display="https://www.momo.vn/tin-tuc/thong-cao-bao-chi/momo-cap-nhat-moi-nhat-ve-giai-phap-nhan-tien-8587" xr:uid="{5518B033-92D2-4EE6-9D9E-E54AAA33B785}"/>
    <hyperlink ref="L36" r:id="rId43" display="https://www.momo.vn/tin-tuc/khuyen-mai/thong-bao-thay-doi-phi-thanh-toan-toi-thieu-va-8573" xr:uid="{E12A24D5-4C73-487E-A57C-CDE2F1EA46AC}"/>
    <hyperlink ref="M36" r:id="rId44" display="https://www.momo.vn/tin-tuc/thong-bao/di-lam-tien-loi-tiet-kiem-hon-quet-momo-di-metro-8578" xr:uid="{7D018A92-5485-42B8-B225-039F7B3EB6BA}"/>
    <hyperlink ref="N36" r:id="rId45" display="https://www.momo.vn/tin-tuc/khuyen-mai/sale-cuoi-thang-duy-nhat-253-combo-du-lich-le-8577" xr:uid="{611AA772-F2C2-4672-88C7-B551112865A8}"/>
    <hyperlink ref="O36" r:id="rId46" display="https://www.momo.vn/tin-tuc/khuyen-mai/19-3-31-3-hoan-ngay-4k-khi-chuyen-2k-tu-ngan-hang-8572" xr:uid="{921A96EF-7A8F-4FFE-8BBD-1A78811407AD}"/>
    <hyperlink ref="P36" r:id="rId47" display="https://www.momo.vn/tin-tuc/thong-bao/momo-ra-mat-tinh-nang-cap-nhat-so-dien-thoai-8571" xr:uid="{D55F9659-C5D2-45D4-A105-1CBB91D8B5BD}"/>
    <hyperlink ref="Q36" r:id="rId48" display="https://www.momo.vn/tin-tuc/khuyen-mai/rut-thong-diep-mo-yeu-thuong-khui-kho-qua-500-8570" xr:uid="{DFD68649-2681-4CBA-8B53-8D1126524A7B}"/>
    <hyperlink ref="R36" r:id="rId49" display="https://www.momo.vn/tin-tuc/khuyen-mai/nhan-canh-bao-phat-hien-nguy-co-lua-dao-khi-8568" xr:uid="{B0FA17B2-2557-4570-ABF3-64A080508071}"/>
    <hyperlink ref="S36" r:id="rId50" display="https://www.momo.vn/tin-tuc/khuyen-mai/mua-shopee-qua-tinh-nang-hoan-tien-mua-sam-hoan-8563" xr:uid="{D359AE4B-0067-4BFE-BFAF-59F62AA738E3}"/>
    <hyperlink ref="T36" r:id="rId51" display="https://www.momo.vn/tin-tuc/khuyen-mai/mien-phi-ngay-1-lit-xang-khi-nhan-thich-muc-tra-8561" xr:uid="{BF2F1E28-FB0A-4AF4-9CD5-384A2AA88597}"/>
    <hyperlink ref="U36" r:id="rId52" display="https://www.momo.vn/tin-tuc/khuyen-mai/uu-dai-hoi-nhat-thang-giam-den-45k-mua-icloud-luu-8558" xr:uid="{61429A7F-43D0-4DA1-80AF-BA5CF5715601}"/>
    <hyperlink ref="V36" r:id="rId53" display="https://www.momo.vn/tin-tuc/khuyen-mai/lan-dau-co-tren-momo-giam-den-45k-khi-dang-ky-8557" xr:uid="{8CC97ACD-217D-4027-94A6-B71C1EBD9E8B}"/>
    <hyperlink ref="X36" r:id="rId54" display="https://www.momo.vn/tin-tuc/khuyen-mai/uu-dai-hoi-nhat-thang-giam-den-45k-nap-game-leo-8556" xr:uid="{897BE850-ACB4-418D-8FB0-B80FB6D64FA5}"/>
    <hyperlink ref="Y36" r:id="rId55" display="https://www.momo.vn/tin-tuc/thong-bao/ban-tin-gop-y-va-tinh-nang-moi-thang-2-2026-8554" xr:uid="{9999829F-D91A-4D4D-A21C-FE3E8B14028C}"/>
    <hyperlink ref="A46" r:id="rId56" display="https://dantri.com.vn/cong-nghe/meta-va-google-bi-phat-vi-nen-tang-mang-xa-hoi-gay-nghien-cho-nguoi-dung-20260326092131367.htm" xr:uid="{5F6AE734-B15F-44B0-94B1-39D2A3B3B364}"/>
    <hyperlink ref="A47" r:id="rId57" display="https://dantri.com.vn/cong-nghe/ios-27-se-giup-tro-ly-ao-siri-lot-xac-20260325124237776.htm" xr:uid="{35BECCB8-7E86-479A-8A86-01BC80E63E2F}"/>
    <hyperlink ref="A48" r:id="rId58" display="https://dantri.com.vn/cong-nghe/tai-dien-chieu-tro-lua-dao-chiem-doat-tai-khoan-telegram-tai-viet-nam-20260324155052293.htm" xr:uid="{4F280661-5A1F-4369-8164-5678D3C15D30}"/>
    <hyperlink ref="A49" r:id="rId59" display="https://genk.vn/chatgpt-sap-cho-phep-noi-dung-nhay-cam-day-lo-ngai-lo-du-lieu-ca-nhan-165260322073640315.chn" xr:uid="{760227D9-5B8E-4850-BB31-84EF2496BE02}"/>
    <hyperlink ref="A50" r:id="rId60" display="https://genk.vn/openai-len-ke-hoach-ra-mat-sieu-ung-dung-tren-may-tinh-165260322073417885.chn" xr:uid="{AAD165E8-6DE5-4E73-A783-45ED5E5496C4}"/>
    <hyperlink ref="A51" r:id="rId61" display="https://genk.vn/con-ac-mong-cua-marketing-openclaw-co-the-lam-mat-dau-an-thuong-hieu-bien-app-thanh-vo-hinh-giao-dien-phan-mem-ui-ux-tro-nen-vo-dung-165260323082541686.chn" xr:uid="{BE3EE067-0E03-4D9E-A786-A45BB8800328}"/>
    <hyperlink ref="A52" r:id="rId62" display="https://genk.vn/openclaw-khien-30-nam-kinh-nghiem-excel-tro-nen-vo-nghia-day-co-phai-ngay-tan-cua-ky-nang-su-dung-may-tinh-van-phong-165260323082818451.chn" xr:uid="{68B1CF98-019A-41FA-965B-7E7E7F38F2B1}"/>
    <hyperlink ref="A53" r:id="rId63" display="https://genk.vn/mot-doanh-nghiep-cong-nghe-viet-lot-top-35-nha-cung-cap-dich-vu-phat-trien-ung-dung-ai-toan-cau-16526240315321592.chn" xr:uid="{D044A8DA-BB75-486A-B3AF-F401DCB6F420}"/>
    <hyperlink ref="A54" r:id="rId64" display="https://genk.vn/openai-dot-ngot-khai-tu-ung-dung-sora-sau-4-thang-disney-ngo-ngang-khi-thoa-thuan-1-ty-usd-bay-mau-165260325083415473.chn" xr:uid="{6FF37A9C-B2F6-4454-BDCC-BFC3464211E5}"/>
    <hyperlink ref="A55" r:id="rId65" display="https://genk.vn/tin-vui-cho-35-ty-nguoi-dung-google-chrome-16526032408203803.chn" xr:uid="{04FC5D90-0121-41A7-BD96-95B12C6157C2}"/>
    <hyperlink ref="A56" r:id="rId66" display="https://luatvietnam.vn/chinh-sach-moi-hang-thang/chinh-sach-moi-co-hieu-luc-thang-4-2026-559-107852-article.html" xr:uid="{59B23568-EEB5-4A3C-BF4F-D037D7244665}"/>
    <hyperlink ref="A57" r:id="rId67" display="https://luatvietnam.vn/thue/thong-tu-18-2026-tt-btc-quy-dinh-ho-so-thu-tuc-quan-ly-thue-cho-ho-kinh-doanh-427777-d1.html" xr:uid="{0132F399-67F2-4ACF-B14F-147201C6E821}"/>
    <hyperlink ref="A58" r:id="rId68" display="https://luatvietnam.vn/tai-chinh/thong-tu-30-2025-tt-nhnn-sua-doi-thong-tu-15-2024-ve-dich-vu-thanh-toan-khong-dung-tien-mat-413828-d1.html" xr:uid="{C2D81F47-FC16-469F-9E09-B78C63D9F6F3}"/>
    <hyperlink ref="A59" r:id="rId69" display="https://techcrunch.com/2026/03/26/whatsapp-can-now-draft-ai-generated-responses-based-on-your-conversations/" xr:uid="{25EDA709-A19F-4CC6-91C0-B3C31071E7E7}"/>
    <hyperlink ref="A60" r:id="rId70" display="https://techcrunch.com/2026/03/25/apple-overhauls-its-app-developer-platform-with-100-new-metrics-more-tools/" xr:uid="{F95590B3-CC0F-4AC4-AB1A-88EDCA9E7F98}"/>
    <hyperlink ref="A61" r:id="rId71" display="https://techcrunch.com/2026/03/25/meta-turns-to-ai-to-make-shopping-easier-on-instagram-and-facebook/" xr:uid="{2BDC5695-4CBB-4F37-910A-8E953C2F35EE}"/>
    <hyperlink ref="A62" r:id="rId72" display="https://techcrunch.com/2026/03/24/apple-music-partners-with-ticketmaster-to-power-its-concert-discovery-feature/" xr:uid="{92AA0D59-E47B-4399-9008-3BC7D8EDC683}"/>
    <hyperlink ref="A63" r:id="rId73" display="https://techcrunch.com/2026/03/24/tiktok-ads-are-about-to-get-a-tad-more-disruptive/" xr:uid="{3ABDA06F-1B71-4EA5-8C2A-BAAD2A0FAF69}"/>
    <hyperlink ref="A64" r:id="rId74" display="https://vneconomy.vn/techconnect/esports-nations-cup-2026-cong-bo-viresa-la-doi-tac-quoc-gia-tai-viet-nam.htm" xr:uid="{71CC9F62-FE15-4D3C-ADB9-2D439F06B9CD}"/>
    <hyperlink ref="A65" r:id="rId75" display="https://vneconomy.vn/techconnect/con-sot-ai-agent-dang-thuc-day-cuoc-dua-ha-tang-tinh-toan-toan-cau.htm" xr:uid="{EFA11314-B3C0-4115-A686-0C2FBD1DA47C}"/>
    <hyperlink ref="A66" r:id="rId76" display="https://vnexpress.net/sap-ap-dung-quy-chuan-an-toan-cho-smartphone-tai-viet-nam-5054879.html" xr:uid="{7B36F949-6565-4561-8BCF-D450B806A25B}"/>
    <hyperlink ref="A67" r:id="rId77" display="https://vnexpress.net/viet-nam-quan-ly-ai-the-nao-theo-luat-moi-5054752.html" xr:uid="{63D950A6-C9E1-475D-AFB1-8AA6D5E5A02F}"/>
    <hyperlink ref="A68" r:id="rId78" display="https://www.bloomberg.com/news/articles/2026-03-26/google-gemini-adds-tool-to-make-it-easier-to-switch-from-chatgpt?srnd=phx-technology-consumer-tech" xr:uid="{40C5046F-A91B-4290-9A6B-2458AB6D7790}"/>
    <hyperlink ref="A69" r:id="rId79" display="https://www.bloomberg.com/news/articles/2026-03-23/samsung-phones-can-now-share-with-iphones-using-apple-s-airdrop-protocol?srnd=phx-technology-consumer-tech" xr:uid="{04A1E063-48C8-4124-808C-4B844DD61C99}"/>
    <hyperlink ref="A70" r:id="rId80" display="https://www.momo.vn/tin-tuc/khuyen-mai/sale-44-combo-ve-du-lich-giam-den-50-san-ve-choi-8590" xr:uid="{83E93537-49A1-4EF9-8997-095CE79B6828}"/>
    <hyperlink ref="A71" r:id="rId81" display="https://www.momo.vn/tin-tuc/khuyen-mai/ban-moi-nhap-ma-chonmomo-co-qua-500000d-giam-8225" xr:uid="{7903BC28-5B41-455F-B868-F0A6234FFA4A}"/>
    <hyperlink ref="A72" r:id="rId82" display="https://www.momo.vn/tin-tuc/khuyen-mai/don-hoa-no-san-deal-xin-giam-den-500000d-tren-8588" xr:uid="{1EA3392A-10F3-4118-87FA-471E92256B99}"/>
    <hyperlink ref="A73" r:id="rId83" display="https://www.momo.vn/tin-tuc/khuyen-mai/tu-dong-canh-bao-phat-nguoi-khi-he-thong-phat-8586" xr:uid="{5BB5A1DF-EB72-40F1-B5C6-2BFEDFC7D341}"/>
    <hyperlink ref="A74" r:id="rId84" display="https://www.momo.vn/tin-tuc/khuyen-mai/gio-nghi-trai-nghiem-coca-cola-mien-phi-tai-cvs-8585" xr:uid="{393808B8-8EF2-4A5B-B07E-783C6EC95DB9}"/>
    <hyperlink ref="A75" r:id="rId85" display="https://www.momo.vn/tin-tuc/khuyen-mai/sieu-sale-sinh-nhat-lazada-hoan-tien-gap-3-lan-8583" xr:uid="{DE628A78-875E-4852-BABB-FF31DC755E04}"/>
    <hyperlink ref="A76" r:id="rId86" display="https://www.momo.vn/tin-tuc/khuyen-mai/tich-ngay-500-xu-khi-tai-ma-qr-nhan-tien-8582" xr:uid="{EA9334AC-E10B-4A45-871E-949B7FF5D782}"/>
    <hyperlink ref="A77" r:id="rId87" display="https://www.momo.vn/tin-tuc/thong-cao-bao-chi/momo-cap-nhat-moi-nhat-ve-giai-phap-nhan-tien-8587" xr:uid="{29914785-0D86-4405-81ED-28858881F0E3}"/>
    <hyperlink ref="A78" r:id="rId88" display="https://www.momo.vn/tin-tuc/khuyen-mai/thong-bao-thay-doi-phi-thanh-toan-toi-thieu-va-8573" xr:uid="{D2F3B401-7205-4C8B-8088-CCC687BB22FE}"/>
    <hyperlink ref="A79" r:id="rId89" display="https://www.momo.vn/tin-tuc/thong-bao/di-lam-tien-loi-tiet-kiem-hon-quet-momo-di-metro-8578" xr:uid="{517F8E94-2EF9-4052-BE99-A8131398296B}"/>
    <hyperlink ref="A80" r:id="rId90" display="https://www.momo.vn/tin-tuc/khuyen-mai/sale-cuoi-thang-duy-nhat-253-combo-du-lich-le-8577" xr:uid="{C72CDAB4-A05D-4A20-B3C8-873AC00C2F1A}"/>
    <hyperlink ref="A81" r:id="rId91" display="https://www.momo.vn/tin-tuc/khuyen-mai/19-3-31-3-hoan-ngay-4k-khi-chuyen-2k-tu-ngan-hang-8572" xr:uid="{721DCEF6-3AD1-49C5-AE66-389823A95DE8}"/>
    <hyperlink ref="A82" r:id="rId92" display="https://www.momo.vn/tin-tuc/thong-bao/momo-ra-mat-tinh-nang-cap-nhat-so-dien-thoai-8571" xr:uid="{306EE0A2-456E-4CB5-BBFF-C23848018FBA}"/>
    <hyperlink ref="A83" r:id="rId93" display="https://www.momo.vn/tin-tuc/khuyen-mai/rut-thong-diep-mo-yeu-thuong-khui-kho-qua-500-8570" xr:uid="{8571EB1E-DC5B-48C6-B7F4-87AA7A0C9D88}"/>
    <hyperlink ref="A84" r:id="rId94" display="https://www.momo.vn/tin-tuc/khuyen-mai/nhan-canh-bao-phat-hien-nguy-co-lua-dao-khi-8568" xr:uid="{1E0F571F-DAFC-4F84-9762-970AE3170CA6}"/>
    <hyperlink ref="A85" r:id="rId95" display="https://www.momo.vn/tin-tuc/khuyen-mai/mua-shopee-qua-tinh-nang-hoan-tien-mua-sam-hoan-8563" xr:uid="{187CFC92-E544-448D-97B0-629DEF6AA30E}"/>
    <hyperlink ref="A86" r:id="rId96" display="https://www.momo.vn/tin-tuc/khuyen-mai/mien-phi-ngay-1-lit-xang-khi-nhan-thich-muc-tra-8561" xr:uid="{6E2B28B2-7260-4368-B468-878549B60BB4}"/>
    <hyperlink ref="A87" r:id="rId97" display="https://www.momo.vn/tin-tuc/khuyen-mai/uu-dai-hoi-nhat-thang-giam-den-45k-mua-icloud-luu-8558" xr:uid="{8BBF4817-FA56-49B0-BADC-A8BD378C0018}"/>
    <hyperlink ref="A88" r:id="rId98" display="https://www.momo.vn/tin-tuc/khuyen-mai/lan-dau-co-tren-momo-giam-den-45k-khi-dang-ky-8557" xr:uid="{0CE4C50E-E838-4D2F-9C2E-3A500F12A3B0}"/>
    <hyperlink ref="A91" r:id="rId99" display="https://www.techinasia.com/solving-mid-market-finance-pain-with-ai-agents" xr:uid="{CE2827A8-AFC6-41F8-AF0F-36BF61C356AC}"/>
    <hyperlink ref="A92" r:id="rId100" display="https://www.techinasia.com/news/fomo-pay-launches-ai-soundbox-for-unified-payments" xr:uid="{11F3754E-D721-4E2F-9387-391089F145D0}"/>
    <hyperlink ref="A93" r:id="rId101" display="https://www.techinasia.com/news/robinhood-ups-stock-buyback-plan-15b" xr:uid="{985B4B7B-AA38-4578-881B-921FAE29F465}"/>
    <hyperlink ref="A94" r:id="rId102" display="https://www.techinasia.com/news/indonesia-enables-qr-code-payments-for-japanese-tourists" xr:uid="{3A65CE1E-1C99-4886-8F57-22482CE88926}"/>
    <hyperlink ref="A95" r:id="rId103" display="https://www.techinasia.com/shopee-tiktok-shops-dominance-squeezes-vietnams-couriers" xr:uid="{22C177CC-6393-44CB-A137-7885547E9D9A}"/>
    <hyperlink ref="A96" r:id="rId104" display="https://www.techinasia.com/news/alibaba-tencent-lose-66b-ai-bets-lack-clear-payoff" xr:uid="{708F9517-01A7-4F10-A5B0-969FE19D78E2}"/>
    <hyperlink ref="A97" r:id="rId105" display="https://www.techinasia.com/news/alibaba-net-income-drops-66-quick-commerce-investment-rises" xr:uid="{1AC1FF55-5A93-433A-BAB0-CAF7CE3479D8}"/>
    <hyperlink ref="A98" r:id="rId106" display="https://www.techinasia.com/news/meta-tests-ai-shopping-pop-up-on-facebook-instagram" xr:uid="{560869D7-D619-4209-AE1A-AEE410D2957A}"/>
    <hyperlink ref="A89" r:id="rId107" display="https://www.momo.vn/tin-tuc/khuyen-mai/uu-dai-hoi-nhat-thang-giam-den-45k-nap-game-leo-8556" xr:uid="{E04538D9-CCEB-42D9-95E0-9F3996CE23EF}"/>
    <hyperlink ref="A90" r:id="rId108" display="https://www.momo.vn/tin-tuc/thong-bao/ban-tin-gop-y-va-tinh-nang-moi-thang-2-2026-8554" xr:uid="{D36D46AB-067F-4191-9553-2669215DDCBB}"/>
    <hyperlink ref="C133" r:id="rId109" display="https://dantri.com.vn/cong-nghe/doi-thiet-bi-khong-xac-thuc-lai-khuon-mat-se-bi-khoa-2-chieu-sau-30-ngay-20260403142249103.htm" xr:uid="{66C31CA7-7DE3-4DF7-BDD4-520F5B736464}"/>
    <hyperlink ref="D133" r:id="rId110" display="https://dantri.com.vn/cong-nghe/con-ga-de-trung-vang-cua-anthropic-bi-lo-ma-nguon-20260401091143923.htm" xr:uid="{BFE754EB-E84A-4D93-BB58-79C601C729FC}"/>
    <hyperlink ref="E133" r:id="rId111" display="https://dantri.com.vn/cong-nghe/instagram-thu-nghiem-goi-plus-thu-phi-nguoi-dung-20260331120043285.htm" xr:uid="{AB1CB17B-AC43-4365-889E-BDC0BF7BA5B7}"/>
    <hyperlink ref="F133" r:id="rId112" display="https://dantri.com.vn/cong-nghe/tiet-lo-moi-ve-moi-quan-he-giua-apple-va-google-20260329170911100.htm" xr:uid="{BDA75221-EED5-413B-BC35-7F3A37CC36C1}"/>
    <hyperlink ref="C134" r:id="rId113" display="https://dantri.com.vn/cong-nghe/cong-ty-lam-lo-tai-lieu-noi-bo-he-mo-mo-hinh-ai-co-the-tan-cong-mang-20260328090451830.htm" xr:uid="{FD439D60-6208-4FED-B7AB-34E897A84BC5}"/>
    <hyperlink ref="A143" r:id="rId114" xr:uid="{36FF7442-B07A-4954-861A-0B0C4F50F3E6}"/>
    <hyperlink ref="C260" r:id="rId115" xr:uid="{B0A3591B-FD3A-4246-AB9F-1D242397B1C9}"/>
    <hyperlink ref="D260" r:id="rId116" xr:uid="{7209DF2B-DB88-4F5C-8B8F-741D12D6636E}"/>
    <hyperlink ref="C261" r:id="rId117" xr:uid="{F6C79160-5FD5-4063-94F1-B2446D68AF54}"/>
    <hyperlink ref="D261" r:id="rId118" xr:uid="{7917BFCF-4E25-4EFE-870D-CAA1BB37E453}"/>
    <hyperlink ref="E261" r:id="rId119" xr:uid="{8B6A6A6B-E7DB-4AB0-8D82-2F2F8DF8C12F}"/>
    <hyperlink ref="C263" r:id="rId120" xr:uid="{3E0CCE8F-BCFB-4FCC-B7B0-59E852D89CBA}"/>
    <hyperlink ref="D263" r:id="rId121" xr:uid="{C6CBB879-1698-46E5-840D-1D7D08A4E6EC}"/>
    <hyperlink ref="E263" r:id="rId122" xr:uid="{51D5447D-D0BF-4391-91B6-CBD557FF2E7D}"/>
    <hyperlink ref="F263" r:id="rId123" xr:uid="{FE33A7D9-7DB4-4D2F-AC4B-E503C9E309C0}"/>
    <hyperlink ref="G263" r:id="rId124" xr:uid="{44B91684-E7CE-4478-934E-72062A10696B}"/>
    <hyperlink ref="C264" r:id="rId125" xr:uid="{EA6190CD-74CB-493A-92C7-31C5CCA6BFDE}"/>
    <hyperlink ref="D264" r:id="rId126" xr:uid="{33BCA111-B9D8-4E63-AC0F-3AF05AFEDC7B}"/>
    <hyperlink ref="C265" r:id="rId127" xr:uid="{88865A19-7792-4716-BDC3-1AFD5ADB4E9F}"/>
    <hyperlink ref="D265" r:id="rId128" xr:uid="{01541A11-8EEE-4B7A-85CD-60A5614D3333}"/>
    <hyperlink ref="C266" r:id="rId129" xr:uid="{A9F022E4-528F-4F74-BD09-F12E36180121}"/>
    <hyperlink ref="D266" r:id="rId130" xr:uid="{01A6567A-15DB-4654-8048-375F0BAD6368}"/>
    <hyperlink ref="E266" r:id="rId131" xr:uid="{1E11F49C-CF25-4FA5-A4B5-E2152A9B5BA8}"/>
    <hyperlink ref="F266" r:id="rId132" xr:uid="{1B031C7B-FA9A-48C2-9C1E-98422CAF4A7B}"/>
    <hyperlink ref="G266" r:id="rId133" xr:uid="{A05AEBD7-42DC-42B7-8288-34BE13810891}"/>
    <hyperlink ref="H266" r:id="rId134" xr:uid="{4CBD471A-07A6-4287-B857-55AF238BF7EE}"/>
    <hyperlink ref="I266" r:id="rId135" xr:uid="{C9A86103-0C5F-41CE-9D07-FA56EFE91F76}"/>
    <hyperlink ref="J266" r:id="rId136" xr:uid="{0CB19ECE-E44B-4D04-ADD2-A46044FA2E56}"/>
    <hyperlink ref="C267" r:id="rId137" xr:uid="{A5129CF9-24A1-43BC-97BF-6B9CB127899F}"/>
    <hyperlink ref="C268" r:id="rId138" xr:uid="{406E5E8E-E60B-4135-A3AB-E3B3B31D3827}"/>
    <hyperlink ref="D268" r:id="rId139" xr:uid="{F87A1EDA-4B94-4961-B11C-60933B3A49CB}"/>
    <hyperlink ref="E268" r:id="rId140" xr:uid="{9707A768-5249-42F3-84B1-CC4166BF66D6}"/>
    <hyperlink ref="F268" r:id="rId141" xr:uid="{CF2CD292-3AEC-4ED0-923E-F8269541BF77}"/>
    <hyperlink ref="G268" r:id="rId142" xr:uid="{2166B23E-191E-4C2C-9614-3B38C37EB80A}"/>
    <hyperlink ref="H268" r:id="rId143" xr:uid="{3DB88415-2636-4839-BF7B-F8652F04CD72}"/>
    <hyperlink ref="I268" r:id="rId144" xr:uid="{21ED0AE4-A103-425F-ABAB-A683FB067344}"/>
    <hyperlink ref="J268" r:id="rId145" xr:uid="{58399D23-0D3F-4E2B-A8F6-1731AE03D7D3}"/>
    <hyperlink ref="C269" r:id="rId146" xr:uid="{70DBEE38-CB60-41D8-8AA0-7C5AD4157669}"/>
    <hyperlink ref="D269" r:id="rId147" xr:uid="{C62F5D2E-1F84-4663-B5D9-3A9BE34D29C2}"/>
    <hyperlink ref="E269" r:id="rId148" xr:uid="{6BFD9ADA-FB8A-434A-9E1A-232D5FA13768}"/>
    <hyperlink ref="F269" r:id="rId149" xr:uid="{DA06D83F-34B7-4145-9BA2-6F3C582E0F5C}"/>
    <hyperlink ref="C270" r:id="rId150" xr:uid="{2A6F5C26-AD27-487D-B9BE-05C1A2054182}"/>
    <hyperlink ref="D270" r:id="rId151" xr:uid="{412761FF-D1DE-422A-AD17-79EA0ED41816}"/>
    <hyperlink ref="E270" r:id="rId152" xr:uid="{05884844-B708-45FD-BEE6-B1840E439AAB}"/>
    <hyperlink ref="F270" r:id="rId153" xr:uid="{B593753A-101C-4732-9C75-BEAA74EE4B4B}"/>
    <hyperlink ref="C271" r:id="rId154" xr:uid="{D96C7891-2B85-4F10-8DCF-0D9B172F6FE7}"/>
    <hyperlink ref="D271" r:id="rId155" xr:uid="{5A463482-1C27-4262-9F30-F68A7B240258}"/>
    <hyperlink ref="E271" r:id="rId156" xr:uid="{44E94AFB-D896-4AE7-8DFB-6C59093C781C}"/>
    <hyperlink ref="F271" r:id="rId157" xr:uid="{4792879C-46DC-48F1-ADEE-8EE7D217ECEB}"/>
    <hyperlink ref="G271" r:id="rId158" xr:uid="{80EDE062-E346-498F-90A4-048B51D5FCAD}"/>
    <hyperlink ref="H271" r:id="rId159" xr:uid="{53B1C349-DAD3-4111-826E-08106C28B828}"/>
    <hyperlink ref="I271" r:id="rId160" xr:uid="{F63F7F1E-5878-4C01-9507-3B94433F9B7F}"/>
    <hyperlink ref="J271" r:id="rId161" xr:uid="{300CD8B3-00A7-4DBA-9C79-C43C6D4A9FC1}"/>
    <hyperlink ref="K271" r:id="rId162" xr:uid="{80F15AED-FF80-4490-B28A-A034DD8F32D8}"/>
    <hyperlink ref="L271" r:id="rId163" xr:uid="{A3A3D25A-5C0D-4AFC-BAEC-A41B4B486772}"/>
    <hyperlink ref="M271" r:id="rId164" xr:uid="{482D8E1A-14DD-4461-8173-6ABB6A152097}"/>
    <hyperlink ref="N271" r:id="rId165" xr:uid="{BD7B07AF-B658-4ACB-BC50-4AAB7F51DE30}"/>
    <hyperlink ref="O271" r:id="rId166" xr:uid="{B316ABE7-C49B-4763-8CF9-CDE2144A9FCB}"/>
    <hyperlink ref="P271" r:id="rId167" xr:uid="{CCA65882-A516-4589-B025-0B224794FC52}"/>
    <hyperlink ref="Q271" r:id="rId168" xr:uid="{A517AE87-C8EE-420E-B14F-ED6541A07130}"/>
    <hyperlink ref="R271" r:id="rId169" xr:uid="{C1CB6C59-1BCA-4FB7-A593-449D29771361}"/>
    <hyperlink ref="S271" r:id="rId170" xr:uid="{0979D81D-49BA-4AC1-8E73-C5F91E3EFF38}"/>
    <hyperlink ref="T271" r:id="rId171" xr:uid="{D69BC851-FB2C-43F5-9E1D-FF73AB00C6AD}"/>
    <hyperlink ref="U271" r:id="rId172" xr:uid="{66CBA210-92AD-44C4-9CCB-4AFBE2C29981}"/>
    <hyperlink ref="C275" r:id="rId173" xr:uid="{3901D85F-44BC-47FD-A7EB-AC65561A8188}"/>
    <hyperlink ref="D275" r:id="rId174" xr:uid="{1B6FD0BB-6C3A-41AD-9DA2-3DD286608F70}"/>
    <hyperlink ref="C276" r:id="rId175" xr:uid="{990EFA20-8993-4BDE-AA96-2FD6ECD4879E}"/>
    <hyperlink ref="D276" r:id="rId176" xr:uid="{A68A65DA-063D-4B60-8154-05D2B81654D9}"/>
    <hyperlink ref="E276" r:id="rId177" xr:uid="{80C58929-9686-4A65-B62A-DF885D855E97}"/>
    <hyperlink ref="F276" r:id="rId178" xr:uid="{4DED31E3-5DD1-4856-86A0-6CCED942DF46}"/>
    <hyperlink ref="G276" r:id="rId179" xr:uid="{D26FE0E9-363C-4121-B1DA-EDC83054B958}"/>
    <hyperlink ref="H276" r:id="rId180" xr:uid="{367123FC-E4C5-434A-8118-448D85B86D20}"/>
    <hyperlink ref="I276" r:id="rId181" xr:uid="{9A6F64D0-3777-4772-B40E-4150C957EB07}"/>
    <hyperlink ref="J276" r:id="rId182" xr:uid="{43DEEADC-8FD0-409C-AFF2-9EF6DFBFB485}"/>
    <hyperlink ref="C277" r:id="rId183" xr:uid="{1C819AA3-7D8A-41A7-B820-FDF9308A5E7E}"/>
    <hyperlink ref="C278" r:id="rId184" xr:uid="{E220138A-4A55-4BE7-857A-CB5944574D82}"/>
    <hyperlink ref="C285" r:id="rId185" xr:uid="{FC985067-7D21-4616-95B0-8C68B2F679C5}"/>
    <hyperlink ref="C286" r:id="rId186" xr:uid="{4BCC6DA3-63A2-48EA-AFB8-077FE84D7AFB}"/>
    <hyperlink ref="D286" r:id="rId187" xr:uid="{4F88D725-DDDF-4984-968E-F3D57804EEDC}"/>
    <hyperlink ref="C287" r:id="rId188" xr:uid="{23D71558-C1E4-4E44-9650-3AAD7EC4595D}"/>
    <hyperlink ref="D287" r:id="rId189" xr:uid="{ECCB54CB-EAD6-4559-B232-0C0726A456D1}"/>
    <hyperlink ref="E287" r:id="rId190" xr:uid="{B18CC3C9-A02B-4499-BB7A-9FAEE540D329}"/>
    <hyperlink ref="C288" r:id="rId191" xr:uid="{BE48BBF3-68E8-4B42-BDFE-33A300F4F478}"/>
    <hyperlink ref="C289" r:id="rId192" xr:uid="{71076061-4F1E-484D-AE9E-6C4FF9F82586}"/>
    <hyperlink ref="C290" r:id="rId193" xr:uid="{A46AB3C0-8AC3-4B1C-9786-D76D1F30AFE5}"/>
    <hyperlink ref="D290" r:id="rId194" xr:uid="{950F6234-8F3D-4826-A4F4-2B4218F7D963}"/>
    <hyperlink ref="E290" r:id="rId195" xr:uid="{80F78C3D-B350-4D28-892E-DEC1030F7B6F}"/>
    <hyperlink ref="F290" r:id="rId196" xr:uid="{C848EB81-2575-406A-A4B4-A282CDFA25CA}"/>
    <hyperlink ref="G290" r:id="rId197" xr:uid="{D2C442C1-9B82-4DD0-A8B4-940A38E596F0}"/>
    <hyperlink ref="C292" r:id="rId198" xr:uid="{E88FC797-D723-424E-860F-43C8B1128F3F}"/>
    <hyperlink ref="C293" r:id="rId199" xr:uid="{9B6A0DF2-7718-4C71-902A-F9A542CE5B24}"/>
    <hyperlink ref="C294" r:id="rId200" xr:uid="{E09B1AA5-3A5F-40E8-AFB7-CE3360EFAE25}"/>
    <hyperlink ref="D294" r:id="rId201" xr:uid="{C09A0301-C8B5-4FC9-ACE6-D3B76803F543}"/>
    <hyperlink ref="C295" r:id="rId202" xr:uid="{62497E0E-FB85-455E-A233-5E91D0D2B44F}"/>
    <hyperlink ref="C296" r:id="rId203" xr:uid="{EFFD1710-4031-4279-B82C-8E6C251F8053}"/>
    <hyperlink ref="D296" r:id="rId204" xr:uid="{6173846A-4386-4CB8-ACA6-1E3009522A0F}"/>
    <hyperlink ref="E296" r:id="rId205" xr:uid="{5194D34E-3AC8-4D1E-AAFD-0A19261996EE}"/>
    <hyperlink ref="A299" r:id="rId206" xr:uid="{5AE96D68-4E94-461A-B356-88FAE0E1FC58}"/>
    <hyperlink ref="A325" r:id="rId207" xr:uid="{8A5293F0-4E01-4BAF-BB44-32788851DF1E}"/>
    <hyperlink ref="A300" r:id="rId208" xr:uid="{94296B01-1736-4BE3-A2B8-3ED61A7C691D}"/>
    <hyperlink ref="A326" r:id="rId209" xr:uid="{43F48011-34C3-471B-9B55-D36DF9A8F7CF}"/>
    <hyperlink ref="A342" r:id="rId210" xr:uid="{BD308F73-DE65-4EAA-BD6E-1B20FA60293F}"/>
    <hyperlink ref="A301" r:id="rId211" xr:uid="{DA353671-2A39-4849-9DC6-6F7BF0D5EF67}"/>
    <hyperlink ref="A327" r:id="rId212" xr:uid="{5D6ACB6B-4738-42F7-95F2-30288B600E12}"/>
    <hyperlink ref="A343" r:id="rId213" xr:uid="{C82FC314-D866-47FC-945C-7B63DFFCCD09}"/>
    <hyperlink ref="A353" r:id="rId214" xr:uid="{1F726465-142E-4AE7-96B8-235B52CE675D}"/>
    <hyperlink ref="A361" r:id="rId215" xr:uid="{040E562F-91C2-4A02-A3F1-F232771E8CBB}"/>
    <hyperlink ref="A302" r:id="rId216" xr:uid="{4DAE87AE-A6CC-4C42-8795-6C20F33E848A}"/>
    <hyperlink ref="A328" r:id="rId217" xr:uid="{5DCD21AE-7C54-4219-99CF-0150777805B9}"/>
    <hyperlink ref="A303" r:id="rId218" xr:uid="{54D74C6B-CC56-4171-8399-EEA1CDDDF58C}"/>
    <hyperlink ref="A329" r:id="rId219" xr:uid="{05F8246B-1664-4B3B-835D-AA7BDE09C581}"/>
    <hyperlink ref="A304" r:id="rId220" xr:uid="{F62BFDE5-C499-49E6-8334-B72582CF7DA6}"/>
    <hyperlink ref="A330" r:id="rId221" xr:uid="{FDCAD449-5EC7-4275-9EC3-9CAC00AD9335}"/>
    <hyperlink ref="A344" r:id="rId222" xr:uid="{6BFE982C-760B-422C-B7F7-FDC57C95D5AA}"/>
    <hyperlink ref="A354" r:id="rId223" xr:uid="{7ED33ECE-CAEE-43FF-A2DB-35EE31008AD5}"/>
    <hyperlink ref="A362" r:id="rId224" xr:uid="{01D1922F-A105-4E0D-A427-3370710802D7}"/>
    <hyperlink ref="A367" r:id="rId225" xr:uid="{6E40DF94-A6C0-40F2-A6FB-1EDBA7807270}"/>
    <hyperlink ref="A371" r:id="rId226" xr:uid="{E75D6CC4-1802-4D29-95FA-19F04DC7F029}"/>
    <hyperlink ref="A375" r:id="rId227" xr:uid="{9C47888A-B120-4E93-93BE-2F9FD1EEBB35}"/>
    <hyperlink ref="A305" r:id="rId228" xr:uid="{0CA5B206-EFAB-4B3E-AAE1-50C28578FE5A}"/>
    <hyperlink ref="A306" r:id="rId229" xr:uid="{0263E18A-6148-4329-9696-5D0560F4B566}"/>
    <hyperlink ref="A331" r:id="rId230" xr:uid="{791BD8C3-F943-43E1-8CFD-1338B8B0C162}"/>
    <hyperlink ref="A345" r:id="rId231" xr:uid="{5EC3E473-7B6B-4C98-88F9-E294FCF5971A}"/>
    <hyperlink ref="A355" r:id="rId232" xr:uid="{701A6135-EAA8-4D23-B4EF-D717E0B6DD1B}"/>
    <hyperlink ref="A363" r:id="rId233" xr:uid="{0F191A89-C74A-4AE2-9F52-8B74B4FBA663}"/>
    <hyperlink ref="A368" r:id="rId234" xr:uid="{B500B760-BCB2-4AD6-B8C9-8F47608E88DB}"/>
    <hyperlink ref="A372" r:id="rId235" xr:uid="{5A159F9C-D8BC-49CB-8A5A-526DFD4F7638}"/>
    <hyperlink ref="A376" r:id="rId236" xr:uid="{00CAB789-5A56-4455-9027-EAD9BFCEE645}"/>
    <hyperlink ref="A307" r:id="rId237" xr:uid="{3804DA07-88AC-4197-B80B-E63B696E8FEB}"/>
    <hyperlink ref="A332" r:id="rId238" xr:uid="{ACF49372-954B-4C67-A8B7-0A0878D91911}"/>
    <hyperlink ref="A346" r:id="rId239" xr:uid="{2C683986-EE6D-4C84-9F0B-56D0E7191B14}"/>
    <hyperlink ref="A356" r:id="rId240" xr:uid="{510EC313-3CC0-4AC1-8DF5-83C23D521579}"/>
    <hyperlink ref="A308" r:id="rId241" xr:uid="{14AA1477-E272-4CE6-A829-F3E633650125}"/>
    <hyperlink ref="A333" r:id="rId242" xr:uid="{E73E70C3-D684-4D15-9007-A05111030F7D}"/>
    <hyperlink ref="A347" r:id="rId243" xr:uid="{7DC75D42-7AE3-4E2E-B760-075E556FBD79}"/>
    <hyperlink ref="A357" r:id="rId244" xr:uid="{FA434155-6E5D-4BB7-9F0C-20629EE4FF16}"/>
    <hyperlink ref="A309" r:id="rId245" xr:uid="{49354598-9E0D-458B-BAB5-A71F5D1DBA68}"/>
    <hyperlink ref="A334" r:id="rId246" xr:uid="{10529A7C-536B-4910-85AC-A77006FF81CC}"/>
    <hyperlink ref="A348" r:id="rId247" xr:uid="{6FC8E510-2C42-4E74-A363-EEABFFFC84EC}"/>
    <hyperlink ref="A358" r:id="rId248" xr:uid="{242C24B0-B517-499A-9D6D-C2F1AD271DC2}"/>
    <hyperlink ref="A364" r:id="rId249" xr:uid="{25DD319A-75AC-4459-959E-AA8B9D3FDD54}"/>
    <hyperlink ref="A369" r:id="rId250" xr:uid="{FEC9C330-8383-4122-AC0C-90FA398330A8}"/>
    <hyperlink ref="A373" r:id="rId251" xr:uid="{B7591528-FA88-4B50-9828-36B4F8C4083F}"/>
    <hyperlink ref="A377" r:id="rId252" xr:uid="{71A82B0F-B291-4BFB-97AE-FF03AECC7828}"/>
    <hyperlink ref="A379" r:id="rId253" xr:uid="{65305727-341B-49C6-9ED9-B93C33A46C50}"/>
    <hyperlink ref="A380" r:id="rId254" xr:uid="{07674DAB-79BC-4D9E-ABC8-5104ADDEBC48}"/>
    <hyperlink ref="A381" r:id="rId255" xr:uid="{6F79BDFF-CA12-42D4-82D6-7C3FB4E8A36F}"/>
    <hyperlink ref="A382" r:id="rId256" xr:uid="{64FA0C6B-1F42-407D-8800-C91B50520FCC}"/>
    <hyperlink ref="A383" r:id="rId257" xr:uid="{3A7B4CFB-8678-4F18-AE10-94DD70C1B1FF}"/>
    <hyperlink ref="A384" r:id="rId258" xr:uid="{2A9FBA4E-2E1F-46AE-9E9C-157D193E42F5}"/>
    <hyperlink ref="A385" r:id="rId259" xr:uid="{19455D78-8A13-414D-BBB9-3B6B50004823}"/>
    <hyperlink ref="A386" r:id="rId260" xr:uid="{798F575A-D501-4E48-B306-6E0241747117}"/>
    <hyperlink ref="A387" r:id="rId261" xr:uid="{723DA992-CE89-4B79-963F-7A12AEECD8F3}"/>
    <hyperlink ref="A388" r:id="rId262" xr:uid="{A3F0109C-BF10-4438-B14F-5941911EF915}"/>
    <hyperlink ref="A310" r:id="rId263" xr:uid="{E158D895-CD1F-4D34-A45F-A11B89985557}"/>
    <hyperlink ref="A335" r:id="rId264" xr:uid="{05564643-2222-4B79-8FCE-80A73689576D}"/>
    <hyperlink ref="A311" r:id="rId265" xr:uid="{72262E18-8509-4F4C-8420-D0566067D77D}"/>
    <hyperlink ref="A336" r:id="rId266" xr:uid="{12174AF8-71A5-4FC4-A639-B6AC86168AB6}"/>
    <hyperlink ref="A349" r:id="rId267" xr:uid="{8F73EE0B-93F6-4F90-8097-6B432F4A3B47}"/>
    <hyperlink ref="A359" r:id="rId268" xr:uid="{63F2DF91-80F9-4E47-AF7B-99EC6314716F}"/>
    <hyperlink ref="A365" r:id="rId269" xr:uid="{93825DC8-C6ED-4B40-A91F-BCC684D78824}"/>
    <hyperlink ref="A370" r:id="rId270" xr:uid="{E0074770-C291-4919-BFEB-AD88701D050B}"/>
    <hyperlink ref="A374" r:id="rId271" xr:uid="{ADB70D8B-9A05-4807-B00B-74DE3880CECD}"/>
    <hyperlink ref="A378" r:id="rId272" xr:uid="{84347C55-4CDF-4AD5-B160-753B10ABC31A}"/>
    <hyperlink ref="A312" r:id="rId273" xr:uid="{460D74A5-26BD-4B75-9853-D958200E1C6A}"/>
    <hyperlink ref="A313" r:id="rId274" xr:uid="{4784D502-FD42-438F-A996-EEE6C6CEA51F}"/>
    <hyperlink ref="A314" r:id="rId275" xr:uid="{9644BA87-7483-4D6D-B32A-954A1AA425D3}"/>
    <hyperlink ref="A315" r:id="rId276" xr:uid="{E1D9C30A-0E8C-4A5B-B0A5-E3361D0BA349}"/>
    <hyperlink ref="A337" r:id="rId277" xr:uid="{DDB92089-6088-4D27-90BE-9C690D1C41B8}"/>
    <hyperlink ref="A316" r:id="rId278" xr:uid="{69EB77BD-AEF2-4292-AA95-3BBC490045E9}"/>
    <hyperlink ref="A338" r:id="rId279" xr:uid="{D1E01A9C-6003-4509-BC25-29289AFDC45C}"/>
    <hyperlink ref="A350" r:id="rId280" xr:uid="{FA47BF63-442C-43D0-8ABB-061318440A54}"/>
    <hyperlink ref="A317" r:id="rId281" xr:uid="{55968E5F-08EB-4468-B6CE-36DABA902CAE}"/>
    <hyperlink ref="A318" r:id="rId282" xr:uid="{37DC9B7F-9142-4B33-A752-FF0982403DA9}"/>
    <hyperlink ref="A319" r:id="rId283" xr:uid="{084F5910-9912-4B92-B415-70C1C095FDDD}"/>
    <hyperlink ref="A339" r:id="rId284" xr:uid="{DB26FDF4-10B6-43B2-B019-09A1BE825EDA}"/>
    <hyperlink ref="A351" r:id="rId285" xr:uid="{354DEAA9-AC9D-4FB4-B2E1-988C4895B018}"/>
    <hyperlink ref="A360" r:id="rId286" xr:uid="{BE8D615F-731E-447A-AC76-A3D864143EA5}"/>
    <hyperlink ref="A366" r:id="rId287" xr:uid="{AF6D8EFA-181F-4992-A6ED-3AD5152E8147}"/>
    <hyperlink ref="A320" r:id="rId288" xr:uid="{E7D2F948-DF43-41C6-8A7D-754C3C1245E2}"/>
    <hyperlink ref="A321" r:id="rId289" xr:uid="{AA404B97-A5FC-4FAC-9DB6-C62427A8218B}"/>
    <hyperlink ref="A322" r:id="rId290" xr:uid="{A43D5C25-E465-4060-B17A-4BD016E84996}"/>
    <hyperlink ref="A340" r:id="rId291" xr:uid="{D5AB7B28-77FA-4F11-A466-2BC7D2083F40}"/>
    <hyperlink ref="A323" r:id="rId292" xr:uid="{2C509D1C-709F-409E-8094-74E5991D3A63}"/>
    <hyperlink ref="A324" r:id="rId293" xr:uid="{CA3665A0-A103-4B2A-B50D-C1E53E69D0AC}"/>
    <hyperlink ref="A341" r:id="rId294" xr:uid="{27D3FAD4-9A8E-4A38-B5DF-21C2FA1B2BD8}"/>
    <hyperlink ref="A352" r:id="rId295" xr:uid="{32AD5D66-8FC3-45CA-8ED7-72CD700582F5}"/>
    <hyperlink ref="C391" r:id="rId296" xr:uid="{D18181B9-231D-4E78-8CA1-8F2A45080622}"/>
    <hyperlink ref="D391" r:id="rId297" xr:uid="{6471BF81-24FA-4B23-BE4B-651848730639}"/>
    <hyperlink ref="C392" r:id="rId298" xr:uid="{8017BC45-446F-40A5-BBD8-78D9A90B5C29}"/>
    <hyperlink ref="C394" r:id="rId299" xr:uid="{DDECB34A-B861-4B37-BFDE-6FA405F46AFA}"/>
    <hyperlink ref="D394" r:id="rId300" xr:uid="{BBF348A7-1ED8-417B-BA7C-1FD088589748}"/>
    <hyperlink ref="E394" r:id="rId301" xr:uid="{A78B83B7-4508-40E0-9298-6DF2585EC035}"/>
    <hyperlink ref="F394" r:id="rId302" xr:uid="{E146E631-57C9-423D-8BFE-5F462A3760DE}"/>
    <hyperlink ref="C395" r:id="rId303" xr:uid="{D221AA5E-CB1C-41EA-9FF8-8FE2F48CAAC3}"/>
    <hyperlink ref="D395" r:id="rId304" xr:uid="{B847D919-565A-4CD0-A800-B718D6EEAE9B}"/>
    <hyperlink ref="C396" r:id="rId305" xr:uid="{D16D5D6E-4F40-4F65-8B7B-1D40602299EB}"/>
    <hyperlink ref="D396" r:id="rId306" xr:uid="{9A86A8A4-FAF5-4C4D-A6E9-A96BDAE4E326}"/>
    <hyperlink ref="C397" r:id="rId307" xr:uid="{8BDDDD88-9D68-43B2-B302-00706D4B503B}"/>
    <hyperlink ref="D397" r:id="rId308" xr:uid="{7621485B-95AD-484E-BFAC-7807422CE69B}"/>
    <hyperlink ref="C399" r:id="rId309" xr:uid="{7C9C26FA-81B3-4B12-BC79-4F248E442658}"/>
    <hyperlink ref="D399" r:id="rId310" xr:uid="{2C8AD4EB-D95C-4A39-BB5C-870414C33580}"/>
    <hyperlink ref="E399" r:id="rId311" xr:uid="{AF3AD09B-21E3-4E1D-A50C-A760F6E27FB9}"/>
    <hyperlink ref="F399" r:id="rId312" xr:uid="{D990F904-D733-4F8B-BDCF-D99425F65F0D}"/>
    <hyperlink ref="G399" r:id="rId313" xr:uid="{29E7AF1D-AC3B-4997-8A29-9D23EE5C81DC}"/>
    <hyperlink ref="H399" r:id="rId314" xr:uid="{DF07A565-3E6D-4F7F-A68C-81F1CB18061D}"/>
    <hyperlink ref="I399" r:id="rId315" xr:uid="{3CDE97B6-D057-4F59-B050-125B8C240BD2}"/>
    <hyperlink ref="C400" r:id="rId316" xr:uid="{5E073851-4C28-4530-93B5-8EF449146EE3}"/>
    <hyperlink ref="C401" r:id="rId317" xr:uid="{AC73DD63-0A13-4864-8684-E0ACFF80B9D5}"/>
    <hyperlink ref="D401" r:id="rId318" xr:uid="{3B3DCD38-45C6-4FE1-8965-69AFDA34A5FB}"/>
    <hyperlink ref="E401" r:id="rId319" xr:uid="{70FF1067-B25D-4472-A451-63B37798C7D2}"/>
    <hyperlink ref="F401" r:id="rId320" xr:uid="{73FDB66E-E4D2-47DF-B89C-13825AF59850}"/>
    <hyperlink ref="G401" r:id="rId321" xr:uid="{E7EE64A5-9665-4003-B537-F2AE4173732F}"/>
    <hyperlink ref="H401" r:id="rId322" xr:uid="{9B93486C-C341-436F-9BEE-93EB6395BF94}"/>
    <hyperlink ref="C402" r:id="rId323" xr:uid="{426A5B5B-ED53-41FE-93E1-C33E25B849F0}"/>
    <hyperlink ref="D402" r:id="rId324" xr:uid="{A700F6E3-CEF1-47FA-86F3-2C3C54BCC0A8}"/>
    <hyperlink ref="E402" r:id="rId325" xr:uid="{F8D583CD-D41D-4E15-A930-249D067B3C30}"/>
    <hyperlink ref="F402" r:id="rId326" xr:uid="{923AC1BE-DE4E-43FB-8338-6D62D1EDF20F}"/>
    <hyperlink ref="G402" r:id="rId327" xr:uid="{C66A27A8-0F48-4438-BD3D-AF4DCA4E6631}"/>
    <hyperlink ref="H402" r:id="rId328" xr:uid="{8A74B2DF-7131-4DDB-AE4D-1F9E082E7477}"/>
    <hyperlink ref="I402" r:id="rId329" xr:uid="{3D0ECC24-76CE-4CBA-8D84-5D54144F09C4}"/>
    <hyperlink ref="J402" r:id="rId330" xr:uid="{8C150E16-EC25-4A9B-B10B-B6D2B5121A0B}"/>
    <hyperlink ref="K402" r:id="rId331" xr:uid="{67F62324-3D7D-41CA-8223-BB625F305D81}"/>
    <hyperlink ref="L402" r:id="rId332" xr:uid="{7CE3B109-5C98-4F09-97BD-5C5A84613853}"/>
    <hyperlink ref="M402" r:id="rId333" xr:uid="{ECD14E7F-CCE3-411C-AE4C-E819C40DD583}"/>
    <hyperlink ref="N402" r:id="rId334" xr:uid="{CDD46282-64AA-4D23-A3E8-A247A71973AE}"/>
    <hyperlink ref="O402" r:id="rId335" xr:uid="{BA0227F2-6B98-44C5-864D-1DBCD8D22877}"/>
    <hyperlink ref="P402" r:id="rId336" xr:uid="{3FEBBEB1-E3AA-4C07-B762-EE3192855123}"/>
    <hyperlink ref="Q402" r:id="rId337" xr:uid="{161C8F19-61C6-473B-A9AD-0F2A3FB9DD34}"/>
    <hyperlink ref="R402" r:id="rId338" xr:uid="{35BA62A1-7A45-4BFD-8EA9-124574F4012C}"/>
    <hyperlink ref="S402" r:id="rId339" xr:uid="{889EE250-3AF0-4A1A-9F1B-32CC510E9488}"/>
    <hyperlink ref="T402" r:id="rId340" xr:uid="{50A174D3-2DE6-4258-AD7E-86304C10EC2F}"/>
    <hyperlink ref="U402" r:id="rId341" xr:uid="{54F4DC3A-023B-4FC4-8779-F5E14593B69B}"/>
    <hyperlink ref="V402" r:id="rId342" xr:uid="{43A280F9-4BB2-48C3-A8A8-F322DBD09EC3}"/>
    <hyperlink ref="W402" r:id="rId343" xr:uid="{854D85A5-1168-4B8E-A093-0B21F711A307}"/>
    <hyperlink ref="X402" r:id="rId344" xr:uid="{31113115-5581-491F-87D0-0F4B9C87FC2C}"/>
    <hyperlink ref="Y402" r:id="rId345" xr:uid="{0D2EFFB8-C7C7-41D7-AD55-9CED179A7838}"/>
    <hyperlink ref="Z402" r:id="rId346" xr:uid="{87BE7EAD-9AA9-4A3D-B81B-90409DC3421E}"/>
    <hyperlink ref="AA402" r:id="rId347" xr:uid="{D5E6C212-6324-43A5-9335-E610CECDC4AD}"/>
    <hyperlink ref="AB402" r:id="rId348" xr:uid="{9B121ECB-8832-4DC6-86EF-9FCF0534A854}"/>
    <hyperlink ref="C406" r:id="rId349" xr:uid="{BF0F6A60-226D-4549-AE4C-DEE967300A5A}"/>
    <hyperlink ref="D406" r:id="rId350" xr:uid="{722BDB23-A84B-4404-8887-1678DDDEC56E}"/>
    <hyperlink ref="C407" r:id="rId351" xr:uid="{C0212992-FE63-4F2D-BD77-040157E7BFF6}"/>
    <hyperlink ref="C408" r:id="rId352" xr:uid="{3E67F545-ADE3-4D60-A5FA-14310E674FE4}"/>
    <hyperlink ref="C410" r:id="rId353" xr:uid="{3140072E-1895-4AB4-99B2-4024E825542F}"/>
    <hyperlink ref="C420" r:id="rId354" xr:uid="{5874A9BA-7EC8-4EB0-A778-34B143436E06}"/>
    <hyperlink ref="C421" r:id="rId355" xr:uid="{8D94CB07-DF90-4881-B5D7-F8CD39AF8752}"/>
    <hyperlink ref="D421" r:id="rId356" xr:uid="{193CA85C-6107-4C42-94AF-B954D1B4635C}"/>
    <hyperlink ref="C422" r:id="rId357" xr:uid="{51F3B7CF-1B67-4529-8728-C3D72A2DC733}"/>
    <hyperlink ref="D422" r:id="rId358" xr:uid="{F15D8BA1-B825-43B6-B841-663144E1B433}"/>
    <hyperlink ref="E422" r:id="rId359" xr:uid="{D29502FA-047A-4920-97B7-3B1D15DDC5D5}"/>
    <hyperlink ref="C423" r:id="rId360" xr:uid="{BC2BDCC2-9D56-42CF-A600-3010A97521C7}"/>
    <hyperlink ref="A425" r:id="rId361" xr:uid="{BB7A183D-68FD-4B81-AF17-E42E8324EFA8}"/>
    <hyperlink ref="C425" r:id="rId362" xr:uid="{29D9A456-C83C-4971-BEAB-66BD4CEBB465}"/>
    <hyperlink ref="C426" r:id="rId363" xr:uid="{0E82DE22-F8B1-4671-836F-0B1235BA8B8A}"/>
    <hyperlink ref="C429" r:id="rId364" xr:uid="{BE9D3D92-04B9-45F4-AFF2-4B7315D98CEB}"/>
    <hyperlink ref="C430" r:id="rId365" xr:uid="{D9D2C455-C323-4214-A8A4-2D4751915FF8}"/>
    <hyperlink ref="D430" r:id="rId366" xr:uid="{FFF547A7-8B2D-4C6E-949C-10871B6525EE}"/>
    <hyperlink ref="C435" r:id="rId367" xr:uid="{7C32CD42-9B9E-49DB-B627-0341918AC8CC}"/>
    <hyperlink ref="C436" r:id="rId368" xr:uid="{D032B895-A990-495E-8A9B-D4A00FA7A3D1}"/>
    <hyperlink ref="C437" r:id="rId369" xr:uid="{47E674D6-33ED-4B99-8654-DEF178B3257B}"/>
    <hyperlink ref="C449" r:id="rId370" xr:uid="{E414DC7B-2DC5-43E6-8299-9436B235519A}"/>
    <hyperlink ref="C463" r:id="rId371" xr:uid="{E923263E-7BED-4E61-A40D-1F800F09A5C3}"/>
    <hyperlink ref="D463" r:id="rId372" xr:uid="{A51FE511-8F8A-48CB-858B-3B51185C4520}"/>
    <hyperlink ref="C464" r:id="rId373" xr:uid="{6BD963E3-FB11-41E9-A4E2-7FDB6975CB10}"/>
    <hyperlink ref="A466" r:id="rId374" xr:uid="{151F3CAD-85AA-4150-81FF-30B1D09ADB60}"/>
    <hyperlink ref="J399" r:id="rId375" xr:uid="{DBF864B0-6B0D-4428-8CF4-F684BBEB7B11}"/>
    <hyperlink ref="C467" r:id="rId376" xr:uid="{A24503FF-950A-4183-86FF-48C803288F60}"/>
    <hyperlink ref="D467" r:id="rId377" xr:uid="{BEAC28F7-DBE2-44F3-BFBA-94B58B473F3D}"/>
    <hyperlink ref="E467" r:id="rId378" xr:uid="{CC81B63F-EF62-4740-8BAF-604C74E2E6B8}"/>
    <hyperlink ref="F467" r:id="rId379" xr:uid="{50F34B86-FA77-419F-A685-D4CA2A68D9AA}"/>
    <hyperlink ref="G467" r:id="rId380" xr:uid="{3AFBEAB4-D5DD-4BEC-83BE-8D6D0F4D5681}"/>
    <hyperlink ref="H467" r:id="rId381" xr:uid="{5C99A652-15A0-4C5E-BB42-D52BD14C8C3C}"/>
    <hyperlink ref="A469" r:id="rId382" xr:uid="{36D6AC26-39C3-4066-9D6C-9ED2238F33FD}"/>
    <hyperlink ref="A498" r:id="rId383" xr:uid="{8EF69C19-21BC-44AC-93E2-8CC9F1A68A0C}"/>
    <hyperlink ref="A470" r:id="rId384" xr:uid="{4B1ED7A2-6D9F-49DF-85E3-CF68BF7C617C}"/>
    <hyperlink ref="A471" r:id="rId385" xr:uid="{E1B3494D-FEAE-43A8-ABCA-BE263D0E4EC3}"/>
    <hyperlink ref="A499" r:id="rId386" xr:uid="{61096C10-AE95-4695-B78A-51AF3C2E4E5A}"/>
    <hyperlink ref="A512" r:id="rId387" xr:uid="{93F0BE9D-DD1F-4D58-AE70-8EF52F6E7C1C}"/>
    <hyperlink ref="A518" r:id="rId388" xr:uid="{A3C41B95-07EA-4B84-81E5-D2E9FB2252A9}"/>
    <hyperlink ref="A472" r:id="rId389" xr:uid="{A23F621A-BB81-4766-B14E-DC6C54F4CFA6}"/>
    <hyperlink ref="A500" r:id="rId390" xr:uid="{74EFF696-D526-4B37-8625-915CC96F51E1}"/>
    <hyperlink ref="A473" r:id="rId391" xr:uid="{CD0D2FD5-4F5C-4B00-8EEF-F6B1C20FE4F9}"/>
    <hyperlink ref="A501" r:id="rId392" xr:uid="{9D1A0BDA-E41B-4E6E-ACB3-0B0F9979D74F}"/>
    <hyperlink ref="A474" r:id="rId393" xr:uid="{583EB76E-5DB2-4439-9B5B-211455F7A0D6}"/>
    <hyperlink ref="A502" r:id="rId394" xr:uid="{14E78ACE-3CE3-428E-A818-54A9F775E044}"/>
    <hyperlink ref="A475" r:id="rId395" xr:uid="{A8296EA5-6421-4961-9365-09A8E5F9B181}"/>
    <hyperlink ref="A503" r:id="rId396" xr:uid="{5043AAEC-5F75-4ECD-B23A-F872F5B84494}"/>
    <hyperlink ref="A513" r:id="rId397" xr:uid="{D33051E8-24F7-495D-BDFC-09172A3E038A}"/>
    <hyperlink ref="A519" r:id="rId398" xr:uid="{E8360429-F3B4-4C48-A9EC-18980D0C0BFA}"/>
    <hyperlink ref="A523" r:id="rId399" xr:uid="{EA2DBBD7-C124-41C6-9EDA-1D1A7BD4CF96}"/>
    <hyperlink ref="A527" r:id="rId400" xr:uid="{D88032EA-15A0-48AA-B00A-F2187C4199B3}"/>
    <hyperlink ref="A531" r:id="rId401" xr:uid="{EF1D2611-1705-4EE2-9D59-8AEB2CA56D84}"/>
    <hyperlink ref="A476" r:id="rId402" xr:uid="{302F5D5F-4BAB-4392-A36D-7BF08CF54892}"/>
    <hyperlink ref="A477" r:id="rId403" xr:uid="{DA833B1A-AA7D-4052-8E6A-50B016EF9BCE}"/>
    <hyperlink ref="A504" r:id="rId404" xr:uid="{78C6BD92-45F4-46B2-9223-34FB1CBE6E51}"/>
    <hyperlink ref="A514" r:id="rId405" xr:uid="{F093E22D-5DC6-4F01-82F2-134B6CC4FB8C}"/>
    <hyperlink ref="A520" r:id="rId406" xr:uid="{AA9D8668-4C07-4277-8E39-472DD5498374}"/>
    <hyperlink ref="A524" r:id="rId407" xr:uid="{D6307434-421E-483E-9320-42DBA9D045B4}"/>
    <hyperlink ref="A528" r:id="rId408" xr:uid="{D744F2E2-16EA-4A1E-B674-420C156C82C0}"/>
    <hyperlink ref="A478" r:id="rId409" xr:uid="{0C348092-4516-4050-83E0-F17847E60BBA}"/>
    <hyperlink ref="A505" r:id="rId410" xr:uid="{53C5E311-0345-44AC-A88B-D12180A5C0C6}"/>
    <hyperlink ref="A515" r:id="rId411" xr:uid="{6C3C8B0E-D760-46B3-A31C-E33EF636232B}"/>
    <hyperlink ref="A521" r:id="rId412" xr:uid="{E8112E0F-66AA-478E-98C9-4CF2885735DA}"/>
    <hyperlink ref="A525" r:id="rId413" xr:uid="{6CDAD970-6943-4F27-AF6B-69BC192A2C79}"/>
    <hyperlink ref="A529" r:id="rId414" xr:uid="{90D7071A-0305-482B-9BFB-C0E0EB4D72B2}"/>
    <hyperlink ref="A532" r:id="rId415" xr:uid="{E2C404E6-342F-47DE-BBCF-67D415F077FA}"/>
    <hyperlink ref="A534" r:id="rId416" xr:uid="{8771CB53-23CA-47E8-BC6E-C0C22E5146B4}"/>
    <hyperlink ref="A535" r:id="rId417" xr:uid="{97C29034-C7A5-4FF0-9BBC-B6DE63826AEA}"/>
    <hyperlink ref="A536" r:id="rId418" xr:uid="{D07AD582-CBF4-4C69-A90B-6FC5F3E83623}"/>
    <hyperlink ref="A537" r:id="rId419" xr:uid="{02B5941B-6D26-4BDB-AC73-FC9361DD9CF6}"/>
    <hyperlink ref="A538" r:id="rId420" xr:uid="{63269FFD-BB8B-4D74-8397-99CC2F7D7817}"/>
    <hyperlink ref="A539" r:id="rId421" xr:uid="{BBADEF9F-7BA5-47F2-A9C7-1A16275D9E83}"/>
    <hyperlink ref="A540" r:id="rId422" xr:uid="{6AB7F576-2E89-4BA6-9AC9-636683FCF0C0}"/>
    <hyperlink ref="A541" r:id="rId423" xr:uid="{082B0274-568C-4187-9292-0DCC2920073D}"/>
    <hyperlink ref="A542" r:id="rId424" xr:uid="{59C29215-B6AF-4FE4-BF4E-5B78ACCCCF55}"/>
    <hyperlink ref="A543" r:id="rId425" xr:uid="{257940F2-988A-4C7C-907A-0BB63EEE883D}"/>
    <hyperlink ref="A544" r:id="rId426" xr:uid="{67C9F18E-906C-4E18-B8B8-D71CB3F42D59}"/>
    <hyperlink ref="A545" r:id="rId427" xr:uid="{28660CB6-F91E-43F6-819B-10FEA667FF59}"/>
    <hyperlink ref="A546" r:id="rId428" xr:uid="{0601F073-B255-4EAF-86FD-5DFA619C17A8}"/>
    <hyperlink ref="A547" r:id="rId429" xr:uid="{ED3332EE-6DFF-44A3-859C-0984D9DFC122}"/>
    <hyperlink ref="A548" r:id="rId430" xr:uid="{A1EE4C2B-9AE6-4C7C-A956-35EDF331CA8C}"/>
    <hyperlink ref="A549" r:id="rId431" xr:uid="{EED442CD-DDD1-4EE6-B361-64C772E461BB}"/>
    <hyperlink ref="A550" r:id="rId432" xr:uid="{78300798-BE94-41EF-A9E4-4EA01E79A2B8}"/>
    <hyperlink ref="A552" r:id="rId433" xr:uid="{7A19BA5C-3EA8-469F-9E7D-636F852FA64A}"/>
    <hyperlink ref="A479" r:id="rId434" xr:uid="{777EF353-42F1-477F-9559-3E7205716E0F}"/>
    <hyperlink ref="A506" r:id="rId435" xr:uid="{03AE2D85-9EB3-4A29-B1C7-FC390FF7BED5}"/>
    <hyperlink ref="A480" r:id="rId436" xr:uid="{AC8E7526-21C0-43B3-AC41-3E300C72E9A5}"/>
    <hyperlink ref="A481" r:id="rId437" xr:uid="{61AD56BA-989D-445B-BEDA-AB8F4E7FF2D4}"/>
    <hyperlink ref="A482" r:id="rId438" xr:uid="{BFDE1FD5-774B-4D54-8FD3-88CD1AC0B4F9}"/>
    <hyperlink ref="A483" r:id="rId439" xr:uid="{B6F22997-3E62-4529-B594-BE87CB466ABE}"/>
    <hyperlink ref="A484" r:id="rId440" xr:uid="{3B2A2966-FD6F-4BC0-A203-53C7FAD98DA3}"/>
    <hyperlink ref="A507" r:id="rId441" xr:uid="{7971663A-446B-49A3-B9B1-476A9B07C0F1}"/>
    <hyperlink ref="A485" r:id="rId442" xr:uid="{A6E773F1-8452-43B3-AC11-8CD4FEAF26BE}"/>
    <hyperlink ref="A508" r:id="rId443" xr:uid="{BD8A5F5B-5EC4-4762-BA0D-84639706A682}"/>
    <hyperlink ref="A516" r:id="rId444" xr:uid="{35AC43F6-444F-4771-BB4A-5B13F5753D56}"/>
    <hyperlink ref="A486" r:id="rId445" xr:uid="{2D09E5DE-74AA-4953-BBB0-0259A9C92DE0}"/>
    <hyperlink ref="A487" r:id="rId446" xr:uid="{8C490215-0195-4744-B851-3BE196B4F5B2}"/>
    <hyperlink ref="A488" r:id="rId447" xr:uid="{1746316A-DF6F-4EC0-9EDF-C09C366B9FF3}"/>
    <hyperlink ref="A489" r:id="rId448" xr:uid="{4756781C-EA8F-421D-A2CA-59C2AFD5F6E5}"/>
    <hyperlink ref="A490" r:id="rId449" xr:uid="{909B34E1-B743-4B78-AC46-2AA8A0754BE6}"/>
    <hyperlink ref="A509" r:id="rId450" xr:uid="{1A28505F-464B-449A-8731-0EF70A21E054}"/>
    <hyperlink ref="A491" r:id="rId451" xr:uid="{C70E480B-BE61-4443-AEBB-D76316DB9A00}"/>
    <hyperlink ref="A492" r:id="rId452" xr:uid="{A9F7C7F1-59DB-407A-8884-BC43B8A1DA59}"/>
    <hyperlink ref="A493" r:id="rId453" xr:uid="{5806E040-2ECA-4450-BCB3-EF4A6794782A}"/>
    <hyperlink ref="A494" r:id="rId454" xr:uid="{6F94D779-5041-44AF-BB70-326B715BCAA2}"/>
    <hyperlink ref="A495" r:id="rId455" xr:uid="{3DB5CD3F-F4B3-473D-B372-D5B237F0A712}"/>
    <hyperlink ref="A510" r:id="rId456" xr:uid="{95F4D9BB-85CE-4500-A77B-EC1EC377E07A}"/>
    <hyperlink ref="A496" r:id="rId457" xr:uid="{711BF430-60DA-49F3-A3DD-9DAA3144C4A8}"/>
    <hyperlink ref="A533" r:id="rId458" xr:uid="{2C86852E-A031-4048-84C3-6FE403CE6D8F}"/>
    <hyperlink ref="A497" r:id="rId459" xr:uid="{B0A35879-8F7D-47AD-B546-30401F4846B7}"/>
    <hyperlink ref="A511" r:id="rId460" xr:uid="{C07847C1-2989-4FBB-BE8A-36E1737175AF}"/>
    <hyperlink ref="A517" r:id="rId461" xr:uid="{C44922CE-6280-4AEF-9B10-1B3AD9BD025F}"/>
    <hyperlink ref="A522" r:id="rId462" xr:uid="{BD4438B0-41CF-488E-9386-DA9946FA6D82}"/>
    <hyperlink ref="A526" r:id="rId463" xr:uid="{EAF21EA7-43A3-4D6B-BA21-8C29A9026234}"/>
    <hyperlink ref="A530" r:id="rId464" xr:uid="{6FA7262D-EA99-4737-9F3D-FBC68C6F3457}"/>
    <hyperlink ref="A551" r:id="rId465" xr:uid="{E4258801-D62B-4839-B64E-410195C30A4C}"/>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5BE3D-FDAF-4B71-A537-7FD7D9BA2049}">
  <sheetPr codeName="Sheet6"/>
  <dimension ref="A1:C282"/>
  <sheetViews>
    <sheetView topLeftCell="A88" zoomScale="70" zoomScaleNormal="70" workbookViewId="0">
      <selection activeCell="B228" sqref="B228:B282"/>
    </sheetView>
  </sheetViews>
  <sheetFormatPr defaultRowHeight="14.45"/>
  <cols>
    <col min="1" max="1" width="8.7109375" style="13"/>
    <col min="2" max="2" width="165.5703125" bestFit="1" customWidth="1"/>
    <col min="3" max="3" width="166.85546875" bestFit="1" customWidth="1"/>
  </cols>
  <sheetData>
    <row r="1" spans="1:2" hidden="1">
      <c r="A1" s="13" t="s">
        <v>2993</v>
      </c>
      <c r="B1" t="s">
        <v>39</v>
      </c>
    </row>
    <row r="2" spans="1:2" hidden="1">
      <c r="A2" s="13">
        <v>1</v>
      </c>
      <c r="B2" s="35" t="s">
        <v>786</v>
      </c>
    </row>
    <row r="3" spans="1:2" hidden="1">
      <c r="A3" s="13">
        <v>2</v>
      </c>
      <c r="B3" s="35" t="s">
        <v>701</v>
      </c>
    </row>
    <row r="4" spans="1:2" hidden="1">
      <c r="A4" s="13">
        <v>3</v>
      </c>
      <c r="B4" s="35" t="s">
        <v>652</v>
      </c>
    </row>
    <row r="5" spans="1:2" hidden="1">
      <c r="A5" s="13">
        <v>4</v>
      </c>
      <c r="B5" s="35" t="s">
        <v>657</v>
      </c>
    </row>
    <row r="6" spans="1:2" hidden="1">
      <c r="A6" s="13">
        <v>5</v>
      </c>
      <c r="B6" s="35" t="s">
        <v>662</v>
      </c>
    </row>
    <row r="7" spans="1:2" hidden="1">
      <c r="A7" s="13">
        <v>6</v>
      </c>
      <c r="B7" s="35" t="s">
        <v>642</v>
      </c>
    </row>
    <row r="8" spans="1:2" hidden="1">
      <c r="A8" s="13">
        <v>7</v>
      </c>
      <c r="B8" s="35" t="s">
        <v>672</v>
      </c>
    </row>
    <row r="9" spans="1:2" hidden="1">
      <c r="A9" s="13">
        <v>8</v>
      </c>
      <c r="B9" s="35" t="s">
        <v>677</v>
      </c>
    </row>
    <row r="10" spans="1:2" hidden="1">
      <c r="A10" s="13">
        <v>9</v>
      </c>
      <c r="B10" s="35" t="s">
        <v>682</v>
      </c>
    </row>
    <row r="11" spans="1:2" hidden="1">
      <c r="A11" s="13">
        <v>10</v>
      </c>
      <c r="B11" s="35" t="s">
        <v>687</v>
      </c>
    </row>
    <row r="12" spans="1:2" hidden="1">
      <c r="A12" s="13">
        <v>11</v>
      </c>
      <c r="B12" s="35" t="s">
        <v>3320</v>
      </c>
    </row>
    <row r="13" spans="1:2" hidden="1">
      <c r="A13" s="13">
        <v>12</v>
      </c>
      <c r="B13" s="35" t="s">
        <v>692</v>
      </c>
    </row>
    <row r="14" spans="1:2" hidden="1">
      <c r="A14" s="13">
        <v>13</v>
      </c>
      <c r="B14" s="35" t="s">
        <v>696</v>
      </c>
    </row>
    <row r="15" spans="1:2" hidden="1">
      <c r="A15" s="13">
        <v>14</v>
      </c>
      <c r="B15" s="35" t="s">
        <v>647</v>
      </c>
    </row>
    <row r="16" spans="1:2" hidden="1">
      <c r="A16" s="13">
        <v>15</v>
      </c>
      <c r="B16" s="35" t="s">
        <v>706</v>
      </c>
    </row>
    <row r="17" spans="1:2" hidden="1">
      <c r="A17" s="13">
        <v>16</v>
      </c>
      <c r="B17" s="35" t="s">
        <v>667</v>
      </c>
    </row>
    <row r="18" spans="1:2" hidden="1">
      <c r="A18" s="13">
        <v>17</v>
      </c>
      <c r="B18" s="35" t="s">
        <v>711</v>
      </c>
    </row>
    <row r="19" spans="1:2" hidden="1">
      <c r="A19" s="13">
        <v>18</v>
      </c>
      <c r="B19" s="35" t="s">
        <v>716</v>
      </c>
    </row>
    <row r="20" spans="1:2" hidden="1">
      <c r="A20" s="13">
        <v>19</v>
      </c>
      <c r="B20" s="35" t="s">
        <v>721</v>
      </c>
    </row>
    <row r="21" spans="1:2" hidden="1">
      <c r="A21" s="13">
        <v>20</v>
      </c>
      <c r="B21" s="35" t="s">
        <v>727</v>
      </c>
    </row>
    <row r="22" spans="1:2" hidden="1">
      <c r="A22" s="13">
        <v>21</v>
      </c>
      <c r="B22" s="35" t="s">
        <v>733</v>
      </c>
    </row>
    <row r="23" spans="1:2" hidden="1">
      <c r="A23" s="13">
        <v>22</v>
      </c>
      <c r="B23" s="35" t="s">
        <v>739</v>
      </c>
    </row>
    <row r="24" spans="1:2" hidden="1">
      <c r="A24" s="13">
        <v>23</v>
      </c>
      <c r="B24" s="35" t="s">
        <v>744</v>
      </c>
    </row>
    <row r="25" spans="1:2" hidden="1">
      <c r="A25" s="13">
        <v>24</v>
      </c>
      <c r="B25" s="35" t="s">
        <v>749</v>
      </c>
    </row>
    <row r="26" spans="1:2" hidden="1">
      <c r="A26" s="13">
        <v>25</v>
      </c>
      <c r="B26" s="35" t="s">
        <v>754</v>
      </c>
    </row>
    <row r="27" spans="1:2" hidden="1">
      <c r="A27" s="13">
        <v>26</v>
      </c>
      <c r="B27" s="35" t="s">
        <v>759</v>
      </c>
    </row>
    <row r="28" spans="1:2" hidden="1">
      <c r="A28" s="13">
        <v>27</v>
      </c>
      <c r="B28" s="35" t="s">
        <v>764</v>
      </c>
    </row>
    <row r="29" spans="1:2" hidden="1">
      <c r="A29" s="13">
        <v>28</v>
      </c>
      <c r="B29" s="35" t="s">
        <v>770</v>
      </c>
    </row>
    <row r="30" spans="1:2" hidden="1">
      <c r="A30" s="13">
        <v>29</v>
      </c>
      <c r="B30" s="35" t="s">
        <v>775</v>
      </c>
    </row>
    <row r="31" spans="1:2" hidden="1">
      <c r="A31" s="13">
        <v>30</v>
      </c>
      <c r="B31" s="35" t="s">
        <v>780</v>
      </c>
    </row>
    <row r="32" spans="1:2" hidden="1">
      <c r="A32" s="13">
        <v>31</v>
      </c>
      <c r="B32" s="35" t="s">
        <v>790</v>
      </c>
    </row>
    <row r="33" spans="1:2" hidden="1">
      <c r="A33" s="13">
        <v>32</v>
      </c>
      <c r="B33" s="35" t="s">
        <v>3321</v>
      </c>
    </row>
    <row r="34" spans="1:2" hidden="1"/>
    <row r="35" spans="1:2" hidden="1"/>
    <row r="36" spans="1:2" hidden="1"/>
    <row r="37" spans="1:2" hidden="1"/>
    <row r="38" spans="1:2" hidden="1"/>
    <row r="39" spans="1:2" hidden="1"/>
    <row r="40" spans="1:2" hidden="1"/>
    <row r="41" spans="1:2" hidden="1"/>
    <row r="42" spans="1:2" hidden="1"/>
    <row r="43" spans="1:2" hidden="1"/>
    <row r="44" spans="1:2" hidden="1"/>
    <row r="45" spans="1:2" hidden="1"/>
    <row r="46" spans="1:2" hidden="1"/>
    <row r="47" spans="1:2" hidden="1"/>
    <row r="48" spans="1:2" hidden="1"/>
    <row r="49" spans="2:3" hidden="1"/>
    <row r="50" spans="2:3" hidden="1"/>
    <row r="51" spans="2:3" hidden="1"/>
    <row r="52" spans="2:3" hidden="1"/>
    <row r="53" spans="2:3" hidden="1"/>
    <row r="54" spans="2:3" hidden="1"/>
    <row r="55" spans="2:3" hidden="1"/>
    <row r="56" spans="2:3" hidden="1">
      <c r="B56" s="35" t="s">
        <v>892</v>
      </c>
      <c r="C56" t="e" cm="1">
        <f t="array" aca="1" ref="C56" ca="1">GetURL(B56)</f>
        <v>#NAME?</v>
      </c>
    </row>
    <row r="57" spans="2:3" hidden="1">
      <c r="B57" s="35" t="s">
        <v>801</v>
      </c>
      <c r="C57" t="e" cm="1">
        <f t="array" aca="1" ref="C57" ca="1">GetURL(B57)</f>
        <v>#NAME?</v>
      </c>
    </row>
    <row r="58" spans="2:3" hidden="1">
      <c r="B58" s="35" t="s">
        <v>807</v>
      </c>
      <c r="C58" t="e" cm="1">
        <f t="array" aca="1" ref="C58" ca="1">GetURL(B58)</f>
        <v>#NAME?</v>
      </c>
    </row>
    <row r="59" spans="2:3" hidden="1">
      <c r="B59" s="35" t="s">
        <v>904</v>
      </c>
      <c r="C59" t="e" cm="1">
        <f t="array" aca="1" ref="C59" ca="1">GetURL(B59)</f>
        <v>#NAME?</v>
      </c>
    </row>
    <row r="60" spans="2:3" hidden="1">
      <c r="B60" s="35" t="s">
        <v>897</v>
      </c>
      <c r="C60" t="e" cm="1">
        <f t="array" aca="1" ref="C60" ca="1">GetURL(B60)</f>
        <v>#NAME?</v>
      </c>
    </row>
    <row r="61" spans="2:3" hidden="1">
      <c r="B61" s="35" t="s">
        <v>882</v>
      </c>
      <c r="C61" t="e" cm="1">
        <f t="array" aca="1" ref="C61" ca="1">GetURL(B61)</f>
        <v>#NAME?</v>
      </c>
    </row>
    <row r="62" spans="2:3" hidden="1">
      <c r="B62" s="35" t="s">
        <v>871</v>
      </c>
      <c r="C62" t="e" cm="1">
        <f t="array" aca="1" ref="C62" ca="1">GetURL(B62)</f>
        <v>#NAME?</v>
      </c>
    </row>
    <row r="63" spans="2:3" hidden="1">
      <c r="B63" s="35" t="s">
        <v>837</v>
      </c>
      <c r="C63" t="e" cm="1">
        <f t="array" aca="1" ref="C63" ca="1">GetURL(B63)</f>
        <v>#NAME?</v>
      </c>
    </row>
    <row r="64" spans="2:3" hidden="1">
      <c r="B64" s="35" t="s">
        <v>909</v>
      </c>
      <c r="C64" t="e" cm="1">
        <f t="array" aca="1" ref="C64" ca="1">GetURL(B64)</f>
        <v>#NAME?</v>
      </c>
    </row>
    <row r="65" spans="2:3" hidden="1">
      <c r="B65" s="35" t="s">
        <v>3117</v>
      </c>
      <c r="C65" t="e" cm="1">
        <f t="array" aca="1" ref="C65" ca="1">GetURL(B65)</f>
        <v>#NAME?</v>
      </c>
    </row>
    <row r="66" spans="2:3" hidden="1">
      <c r="B66" s="35" t="s">
        <v>3118</v>
      </c>
      <c r="C66" t="e" cm="1">
        <f t="array" aca="1" ref="C66" ca="1">GetURL(B66)</f>
        <v>#NAME?</v>
      </c>
    </row>
    <row r="67" spans="2:3" hidden="1">
      <c r="B67" s="35" t="s">
        <v>3119</v>
      </c>
      <c r="C67" t="e" cm="1">
        <f t="array" aca="1" ref="C67" ca="1">GetURL(B67)</f>
        <v>#NAME?</v>
      </c>
    </row>
    <row r="68" spans="2:3" hidden="1">
      <c r="B68" s="35" t="s">
        <v>3120</v>
      </c>
      <c r="C68" t="e" cm="1">
        <f t="array" aca="1" ref="C68" ca="1">GetURL(B68)</f>
        <v>#NAME?</v>
      </c>
    </row>
    <row r="69" spans="2:3" hidden="1">
      <c r="B69" s="35" t="s">
        <v>3121</v>
      </c>
      <c r="C69" t="e" cm="1">
        <f t="array" aca="1" ref="C69" ca="1">GetURL(B69)</f>
        <v>#NAME?</v>
      </c>
    </row>
    <row r="70" spans="2:3" hidden="1">
      <c r="B70" s="35" t="s">
        <v>877</v>
      </c>
      <c r="C70" t="e" cm="1">
        <f t="array" aca="1" ref="C70" ca="1">GetURL(B70)</f>
        <v>#NAME?</v>
      </c>
    </row>
    <row r="71" spans="2:3" hidden="1">
      <c r="B71" s="35" t="s">
        <v>3122</v>
      </c>
      <c r="C71" t="e" cm="1">
        <f t="array" aca="1" ref="C71" ca="1">GetURL(B71)</f>
        <v>#NAME?</v>
      </c>
    </row>
    <row r="72" spans="2:3" hidden="1">
      <c r="B72" s="35" t="s">
        <v>832</v>
      </c>
      <c r="C72" t="e" cm="1">
        <f t="array" aca="1" ref="C72" ca="1">GetURL(B72)</f>
        <v>#NAME?</v>
      </c>
    </row>
    <row r="73" spans="2:3" hidden="1">
      <c r="B73" s="35" t="s">
        <v>3123</v>
      </c>
      <c r="C73" t="e" cm="1">
        <f t="array" aca="1" ref="C73" ca="1">GetURL(B73)</f>
        <v>#NAME?</v>
      </c>
    </row>
    <row r="74" spans="2:3" hidden="1">
      <c r="B74" s="35" t="s">
        <v>3124</v>
      </c>
      <c r="C74" t="e" cm="1">
        <f t="array" aca="1" ref="C74" ca="1">GetURL(B74)</f>
        <v>#NAME?</v>
      </c>
    </row>
    <row r="75" spans="2:3" hidden="1">
      <c r="B75" s="35" t="s">
        <v>3125</v>
      </c>
      <c r="C75" t="e" cm="1">
        <f t="array" aca="1" ref="C75" ca="1">GetURL(B75)</f>
        <v>#NAME?</v>
      </c>
    </row>
    <row r="76" spans="2:3" hidden="1">
      <c r="B76" s="35" t="s">
        <v>796</v>
      </c>
      <c r="C76" t="e" cm="1">
        <f t="array" aca="1" ref="C76" ca="1">GetURL(B76)</f>
        <v>#NAME?</v>
      </c>
    </row>
    <row r="77" spans="2:3" hidden="1"/>
    <row r="78" spans="2:3" hidden="1"/>
    <row r="79" spans="2:3" hidden="1"/>
    <row r="80" spans="2:3" hidden="1"/>
    <row r="81" spans="1:3" hidden="1"/>
    <row r="82" spans="1:3" hidden="1"/>
    <row r="83" spans="1:3" hidden="1"/>
    <row r="84" spans="1:3" hidden="1"/>
    <row r="85" spans="1:3">
      <c r="A85" s="13">
        <v>1</v>
      </c>
      <c r="B85" s="35" t="s">
        <v>1241</v>
      </c>
      <c r="C85" t="str">
        <f>_xlfn.XLOOKUP(B85,$B$157:$B$224,$B$157:$B$224,"not found",0)</f>
        <v>https://dantri.com.vn/cong-nghe/doi-thiet-bi-khong-xac-thuc-lai-khuon-mat-se-bi-khoa-2-chieu-sau-30-ngay-20260403142249103.htm</v>
      </c>
    </row>
    <row r="86" spans="1:3">
      <c r="A86" s="13">
        <v>2</v>
      </c>
      <c r="B86" s="35" t="s">
        <v>961</v>
      </c>
      <c r="C86" t="str">
        <f t="shared" ref="C86:C149" si="0">_xlfn.XLOOKUP(B86,$B$157:$B$224,$B$157:$B$224,"not found",0)</f>
        <v>https://dantri.com.vn/cong-nghe/cong-ty-lam-lo-tai-lieu-noi-bo-he-mo-mo-hinh-ai-co-the-tan-cong-mang-20260328090451830.htm</v>
      </c>
    </row>
    <row r="87" spans="1:3">
      <c r="A87" s="13">
        <v>3</v>
      </c>
      <c r="B87" t="s">
        <v>1136</v>
      </c>
      <c r="C87" t="str">
        <f t="shared" si="0"/>
        <v>https://genk.vn/mo-hinh-toan-hoc-cua-mit-cho-thay-su-ba-phai-cua-ai-nhu-chatgpt-dang-cuon-nguoi-dung-vao-vong-xoay-hoang-tuong-165260204080952053.chn</v>
      </c>
    </row>
    <row r="88" spans="1:3">
      <c r="A88" s="13">
        <v>4</v>
      </c>
      <c r="B88" t="s">
        <v>1061</v>
      </c>
      <c r="C88" t="str">
        <f t="shared" si="0"/>
        <v>https://genk.vn/google-dang-dinh-xao-nau-lai-moi-dong-title-bang-ai-nganh-seo-dung-truoc-cuoc-thay-doi-lon-165260330164252978.chn</v>
      </c>
    </row>
    <row r="89" spans="1:3">
      <c r="A89" s="13">
        <v>5</v>
      </c>
      <c r="B89" t="s">
        <v>971</v>
      </c>
      <c r="C89" t="str">
        <f t="shared" si="0"/>
        <v>https://genk.vn/nganh-am-nhac-sung-sot-truoc-ai-300-trieu-usd-nam-7-trieu-bai-moi-ngay-va-mot-spotify-moi-sau-moi-2-tuan-165263003211211401.chn</v>
      </c>
    </row>
    <row r="90" spans="1:3">
      <c r="A90" s="13">
        <v>6</v>
      </c>
      <c r="B90" t="s">
        <v>3171</v>
      </c>
      <c r="C90" t="str">
        <f t="shared" si="0"/>
        <v>https://genk.vn/shopee-debut-chuyen-diem-roi-truyen-thong-thanh-tang-truong-doanh-thu-cho-san-pham-moi-165260401182203244.chn</v>
      </c>
    </row>
    <row r="91" spans="1:3">
      <c r="A91" s="13">
        <v>7</v>
      </c>
      <c r="B91" t="s">
        <v>981</v>
      </c>
      <c r="C91" t="str">
        <f t="shared" si="0"/>
        <v>https://genk.vn/nhieu-tai-khoan-ban-hang-tren-facebook-bi-bay-mau-dieu-gi-dang-xay-ra-165260402072842972.chn</v>
      </c>
    </row>
    <row r="92" spans="1:3">
      <c r="A92" s="13">
        <v>8</v>
      </c>
      <c r="B92" t="s">
        <v>986</v>
      </c>
      <c r="C92" t="str">
        <f t="shared" si="0"/>
        <v>https://genk.vn/nguoi-dung-macbook-ru-nhau-lam-may-keu-ren-mua-mat-phi-nhung-quay-reel-ma-viral-la-duoc-tra-lai-tien-165260329184620414.chn</v>
      </c>
    </row>
    <row r="93" spans="1:3">
      <c r="A93" s="13">
        <v>9</v>
      </c>
      <c r="B93" t="s">
        <v>991</v>
      </c>
      <c r="C93" t="str">
        <f t="shared" si="0"/>
        <v>https://genk.vn/vntt-cong-bo-smart-robotics-huong-toi-he-sinh-thai-tu-dong-hoa-san-xuat-va-logistics-165260330175209289.chn</v>
      </c>
    </row>
    <row r="94" spans="1:3">
      <c r="A94" s="13">
        <v>10</v>
      </c>
      <c r="B94" t="s">
        <v>996</v>
      </c>
      <c r="C94" t="str">
        <f t="shared" si="0"/>
        <v>https://genk.vn/thoi-dai-ai-khi-agency-khong-con-ban-gio-lam-viec-ma-ban-kieng-3-chan-165260331161338534.chn</v>
      </c>
    </row>
    <row r="95" spans="1:3">
      <c r="A95" s="13">
        <v>11</v>
      </c>
      <c r="B95" t="s">
        <v>1001</v>
      </c>
      <c r="C95" t="str">
        <f t="shared" si="0"/>
        <v>https://genk.vn/facebook-chinh-thuc-dong-cua-messenger-trinh-duyet-web-tu-16-4-165260403080157366.chn</v>
      </c>
    </row>
    <row r="96" spans="1:3">
      <c r="A96" s="13">
        <v>12</v>
      </c>
      <c r="B96" t="s">
        <v>1066</v>
      </c>
      <c r="C96" t="str">
        <f t="shared" si="0"/>
        <v>https://luatvietnam.vn/thue/cong-van-1619-ct-cs-2026-cua-cuc-thue-ve-thanh-toan-khong-dung-tien-mat-429309-d6.html</v>
      </c>
    </row>
    <row r="97" spans="1:3">
      <c r="A97" s="13">
        <v>13</v>
      </c>
      <c r="B97" t="s">
        <v>1011</v>
      </c>
      <c r="C97" t="str">
        <f t="shared" si="0"/>
        <v>https://techcrunch.com/2026/04/05/as-people-look-for-ways-to-make-new-friends-here-are-the-apps-promising-to-help/</v>
      </c>
    </row>
    <row r="98" spans="1:3">
      <c r="A98" s="13">
        <v>14</v>
      </c>
      <c r="B98" t="s">
        <v>1027</v>
      </c>
      <c r="C98" t="str">
        <f t="shared" si="0"/>
        <v>https://vneconomy.vn/techconnect/trung-quoc-xay-mang-luoi-ai-gia-re-cuu-doanh-nghiep-nho-khoi-ap-luc-chi-phi.htm</v>
      </c>
    </row>
    <row r="99" spans="1:3">
      <c r="A99" s="13">
        <v>15</v>
      </c>
      <c r="B99" t="s">
        <v>1022</v>
      </c>
      <c r="C99" t="str">
        <f t="shared" si="0"/>
        <v>https://vneconomy.vn/techconnect/ha-noi-ra-mat-hanoiwork-quan-tri-cong-viec-va-danh-gia-can-bo-theo-okrkpi.htm</v>
      </c>
    </row>
    <row r="100" spans="1:3">
      <c r="A100" s="13">
        <v>16</v>
      </c>
      <c r="B100" t="s">
        <v>1181</v>
      </c>
      <c r="C100" t="str">
        <f t="shared" si="0"/>
        <v>https://vnexpress.net/nguoi-dung-di-dong-tu-xac-thuc-sim-chinh-chu-tren-vneid-5058131.html</v>
      </c>
    </row>
    <row r="101" spans="1:3">
      <c r="A101" s="13">
        <v>17</v>
      </c>
      <c r="B101" t="s">
        <v>1032</v>
      </c>
      <c r="C101" t="str">
        <f t="shared" si="0"/>
        <v>https://www.bloomberg.com/news/articles/2026-04-01/oura-and-whoop-discounts-gain-popularity-with-premium-amex-chase-credit-cards?srnd=phx-technology-consumer-tech</v>
      </c>
    </row>
    <row r="102" spans="1:3">
      <c r="A102" s="13">
        <v>18</v>
      </c>
      <c r="B102" t="s">
        <v>1006</v>
      </c>
      <c r="C102" t="str">
        <f t="shared" si="0"/>
        <v>https://www.techinasia.com/grabs-greater-southeast-asia-play</v>
      </c>
    </row>
    <row r="103" spans="1:3">
      <c r="A103" s="13">
        <v>19</v>
      </c>
      <c r="B103" t="s">
        <v>1042</v>
      </c>
      <c r="C103" t="str">
        <f t="shared" si="0"/>
        <v>https://www.techinasia.com/news/indonesia-fmcg-ecommerce-sales-hit-23b-q1</v>
      </c>
    </row>
    <row r="104" spans="1:3">
      <c r="A104" s="13">
        <v>20</v>
      </c>
      <c r="B104" t="s">
        <v>1086</v>
      </c>
      <c r="C104" t="str">
        <f t="shared" si="0"/>
        <v>https://www.techinasia.com/hitpay-grew-25b-annualized-payment-volumes-18m</v>
      </c>
    </row>
    <row r="105" spans="1:3">
      <c r="A105" s="13">
        <v>21</v>
      </c>
      <c r="B105" s="35" t="s">
        <v>1141</v>
      </c>
      <c r="C105" t="str">
        <f t="shared" si="0"/>
        <v>https://dantri.com.vn/cong-nghe/con-ga-de-trung-vang-cua-anthropic-bi-lo-ma-nguon-20260401091143923.htm</v>
      </c>
    </row>
    <row r="106" spans="1:3">
      <c r="A106" s="13">
        <v>22</v>
      </c>
      <c r="B106" t="s">
        <v>1056</v>
      </c>
      <c r="C106" t="str">
        <f t="shared" si="0"/>
        <v>https://genk.vn/rakuten-tung-mo-hinh-ai-700-ty-tham-so-tuong-hang-quoc-dan-nhat-ban-hoa-ra-la-deepseek-v3-cua-trung-quoc-165260330114833572.chn</v>
      </c>
    </row>
    <row r="107" spans="1:3">
      <c r="A107" s="13">
        <v>23</v>
      </c>
      <c r="B107" t="s">
        <v>1246</v>
      </c>
      <c r="C107" t="str">
        <f t="shared" si="0"/>
        <v>https://genk.vn/deepseek-gap-su-co-ai-keo-dai-hon-7-gio-dai-nhat-tu-dau-2025-165260401054622984.chn</v>
      </c>
    </row>
    <row r="108" spans="1:3">
      <c r="A108" s="13">
        <v>24</v>
      </c>
      <c r="B108" t="s">
        <v>1052</v>
      </c>
      <c r="C108" t="str">
        <f t="shared" si="0"/>
        <v>https://genk.vn/hon-1-trieu-cuoc-tan-cong-ai-nham-vao-doanh-nghiep-viet-165260401170048816.chn</v>
      </c>
    </row>
    <row r="109" spans="1:3">
      <c r="A109" s="13">
        <v>25</v>
      </c>
      <c r="B109" t="s">
        <v>1071</v>
      </c>
      <c r="C109" t="str">
        <f t="shared" si="0"/>
        <v>https://genk.vn/openai-huy-ke-hoach-phat-trien-chatbot-nguoi-lon-165260330081019867.chn</v>
      </c>
    </row>
    <row r="110" spans="1:3">
      <c r="A110" s="13">
        <v>26</v>
      </c>
      <c r="B110" t="s">
        <v>1076</v>
      </c>
      <c r="C110" t="str">
        <f t="shared" si="0"/>
        <v>https://genk.vn/cong-an-canh-bao-nong-toi-tat-ca-nhung-nguoi-co-tai-khoan-mua-sam-shopee-lazada-165260331003343451.chn</v>
      </c>
    </row>
    <row r="111" spans="1:3">
      <c r="A111" s="13">
        <v>27</v>
      </c>
      <c r="B111" t="s">
        <v>1066</v>
      </c>
      <c r="C111" t="str">
        <f t="shared" si="0"/>
        <v>https://luatvietnam.vn/thue/cong-van-1619-ct-cs-2026-cua-cuc-thue-ve-thanh-toan-khong-dung-tien-mat-429309-d6.html</v>
      </c>
    </row>
    <row r="112" spans="1:3">
      <c r="A112" s="13">
        <v>28</v>
      </c>
      <c r="B112" t="s">
        <v>1081</v>
      </c>
      <c r="C112" t="str">
        <f t="shared" si="0"/>
        <v>https://techcrunch.com/2026/04/02/flipboard-surf-social-websites-help-publishers-and-creators-tap-into-the-open-social-web/</v>
      </c>
    </row>
    <row r="113" spans="1:3">
      <c r="A113" s="13">
        <v>29</v>
      </c>
      <c r="B113" t="s">
        <v>1251</v>
      </c>
      <c r="C113" t="str">
        <f t="shared" si="0"/>
        <v>https://vneconomy.vn/techconnect/cuoc-dua-khoc-liet-tao-video-bang-ai-sau-quyet-dinh-khai-tu-sora-ai-cua-openai.htm</v>
      </c>
    </row>
    <row r="114" spans="1:3">
      <c r="A114" s="13">
        <v>30</v>
      </c>
      <c r="B114" t="s">
        <v>966</v>
      </c>
      <c r="C114" t="str">
        <f t="shared" si="0"/>
        <v>https://vneconomy.vn/techconnect/san-thuong-mai-dien-tu-tang-truong-34-vi-sao-nhieu-doanh-nghiep-van-khong-kiem-duoc-tien.htm</v>
      </c>
    </row>
    <row r="115" spans="1:3">
      <c r="A115" s="13">
        <v>31</v>
      </c>
      <c r="B115" t="s">
        <v>1096</v>
      </c>
      <c r="C115" t="str">
        <f t="shared" si="0"/>
        <v>https://vnexpress.net/cach-phan-anh-vi-pham-giao-thong-qua-vneid-5057404.html</v>
      </c>
    </row>
    <row r="116" spans="1:3">
      <c r="A116" s="13">
        <v>32</v>
      </c>
      <c r="B116" t="s">
        <v>1101</v>
      </c>
      <c r="C116" t="str">
        <f t="shared" si="0"/>
        <v>https://www.bloomberg.com/news/articles/2026-03-31/apple-tests-siri-feature-that-handles-multiple-commands-at-once?srnd=phx-technology-consumer-tech</v>
      </c>
    </row>
    <row r="117" spans="1:3">
      <c r="A117" s="13">
        <v>33</v>
      </c>
      <c r="B117" t="s">
        <v>1037</v>
      </c>
      <c r="C117" t="str">
        <f t="shared" si="0"/>
        <v>https://www.techinasia.com/news/shinsegae-openai-partner-for-ai-commerce</v>
      </c>
    </row>
    <row r="118" spans="1:3">
      <c r="A118" s="13">
        <v>34</v>
      </c>
      <c r="B118" t="s">
        <v>1111</v>
      </c>
      <c r="C118" t="str">
        <f t="shared" si="0"/>
        <v>https://www.techinasia.com/banks-crash-wealthtechs-investing-party</v>
      </c>
    </row>
    <row r="119" spans="1:3">
      <c r="A119" s="13">
        <v>35</v>
      </c>
      <c r="B119" s="35" t="s">
        <v>3322</v>
      </c>
      <c r="C119" t="str">
        <f t="shared" si="0"/>
        <v>https://dantri.com.vn/cong-nghe/instagram-thu-nghiem-goi-plus-thu-phi-nguoi-dung-20260331120043285.htm</v>
      </c>
    </row>
    <row r="120" spans="1:3">
      <c r="A120" s="13">
        <v>36</v>
      </c>
      <c r="B120" t="s">
        <v>1116</v>
      </c>
      <c r="C120" t="str">
        <f t="shared" si="0"/>
        <v>https://techcrunch.com/2026/04/02/elevenlabs-releases-a-new-ai-powered-music-generation-app/</v>
      </c>
    </row>
    <row r="121" spans="1:3">
      <c r="A121" s="13">
        <v>37</v>
      </c>
      <c r="B121" t="s">
        <v>1206</v>
      </c>
      <c r="C121" t="str">
        <f t="shared" si="0"/>
        <v>https://vneconomy.vn/techconnect/khi-nguoi-dung-tu-nop-du-lieu-cho-ai-rui-ro-moi-cua-thoi-dai-so.htm</v>
      </c>
    </row>
    <row r="122" spans="1:3">
      <c r="A122" s="13">
        <v>38</v>
      </c>
      <c r="B122" t="s">
        <v>1121</v>
      </c>
      <c r="C122" t="str">
        <f t="shared" si="0"/>
        <v>https://vnexpress.net/ba-cong-cu-tao-video-ai-co-the-thay-the-sora-5056931.html</v>
      </c>
    </row>
    <row r="123" spans="1:3">
      <c r="A123" s="13">
        <v>39</v>
      </c>
      <c r="B123" t="s">
        <v>1126</v>
      </c>
      <c r="C123" t="str">
        <f t="shared" si="0"/>
        <v>https://www.bloomberg.com/news/articles/2026-03-27/meta-to-launch-new-ai-glasses-aimed-at-prescription-wearers?srnd=phx-technology-consumer-tech</v>
      </c>
    </row>
    <row r="124" spans="1:3">
      <c r="A124" s="13">
        <v>40</v>
      </c>
      <c r="B124" t="s">
        <v>1266</v>
      </c>
      <c r="C124" t="str">
        <f t="shared" si="0"/>
        <v>https://www.techinasia.com/news/ai-online-shopping-hits-82-indonesia-report</v>
      </c>
    </row>
    <row r="125" spans="1:3">
      <c r="A125" s="13">
        <v>41</v>
      </c>
      <c r="B125" t="s">
        <v>1256</v>
      </c>
      <c r="C125" t="str">
        <f t="shared" si="0"/>
        <v>https://www.techinasia.com/news/bitget-launches-visa-crypto-card-apac</v>
      </c>
    </row>
    <row r="126" spans="1:3">
      <c r="A126" s="13">
        <v>42</v>
      </c>
      <c r="B126" s="35" t="s">
        <v>1156</v>
      </c>
      <c r="C126" t="str">
        <f t="shared" si="0"/>
        <v>https://dantri.com.vn/cong-nghe/tiet-lo-moi-ve-moi-quan-he-giua-apple-va-google-20260329170911100.htm</v>
      </c>
    </row>
    <row r="127" spans="1:3">
      <c r="A127" s="13">
        <v>43</v>
      </c>
      <c r="B127" t="s">
        <v>1146</v>
      </c>
      <c r="C127" t="str">
        <f t="shared" si="0"/>
        <v>https://techcrunch.com/2026/04/02/google-now-lets-you-direct-avatars-through-prompts-in-its-vids-app/</v>
      </c>
    </row>
    <row r="128" spans="1:3">
      <c r="A128" s="13">
        <v>44</v>
      </c>
      <c r="B128" t="s">
        <v>1151</v>
      </c>
      <c r="C128" t="str">
        <f t="shared" si="0"/>
        <v>https://vneconomy.vn/techconnect/nam-tai-chinh-2026-cmc-dat-muc-tieu-tang-truong-doanh-thu-tren-20-moi-nam.htm</v>
      </c>
    </row>
    <row r="129" spans="1:3">
      <c r="A129" s="13">
        <v>45</v>
      </c>
      <c r="B129" t="s">
        <v>1161</v>
      </c>
      <c r="C129" t="str">
        <f t="shared" si="0"/>
        <v>https://vnexpress.net/nhung-diem-moi-cua-luat-so-huu-tri-tue-5057018.html</v>
      </c>
    </row>
    <row r="130" spans="1:3">
      <c r="A130" s="13">
        <v>46</v>
      </c>
      <c r="B130" t="s">
        <v>3182</v>
      </c>
      <c r="C130" t="str">
        <f t="shared" si="0"/>
        <v>https://www.bloomberg.com/news/articles/2026-03-31/airbnb-adds-third-party-private-car-pickups-in-latest-services-push?srnd=phx-technology-consumer-tech</v>
      </c>
    </row>
    <row r="131" spans="1:3">
      <c r="A131" s="13">
        <v>47</v>
      </c>
      <c r="B131" t="s">
        <v>1186</v>
      </c>
      <c r="C131" t="str">
        <f t="shared" si="0"/>
        <v>https://www.techinasia.com/news/china-issues-ecommerce-rules-eu-concerns</v>
      </c>
    </row>
    <row r="132" spans="1:3">
      <c r="A132" s="13">
        <v>48</v>
      </c>
      <c r="B132" t="s">
        <v>1166</v>
      </c>
      <c r="C132" t="str">
        <f t="shared" si="0"/>
        <v>https://www.techinasia.com/indian-fintech-firm-unlocking-elective-healthcare</v>
      </c>
    </row>
    <row r="133" spans="1:3">
      <c r="A133" s="13">
        <v>49</v>
      </c>
      <c r="B133" t="s">
        <v>1171</v>
      </c>
      <c r="C133" t="str">
        <f t="shared" si="0"/>
        <v>https://techcrunch.com/2026/04/02/uniteds-mobile-app-now-shows-tsa-wait-times-at-select-airports/</v>
      </c>
    </row>
    <row r="134" spans="1:3">
      <c r="A134" s="13">
        <v>50</v>
      </c>
      <c r="B134" t="s">
        <v>1176</v>
      </c>
      <c r="C134" t="str">
        <f t="shared" si="0"/>
        <v>https://vnexpress.net/chatbot-xu-ninh-mat-trai-cua-ai-5056522.html</v>
      </c>
    </row>
    <row r="135" spans="1:3">
      <c r="A135" s="13">
        <v>51</v>
      </c>
      <c r="B135" t="s">
        <v>3183</v>
      </c>
      <c r="C135" t="str">
        <f t="shared" si="0"/>
        <v>https://www.bloomberg.com/news/newsletters/2026-03-29/apple-doubles-down-on-hardware-services-with-revamped-ai-strategy-rare-bonuses-mnbpiwon?srnd=phx-technology-consumer-tech</v>
      </c>
    </row>
    <row r="136" spans="1:3">
      <c r="A136" s="13">
        <v>52</v>
      </c>
      <c r="B136" t="s">
        <v>1017</v>
      </c>
      <c r="C136" t="str">
        <f t="shared" si="0"/>
        <v>https://www.techinasia.com/news/alibaba-roll-ai-agents-taobao-tmall-merchants</v>
      </c>
    </row>
    <row r="137" spans="1:3">
      <c r="A137" s="13">
        <v>53</v>
      </c>
      <c r="B137" t="s">
        <v>1191</v>
      </c>
      <c r="C137" t="str">
        <f t="shared" si="0"/>
        <v>https://www.techinasia.com/news/tiktok-applies-fintech-license-brazil</v>
      </c>
    </row>
    <row r="138" spans="1:3">
      <c r="A138" s="13">
        <v>54</v>
      </c>
      <c r="B138" t="s">
        <v>1196</v>
      </c>
      <c r="C138" t="str">
        <f t="shared" si="0"/>
        <v>https://techcrunch.com/2026/04/02/beehiiv-expands-into-podcasts-taking-aim-at-patreon-substack-newsletters/</v>
      </c>
    </row>
    <row r="139" spans="1:3">
      <c r="A139" s="13">
        <v>55</v>
      </c>
      <c r="B139" t="s">
        <v>1201</v>
      </c>
      <c r="C139" t="str">
        <f t="shared" si="0"/>
        <v>https://www.techinasia.com/news/austria-block-jdcoms-ceconomy-acquisition</v>
      </c>
    </row>
    <row r="140" spans="1:3">
      <c r="A140" s="13">
        <v>56</v>
      </c>
      <c r="B140" t="s">
        <v>976</v>
      </c>
      <c r="C140" t="str">
        <f t="shared" si="0"/>
        <v>https://www.techinasia.com/news/mobifone-launches-payments-platform-vietnam</v>
      </c>
    </row>
    <row r="141" spans="1:3">
      <c r="A141" s="13">
        <v>57</v>
      </c>
      <c r="B141" t="s">
        <v>1211</v>
      </c>
      <c r="C141" t="str">
        <f t="shared" si="0"/>
        <v>https://techcrunch.com/2026/04/01/cameo-partners-with-tiktok-to-boost-popularity/</v>
      </c>
    </row>
    <row r="142" spans="1:3">
      <c r="A142" s="13">
        <v>58</v>
      </c>
      <c r="B142" t="s">
        <v>3181</v>
      </c>
      <c r="C142" t="str">
        <f t="shared" si="0"/>
        <v>https://vnexpress.net/chinh-sach-moi-ve-so-huu-tri-tue-co-hieu-luc-5056589.html</v>
      </c>
    </row>
    <row r="143" spans="1:3">
      <c r="A143" s="13">
        <v>59</v>
      </c>
      <c r="B143" t="s">
        <v>955</v>
      </c>
      <c r="C143" t="str">
        <f t="shared" si="0"/>
        <v>https://www.techinasia.com/news/tiktok-shop-shopee-lead-vietnams-beauty-ecommerce-market</v>
      </c>
    </row>
    <row r="144" spans="1:3">
      <c r="A144" s="13">
        <v>60</v>
      </c>
      <c r="B144" t="s">
        <v>1221</v>
      </c>
      <c r="C144" t="str">
        <f t="shared" si="0"/>
        <v>https://techcrunch.com/2026/03/31/go-play-this-secret-game-in-your-tiktok-dms/</v>
      </c>
    </row>
    <row r="145" spans="1:3">
      <c r="A145" s="13">
        <v>61</v>
      </c>
      <c r="B145" t="s">
        <v>1226</v>
      </c>
      <c r="C145" t="str">
        <f t="shared" si="0"/>
        <v>https://vnexpress.net/kiosk-thong-minh-giup-lam-thu-tuc-hanh-chinh-duoi-5-phut-5056486.html</v>
      </c>
    </row>
    <row r="146" spans="1:3">
      <c r="A146" s="13">
        <v>62</v>
      </c>
      <c r="B146" t="s">
        <v>1231</v>
      </c>
      <c r="C146" t="str">
        <f t="shared" si="0"/>
        <v>https://techcrunch.com/2026/03/31/caller-id-app-truecaller-hits-500-million-monthly-users/</v>
      </c>
    </row>
    <row r="147" spans="1:3">
      <c r="A147" s="13">
        <v>63</v>
      </c>
      <c r="B147" t="s">
        <v>1236</v>
      </c>
      <c r="C147" t="str">
        <f t="shared" si="0"/>
        <v>https://vnexpress.net/wikipedia-cam-noi-dung-ai-5056352.html</v>
      </c>
    </row>
    <row r="148" spans="1:3">
      <c r="A148" s="13">
        <v>64</v>
      </c>
      <c r="B148" t="s">
        <v>1131</v>
      </c>
      <c r="C148" t="str">
        <f t="shared" si="0"/>
        <v>https://techcrunch.com/2026/03/31/airbnb-private-car-pick-up-service-welcome-pickups/</v>
      </c>
    </row>
    <row r="149" spans="1:3">
      <c r="A149" s="13">
        <v>65</v>
      </c>
      <c r="B149" t="s">
        <v>1091</v>
      </c>
      <c r="C149" t="str">
        <f t="shared" si="0"/>
        <v>https://vnexpress.net/bo-khoa-hoc-va-cong-nghe-xay-dung-danh-muc-ai-rui-ro-cao-5056376.html</v>
      </c>
    </row>
    <row r="150" spans="1:3">
      <c r="A150" s="13">
        <v>66</v>
      </c>
      <c r="B150" t="s">
        <v>1047</v>
      </c>
      <c r="C150" t="str">
        <f t="shared" ref="C150:C153" si="1">_xlfn.XLOOKUP(B150,$B$157:$B$224,$B$157:$B$224,"not found",0)</f>
        <v>https://techcrunch.com/2026/03/30/meta-starts-testing-a-premium-subscription-on-instagram/</v>
      </c>
    </row>
    <row r="151" spans="1:3">
      <c r="A151" s="13">
        <v>67</v>
      </c>
      <c r="B151" t="s">
        <v>1216</v>
      </c>
      <c r="C151" t="str">
        <f t="shared" si="1"/>
        <v>https://vnexpress.net/google-cho-dich-cuoc-noi-chuyen-truc-tiep-bang-iphone-5055797.html</v>
      </c>
    </row>
    <row r="152" spans="1:3">
      <c r="A152" s="13">
        <v>68</v>
      </c>
      <c r="B152" t="s">
        <v>1261</v>
      </c>
      <c r="C152" t="str">
        <f t="shared" si="1"/>
        <v>https://techcrunch.com/2026/03/28/bluesky-leans-into-ai-with-attie-an-app-for-building-custom-feeds/</v>
      </c>
    </row>
    <row r="153" spans="1:3">
      <c r="A153" s="13">
        <v>69</v>
      </c>
      <c r="B153" t="s">
        <v>1106</v>
      </c>
      <c r="C153" t="str">
        <f t="shared" si="1"/>
        <v>https://techcrunch.com/2026/03/26/bytedances-new-ai-video-generation-model-dreamina-seedance-2-0-comes-to-capcut/</v>
      </c>
    </row>
    <row r="155" spans="1:3" s="107" customFormat="1">
      <c r="A155" s="146"/>
    </row>
    <row r="157" spans="1:3">
      <c r="B157" t="s">
        <v>1241</v>
      </c>
    </row>
    <row r="158" spans="1:3">
      <c r="B158" t="s">
        <v>961</v>
      </c>
    </row>
    <row r="159" spans="1:3">
      <c r="B159" t="s">
        <v>1136</v>
      </c>
    </row>
    <row r="160" spans="1:3">
      <c r="B160" t="s">
        <v>1061</v>
      </c>
    </row>
    <row r="161" spans="2:2">
      <c r="B161" t="s">
        <v>971</v>
      </c>
    </row>
    <row r="162" spans="2:2">
      <c r="B162" t="s">
        <v>3171</v>
      </c>
    </row>
    <row r="163" spans="2:2">
      <c r="B163" t="s">
        <v>981</v>
      </c>
    </row>
    <row r="164" spans="2:2">
      <c r="B164" t="s">
        <v>986</v>
      </c>
    </row>
    <row r="165" spans="2:2">
      <c r="B165" t="s">
        <v>991</v>
      </c>
    </row>
    <row r="166" spans="2:2">
      <c r="B166" t="s">
        <v>996</v>
      </c>
    </row>
    <row r="167" spans="2:2">
      <c r="B167" t="s">
        <v>1001</v>
      </c>
    </row>
    <row r="168" spans="2:2">
      <c r="B168" t="s">
        <v>1066</v>
      </c>
    </row>
    <row r="169" spans="2:2">
      <c r="B169" t="s">
        <v>1011</v>
      </c>
    </row>
    <row r="170" spans="2:2">
      <c r="B170" t="s">
        <v>1027</v>
      </c>
    </row>
    <row r="171" spans="2:2">
      <c r="B171" t="s">
        <v>1022</v>
      </c>
    </row>
    <row r="172" spans="2:2">
      <c r="B172" t="s">
        <v>1181</v>
      </c>
    </row>
    <row r="173" spans="2:2">
      <c r="B173" t="s">
        <v>1032</v>
      </c>
    </row>
    <row r="174" spans="2:2">
      <c r="B174" t="s">
        <v>1006</v>
      </c>
    </row>
    <row r="175" spans="2:2">
      <c r="B175" t="s">
        <v>1042</v>
      </c>
    </row>
    <row r="176" spans="2:2">
      <c r="B176" t="s">
        <v>1086</v>
      </c>
    </row>
    <row r="177" spans="2:2">
      <c r="B177" t="s">
        <v>1141</v>
      </c>
    </row>
    <row r="178" spans="2:2">
      <c r="B178" t="s">
        <v>1056</v>
      </c>
    </row>
    <row r="179" spans="2:2">
      <c r="B179" t="s">
        <v>1246</v>
      </c>
    </row>
    <row r="180" spans="2:2">
      <c r="B180" t="s">
        <v>1052</v>
      </c>
    </row>
    <row r="181" spans="2:2">
      <c r="B181" t="s">
        <v>1071</v>
      </c>
    </row>
    <row r="182" spans="2:2">
      <c r="B182" t="s">
        <v>1076</v>
      </c>
    </row>
    <row r="183" spans="2:2">
      <c r="B183" t="s">
        <v>1081</v>
      </c>
    </row>
    <row r="184" spans="2:2">
      <c r="B184" t="s">
        <v>1251</v>
      </c>
    </row>
    <row r="185" spans="2:2">
      <c r="B185" t="s">
        <v>966</v>
      </c>
    </row>
    <row r="186" spans="2:2">
      <c r="B186" t="s">
        <v>1096</v>
      </c>
    </row>
    <row r="187" spans="2:2">
      <c r="B187" t="s">
        <v>1101</v>
      </c>
    </row>
    <row r="188" spans="2:2">
      <c r="B188" t="s">
        <v>1037</v>
      </c>
    </row>
    <row r="189" spans="2:2">
      <c r="B189" t="s">
        <v>1111</v>
      </c>
    </row>
    <row r="190" spans="2:2">
      <c r="B190" t="s">
        <v>3322</v>
      </c>
    </row>
    <row r="191" spans="2:2">
      <c r="B191" t="s">
        <v>1116</v>
      </c>
    </row>
    <row r="192" spans="2:2">
      <c r="B192" t="s">
        <v>1206</v>
      </c>
    </row>
    <row r="193" spans="2:2">
      <c r="B193" t="s">
        <v>1121</v>
      </c>
    </row>
    <row r="194" spans="2:2">
      <c r="B194" t="s">
        <v>1126</v>
      </c>
    </row>
    <row r="195" spans="2:2">
      <c r="B195" t="s">
        <v>1266</v>
      </c>
    </row>
    <row r="196" spans="2:2">
      <c r="B196" t="s">
        <v>1256</v>
      </c>
    </row>
    <row r="197" spans="2:2">
      <c r="B197" t="s">
        <v>1156</v>
      </c>
    </row>
    <row r="198" spans="2:2">
      <c r="B198" t="s">
        <v>1146</v>
      </c>
    </row>
    <row r="199" spans="2:2">
      <c r="B199" t="s">
        <v>1151</v>
      </c>
    </row>
    <row r="200" spans="2:2">
      <c r="B200" t="s">
        <v>1161</v>
      </c>
    </row>
    <row r="201" spans="2:2">
      <c r="B201" t="s">
        <v>3182</v>
      </c>
    </row>
    <row r="202" spans="2:2">
      <c r="B202" t="s">
        <v>1186</v>
      </c>
    </row>
    <row r="203" spans="2:2">
      <c r="B203" t="s">
        <v>1166</v>
      </c>
    </row>
    <row r="204" spans="2:2">
      <c r="B204" t="s">
        <v>1171</v>
      </c>
    </row>
    <row r="205" spans="2:2">
      <c r="B205" t="s">
        <v>1176</v>
      </c>
    </row>
    <row r="206" spans="2:2">
      <c r="B206" t="s">
        <v>3183</v>
      </c>
    </row>
    <row r="207" spans="2:2">
      <c r="B207" t="s">
        <v>1017</v>
      </c>
    </row>
    <row r="208" spans="2:2">
      <c r="B208" t="s">
        <v>1191</v>
      </c>
    </row>
    <row r="209" spans="2:2">
      <c r="B209" t="s">
        <v>1196</v>
      </c>
    </row>
    <row r="210" spans="2:2">
      <c r="B210" t="s">
        <v>1201</v>
      </c>
    </row>
    <row r="211" spans="2:2">
      <c r="B211" t="s">
        <v>976</v>
      </c>
    </row>
    <row r="212" spans="2:2">
      <c r="B212" t="s">
        <v>1211</v>
      </c>
    </row>
    <row r="213" spans="2:2">
      <c r="B213" t="s">
        <v>3181</v>
      </c>
    </row>
    <row r="214" spans="2:2">
      <c r="B214" t="s">
        <v>955</v>
      </c>
    </row>
    <row r="215" spans="2:2">
      <c r="B215" t="s">
        <v>1221</v>
      </c>
    </row>
    <row r="216" spans="2:2">
      <c r="B216" t="s">
        <v>1226</v>
      </c>
    </row>
    <row r="217" spans="2:2">
      <c r="B217" t="s">
        <v>1231</v>
      </c>
    </row>
    <row r="218" spans="2:2">
      <c r="B218" t="s">
        <v>1236</v>
      </c>
    </row>
    <row r="219" spans="2:2">
      <c r="B219" t="s">
        <v>1131</v>
      </c>
    </row>
    <row r="220" spans="2:2">
      <c r="B220" t="s">
        <v>1091</v>
      </c>
    </row>
    <row r="221" spans="2:2">
      <c r="B221" t="s">
        <v>1047</v>
      </c>
    </row>
    <row r="222" spans="2:2">
      <c r="B222" t="s">
        <v>1216</v>
      </c>
    </row>
    <row r="223" spans="2:2">
      <c r="B223" t="s">
        <v>1261</v>
      </c>
    </row>
    <row r="224" spans="2:2">
      <c r="B224" t="s">
        <v>1106</v>
      </c>
    </row>
    <row r="226" spans="1:2" s="107" customFormat="1">
      <c r="A226" s="147">
        <v>46123</v>
      </c>
    </row>
    <row r="228" spans="1:2">
      <c r="A228" s="13">
        <v>1</v>
      </c>
      <c r="B228" t="s">
        <v>1563</v>
      </c>
    </row>
    <row r="229" spans="1:2">
      <c r="A229" s="13">
        <v>2</v>
      </c>
      <c r="B229" t="s">
        <v>1513</v>
      </c>
    </row>
    <row r="230" spans="1:2">
      <c r="A230" s="13">
        <v>3</v>
      </c>
      <c r="B230" t="s">
        <v>1483</v>
      </c>
    </row>
    <row r="231" spans="1:2">
      <c r="A231" s="13">
        <v>4</v>
      </c>
      <c r="B231" t="s">
        <v>1568</v>
      </c>
    </row>
    <row r="232" spans="1:2">
      <c r="A232" s="13">
        <v>5</v>
      </c>
      <c r="B232" t="s">
        <v>1573</v>
      </c>
    </row>
    <row r="233" spans="1:2">
      <c r="A233" s="13">
        <v>6</v>
      </c>
      <c r="B233" t="s">
        <v>1032</v>
      </c>
    </row>
    <row r="234" spans="1:2">
      <c r="A234" s="13">
        <v>7</v>
      </c>
      <c r="B234" t="s">
        <v>1553</v>
      </c>
    </row>
    <row r="235" spans="1:2">
      <c r="A235" s="13">
        <v>8</v>
      </c>
      <c r="B235" t="s">
        <v>1408</v>
      </c>
    </row>
    <row r="236" spans="1:2">
      <c r="A236" s="13">
        <v>9</v>
      </c>
      <c r="B236" t="s">
        <v>1443</v>
      </c>
    </row>
    <row r="237" spans="1:2">
      <c r="A237" s="13">
        <v>10</v>
      </c>
      <c r="B237" t="s">
        <v>1453</v>
      </c>
    </row>
    <row r="238" spans="1:2">
      <c r="A238" s="13">
        <v>11</v>
      </c>
      <c r="B238" t="s">
        <v>1508</v>
      </c>
    </row>
    <row r="239" spans="1:2">
      <c r="A239" s="13">
        <v>12</v>
      </c>
      <c r="B239" t="s">
        <v>1608</v>
      </c>
    </row>
    <row r="240" spans="1:2">
      <c r="A240" s="13">
        <v>13</v>
      </c>
      <c r="B240" t="s">
        <v>1538</v>
      </c>
    </row>
    <row r="241" spans="1:2">
      <c r="A241" s="13">
        <v>14</v>
      </c>
      <c r="B241" t="s">
        <v>1413</v>
      </c>
    </row>
    <row r="242" spans="1:2">
      <c r="A242" s="13">
        <v>15</v>
      </c>
      <c r="B242" t="s">
        <v>1598</v>
      </c>
    </row>
    <row r="243" spans="1:2">
      <c r="A243" s="13">
        <v>16</v>
      </c>
      <c r="B243" t="s">
        <v>1448</v>
      </c>
    </row>
    <row r="244" spans="1:2">
      <c r="A244" s="13">
        <v>17</v>
      </c>
      <c r="B244" t="s">
        <v>1468</v>
      </c>
    </row>
    <row r="245" spans="1:2">
      <c r="A245" s="13">
        <v>18</v>
      </c>
      <c r="B245" t="s">
        <v>1518</v>
      </c>
    </row>
    <row r="246" spans="1:2">
      <c r="A246" s="13">
        <v>19</v>
      </c>
      <c r="B246" t="s">
        <v>1458</v>
      </c>
    </row>
    <row r="247" spans="1:2">
      <c r="A247" s="13">
        <v>20</v>
      </c>
      <c r="B247" t="s">
        <v>1493</v>
      </c>
    </row>
    <row r="248" spans="1:2">
      <c r="A248" s="13">
        <v>21</v>
      </c>
      <c r="B248" t="s">
        <v>3190</v>
      </c>
    </row>
    <row r="249" spans="1:2">
      <c r="A249" s="13">
        <v>22</v>
      </c>
      <c r="B249" t="s">
        <v>3193</v>
      </c>
    </row>
    <row r="250" spans="1:2">
      <c r="A250" s="13">
        <v>23</v>
      </c>
      <c r="B250" t="s">
        <v>1523</v>
      </c>
    </row>
    <row r="251" spans="1:2">
      <c r="A251" s="13">
        <v>24</v>
      </c>
      <c r="B251" t="s">
        <v>1438</v>
      </c>
    </row>
    <row r="252" spans="1:2">
      <c r="A252" s="13">
        <v>25</v>
      </c>
      <c r="B252" t="s">
        <v>1498</v>
      </c>
    </row>
    <row r="253" spans="1:2">
      <c r="A253" s="13">
        <v>26</v>
      </c>
      <c r="B253" t="s">
        <v>1503</v>
      </c>
    </row>
    <row r="254" spans="1:2">
      <c r="A254" s="13">
        <v>27</v>
      </c>
      <c r="B254" t="s">
        <v>1478</v>
      </c>
    </row>
    <row r="255" spans="1:2">
      <c r="A255" s="13">
        <v>28</v>
      </c>
      <c r="B255" t="s">
        <v>1558</v>
      </c>
    </row>
    <row r="256" spans="1:2">
      <c r="A256" s="13">
        <v>29</v>
      </c>
      <c r="B256" t="s">
        <v>1428</v>
      </c>
    </row>
    <row r="257" spans="1:2">
      <c r="A257" s="13">
        <v>30</v>
      </c>
      <c r="B257" t="s">
        <v>1548</v>
      </c>
    </row>
    <row r="258" spans="1:2">
      <c r="A258" s="13">
        <v>31</v>
      </c>
      <c r="B258" t="s">
        <v>1578</v>
      </c>
    </row>
    <row r="259" spans="1:2">
      <c r="A259" s="13">
        <v>32</v>
      </c>
      <c r="B259" t="s">
        <v>1423</v>
      </c>
    </row>
    <row r="260" spans="1:2">
      <c r="A260" s="13">
        <v>33</v>
      </c>
      <c r="B260" t="s">
        <v>1628</v>
      </c>
    </row>
    <row r="261" spans="1:2">
      <c r="A261" s="13">
        <v>34</v>
      </c>
      <c r="B261" t="s">
        <v>1583</v>
      </c>
    </row>
    <row r="262" spans="1:2">
      <c r="A262" s="13">
        <v>35</v>
      </c>
      <c r="B262" t="s">
        <v>1533</v>
      </c>
    </row>
    <row r="263" spans="1:2">
      <c r="A263" s="13">
        <v>36</v>
      </c>
      <c r="B263" t="s">
        <v>3191</v>
      </c>
    </row>
    <row r="264" spans="1:2">
      <c r="A264" s="13">
        <v>37</v>
      </c>
      <c r="B264" t="s">
        <v>1623</v>
      </c>
    </row>
    <row r="265" spans="1:2">
      <c r="A265" s="13">
        <v>38</v>
      </c>
      <c r="B265" t="s">
        <v>1473</v>
      </c>
    </row>
    <row r="266" spans="1:2">
      <c r="A266" s="13">
        <v>39</v>
      </c>
      <c r="B266" t="s">
        <v>1543</v>
      </c>
    </row>
    <row r="267" spans="1:2">
      <c r="A267" s="13">
        <v>40</v>
      </c>
      <c r="B267" t="s">
        <v>1643</v>
      </c>
    </row>
    <row r="268" spans="1:2">
      <c r="A268" s="13">
        <v>41</v>
      </c>
      <c r="B268" t="s">
        <v>1633</v>
      </c>
    </row>
    <row r="269" spans="1:2">
      <c r="A269" s="13">
        <v>42</v>
      </c>
      <c r="B269" t="s">
        <v>1488</v>
      </c>
    </row>
    <row r="270" spans="1:2">
      <c r="A270" s="13">
        <v>43</v>
      </c>
      <c r="B270" t="s">
        <v>1648</v>
      </c>
    </row>
    <row r="271" spans="1:2">
      <c r="A271" s="13">
        <v>44</v>
      </c>
      <c r="B271" t="s">
        <v>1418</v>
      </c>
    </row>
    <row r="272" spans="1:2">
      <c r="A272" s="13">
        <v>45</v>
      </c>
      <c r="B272" t="s">
        <v>1528</v>
      </c>
    </row>
    <row r="273" spans="1:2">
      <c r="A273" s="13">
        <v>46</v>
      </c>
      <c r="B273" t="s">
        <v>1593</v>
      </c>
    </row>
    <row r="274" spans="1:2">
      <c r="A274" s="13">
        <v>47</v>
      </c>
      <c r="B274" t="s">
        <v>1603</v>
      </c>
    </row>
    <row r="275" spans="1:2">
      <c r="A275" s="13">
        <v>48</v>
      </c>
      <c r="B275" t="s">
        <v>1588</v>
      </c>
    </row>
    <row r="276" spans="1:2">
      <c r="A276" s="13">
        <v>49</v>
      </c>
      <c r="B276" t="s">
        <v>1618</v>
      </c>
    </row>
    <row r="277" spans="1:2">
      <c r="A277" s="13">
        <v>50</v>
      </c>
      <c r="B277" t="s">
        <v>3192</v>
      </c>
    </row>
    <row r="278" spans="1:2">
      <c r="A278" s="13">
        <v>51</v>
      </c>
      <c r="B278" t="s">
        <v>1011</v>
      </c>
    </row>
    <row r="279" spans="1:2">
      <c r="A279" s="13">
        <v>52</v>
      </c>
      <c r="B279" t="s">
        <v>1613</v>
      </c>
    </row>
    <row r="280" spans="1:2">
      <c r="A280" s="13">
        <v>53</v>
      </c>
      <c r="B280" t="s">
        <v>1638</v>
      </c>
    </row>
    <row r="281" spans="1:2">
      <c r="A281" s="13">
        <v>54</v>
      </c>
      <c r="B281" s="35" t="s">
        <v>3323</v>
      </c>
    </row>
    <row r="282" spans="1:2">
      <c r="A282" s="13">
        <v>55</v>
      </c>
      <c r="B282" t="s">
        <v>3324</v>
      </c>
    </row>
  </sheetData>
  <conditionalFormatting sqref="C85:C153">
    <cfRule type="duplicateValues" dxfId="0" priority="1"/>
  </conditionalFormatting>
  <hyperlinks>
    <hyperlink ref="B75" r:id="rId1" display="https://www.momo.vn/tin-tuc/khuyen-mai/uu-dai-hoi-nhat-thang-giam-den-45k-nap-game-leo-8556" xr:uid="{5EFA441D-C529-42DF-B632-7AFEAE93B5C0}"/>
    <hyperlink ref="B76" r:id="rId2" display="https://www.momo.vn/tin-tuc/thong-bao/ban-tin-gop-y-va-tinh-nang-moi-thang-2-2026-8554" xr:uid="{7050A80B-1E27-4500-B668-F29CC4B11037}"/>
    <hyperlink ref="B33" r:id="rId3" xr:uid="{CB1B0072-ABEA-4C5C-9480-B8805041E9EE}"/>
    <hyperlink ref="B32" r:id="rId4" xr:uid="{1F67A602-9773-4ACA-8B40-C9000CBCB651}"/>
    <hyperlink ref="B31" r:id="rId5" xr:uid="{EE9E9957-CC93-4506-A4E8-174377BD16A5}"/>
    <hyperlink ref="B30" r:id="rId6" xr:uid="{B9058590-E94C-4885-97DC-9D8D09EF12E9}"/>
    <hyperlink ref="B29" r:id="rId7" xr:uid="{03FBF32F-8978-4DC0-8A61-F3527ABA9454}"/>
    <hyperlink ref="B28" r:id="rId8" xr:uid="{570A9176-B011-41F3-A3D8-4790A70BACAF}"/>
    <hyperlink ref="B27" r:id="rId9" xr:uid="{902E0C64-E505-482D-9D4A-42ACB97971E0}"/>
    <hyperlink ref="B26" r:id="rId10" xr:uid="{6139859E-A2E9-41D6-B3DA-C31A019924AC}"/>
    <hyperlink ref="B25" r:id="rId11" xr:uid="{4CDF3CCA-361F-4238-9992-A2032E5858E0}"/>
    <hyperlink ref="B24" r:id="rId12" xr:uid="{102A1EC5-9B6E-4086-B85B-29E8FF69F428}"/>
    <hyperlink ref="B23" r:id="rId13" xr:uid="{549B2E24-2058-496A-ADE9-27583ED2A4D6}"/>
    <hyperlink ref="B22" r:id="rId14" xr:uid="{0F3B9246-C119-4ED6-BA24-42FB012400CB}"/>
    <hyperlink ref="B21" r:id="rId15" xr:uid="{F98A7BA5-8190-4FDF-A618-ED97949D777F}"/>
    <hyperlink ref="B20" r:id="rId16" xr:uid="{9B6D54D9-9650-4C79-8755-F09DD374CEA7}"/>
    <hyperlink ref="B19" r:id="rId17" xr:uid="{8DAAAAE1-4501-4919-B494-3A60C1468B83}"/>
    <hyperlink ref="B18" r:id="rId18" xr:uid="{F5E666A9-36EF-4F15-84B6-87B2DEB4FAC1}"/>
    <hyperlink ref="B17" r:id="rId19" xr:uid="{31B2D560-D367-417B-BBBB-B8FAFC81B9D6}"/>
    <hyperlink ref="B16" r:id="rId20" xr:uid="{E6609CF0-542E-455E-8E0C-2D1AFA5AAB3E}"/>
    <hyperlink ref="B15" r:id="rId21" xr:uid="{104F1BAC-DC7F-49A5-9DF2-07F11EF28840}"/>
    <hyperlink ref="B14" r:id="rId22" xr:uid="{44CAE1E2-9FE3-43B6-AA5A-071B75D9C3D0}"/>
    <hyperlink ref="B13" r:id="rId23" xr:uid="{9E04EBC2-8E17-4D53-A0DF-908059D66B1B}"/>
    <hyperlink ref="B12" r:id="rId24" xr:uid="{5EF47AC5-71BF-42B2-9DA4-555EEB28CA46}"/>
    <hyperlink ref="B11" r:id="rId25" xr:uid="{1DB22C3F-5D09-4724-ABFD-718BB7C963BD}"/>
    <hyperlink ref="B10" r:id="rId26" xr:uid="{F4C6F17B-9966-44BA-856C-EF97B68A9573}"/>
    <hyperlink ref="B9" r:id="rId27" xr:uid="{576D018E-5604-454C-AE1D-81060739A064}"/>
    <hyperlink ref="B8" r:id="rId28" xr:uid="{CE857450-567D-4A0B-8F42-26B8F5C9EFA1}"/>
    <hyperlink ref="B7" r:id="rId29" xr:uid="{1A6BD8B4-DB7B-42CC-A29C-0B98E47F1A44}"/>
    <hyperlink ref="B6" r:id="rId30" xr:uid="{F1F287CE-7AAC-4C27-B9C8-40BCC7203483}"/>
    <hyperlink ref="B5" r:id="rId31" xr:uid="{C63B5D54-EEEB-4459-8D2D-8129DE80A7EC}"/>
    <hyperlink ref="B4" r:id="rId32" xr:uid="{64105427-63E3-4AF8-AF07-F720B895A5A7}"/>
    <hyperlink ref="B3" r:id="rId33" xr:uid="{5A268042-3648-4126-9F12-DA491BC487D0}"/>
    <hyperlink ref="B2" r:id="rId34" xr:uid="{466892ED-B395-45E1-8774-1B11AB675415}"/>
    <hyperlink ref="B74" r:id="rId35" display="https://www.momo.vn/tin-tuc/khuyen-mai/lan-dau-co-tren-momo-giam-den-45k-khi-dang-ky-8557" xr:uid="{3789C931-510A-4EEE-852F-DE2BBCB19CCB}"/>
    <hyperlink ref="B73" r:id="rId36" display="https://www.momo.vn/tin-tuc/khuyen-mai/uu-dai-hoi-nhat-thang-giam-den-45k-mua-icloud-luu-8558" xr:uid="{4E3F4127-3935-4DFF-818C-BDE77D7EE5CF}"/>
    <hyperlink ref="B72" r:id="rId37" display="https://www.momo.vn/tin-tuc/khuyen-mai/mien-phi-ngay-1-lit-xang-khi-nhan-thich-muc-tra-8561" xr:uid="{45CAACFE-7AA9-4DD3-BC86-5F5083088847}"/>
    <hyperlink ref="B71" r:id="rId38" display="https://www.momo.vn/tin-tuc/khuyen-mai/mua-shopee-qua-tinh-nang-hoan-tien-mua-sam-hoan-8563" xr:uid="{45E74AD5-6B60-41E2-ABEE-F740F026ED63}"/>
    <hyperlink ref="B70" r:id="rId39" display="https://www.momo.vn/tin-tuc/khuyen-mai/nhan-canh-bao-phat-hien-nguy-co-lua-dao-khi-8568" xr:uid="{0BE251FB-BE67-4F43-A546-26C4280CA361}"/>
    <hyperlink ref="B69" r:id="rId40" display="https://www.momo.vn/tin-tuc/khuyen-mai/rut-thong-diep-mo-yeu-thuong-khui-kho-qua-500-8570" xr:uid="{4F006641-66C0-447B-BDF3-746C044202C4}"/>
    <hyperlink ref="B68" r:id="rId41" display="https://www.momo.vn/tin-tuc/thong-bao/momo-ra-mat-tinh-nang-cap-nhat-so-dien-thoai-8571" xr:uid="{28D7CBE8-53CE-4804-B40F-2FB677CD625A}"/>
    <hyperlink ref="B67" r:id="rId42" display="https://www.momo.vn/tin-tuc/khuyen-mai/19-3-31-3-hoan-ngay-4k-khi-chuyen-2k-tu-ngan-hang-8572" xr:uid="{7C7CE6B9-2EB4-4821-89DD-CA072543E42F}"/>
    <hyperlink ref="B66" r:id="rId43" display="https://www.momo.vn/tin-tuc/khuyen-mai/sale-cuoi-thang-duy-nhat-253-combo-du-lich-le-8577" xr:uid="{28212745-CBA1-4873-A905-C98E3955859C}"/>
    <hyperlink ref="B65" r:id="rId44" display="https://www.momo.vn/tin-tuc/thong-bao/di-lam-tien-loi-tiet-kiem-hon-quet-momo-di-metro-8578" xr:uid="{301F71DF-F9CA-4B06-870D-129F260F9CB8}"/>
    <hyperlink ref="B64" r:id="rId45" display="https://www.momo.vn/tin-tuc/khuyen-mai/thong-bao-thay-doi-phi-thanh-toan-toi-thieu-va-8573" xr:uid="{8B050385-55BD-4B3E-B235-BD780B54807D}"/>
    <hyperlink ref="B63" r:id="rId46" display="https://www.momo.vn/tin-tuc/thong-cao-bao-chi/momo-cap-nhat-moi-nhat-ve-giai-phap-nhan-tien-8587" xr:uid="{09616955-241E-4FA2-80F6-11811F2A9264}"/>
    <hyperlink ref="B62" r:id="rId47" display="https://www.momo.vn/tin-tuc/khuyen-mai/tich-ngay-500-xu-khi-tai-ma-qr-nhan-tien-8582" xr:uid="{9E6B0DCD-9E83-4FB1-BD31-7B249E6A1C98}"/>
    <hyperlink ref="B61" r:id="rId48" display="https://www.momo.vn/tin-tuc/khuyen-mai/sieu-sale-sinh-nhat-lazada-hoan-tien-gap-3-lan-8583" xr:uid="{0B450B32-4B28-4EB0-B67E-16DDF90AFBC7}"/>
    <hyperlink ref="B60" r:id="rId49" display="https://www.momo.vn/tin-tuc/khuyen-mai/gio-nghi-trai-nghiem-coca-cola-mien-phi-tai-cvs-8585" xr:uid="{158AEF5A-B38E-4B17-B064-F28664C8542E}"/>
    <hyperlink ref="B59" r:id="rId50" display="https://www.momo.vn/tin-tuc/khuyen-mai/tu-dong-canh-bao-phat-nguoi-khi-he-thong-phat-8586" xr:uid="{F9D485AC-1676-4DC5-8DDA-15F40B3FCDBB}"/>
    <hyperlink ref="B58" r:id="rId51" display="https://www.momo.vn/tin-tuc/khuyen-mai/don-hoa-no-san-deal-xin-giam-den-500000d-tren-8588" xr:uid="{18FBDE60-36A1-4A77-95FB-F321C917EFC5}"/>
    <hyperlink ref="B57" r:id="rId52" display="https://www.momo.vn/tin-tuc/khuyen-mai/ban-moi-nhap-ma-chonmomo-co-qua-500000d-giam-8225" xr:uid="{AC06F3A9-CBF3-403B-8525-E15700D48702}"/>
    <hyperlink ref="B56" r:id="rId53" display="https://www.momo.vn/tin-tuc/khuyen-mai/sale-44-combo-ve-du-lich-giam-den-50-san-ve-choi-8590" xr:uid="{9884D9EE-6056-41D4-87B6-4C3EB63CBAE9}"/>
    <hyperlink ref="B85" r:id="rId54" xr:uid="{A945370C-A2BC-469C-BA68-17ED83D4C4D0}"/>
    <hyperlink ref="B105" r:id="rId55" xr:uid="{694FD87F-905E-44DD-83DA-B955D9E900E6}"/>
    <hyperlink ref="B119" r:id="rId56" xr:uid="{A2EE8ED6-474D-4390-9EA3-7A6C3C49CB4C}"/>
    <hyperlink ref="B126" r:id="rId57" xr:uid="{6740224D-AE5C-4B9A-8E2C-2B14B11ECBA8}"/>
    <hyperlink ref="B86" r:id="rId58" xr:uid="{5645B1D5-360D-4DB3-8172-03EEF7F16183}"/>
    <hyperlink ref="B281" r:id="rId59" xr:uid="{E229A779-0B92-4481-B129-57C2CC202AA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Lâm Phương Anh (VSF-KD&amp;VH-KD&amp;MKT)</dc:creator>
  <cp:keywords/>
  <dc:description/>
  <cp:lastModifiedBy/>
  <cp:revision/>
  <dcterms:created xsi:type="dcterms:W3CDTF">2015-06-05T18:17:20Z</dcterms:created>
  <dcterms:modified xsi:type="dcterms:W3CDTF">2026-05-09T08:57:42Z</dcterms:modified>
  <cp:category/>
  <cp:contentStatus/>
</cp:coreProperties>
</file>